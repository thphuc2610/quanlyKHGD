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7020" windowHeight="1935"/>
  </bookViews>
  <sheets>
    <sheet name="TH" sheetId="1" r:id="rId1"/>
    <sheet name="Sheet7" sheetId="8" r:id="rId2"/>
    <sheet name="Sheet1" sheetId="2" r:id="rId3"/>
    <sheet name="Sheet2" sheetId="3" r:id="rId4"/>
    <sheet name="Sheet3" sheetId="4" r:id="rId5"/>
    <sheet name="Sheet4" sheetId="5" r:id="rId6"/>
    <sheet name="Sheet5" sheetId="6" r:id="rId7"/>
    <sheet name="Sheet6" sheetId="7" r:id="rId8"/>
  </sheets>
  <externalReferences>
    <externalReference r:id="rId9"/>
  </externalReferences>
  <definedNames>
    <definedName name="_xlnm._FilterDatabase" localSheetId="0" hidden="1">TH!$A$3:$AC$201</definedName>
  </definedNames>
  <calcPr calcId="152511"/>
</workbook>
</file>

<file path=xl/calcChain.xml><?xml version="1.0" encoding="utf-8"?>
<calcChain xmlns="http://schemas.openxmlformats.org/spreadsheetml/2006/main">
  <c r="C3" i="8" l="1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2" i="8"/>
  <c r="E3" i="8"/>
  <c r="E4" i="8"/>
  <c r="E5" i="8"/>
  <c r="E6" i="8"/>
  <c r="E7" i="8"/>
  <c r="E8" i="8"/>
  <c r="E9" i="8"/>
  <c r="E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2" i="8"/>
  <c r="E10" i="8" l="1"/>
  <c r="C36" i="8"/>
  <c r="B36" i="8"/>
  <c r="O5" i="1" l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4" i="1"/>
  <c r="E9" i="7" l="1"/>
  <c r="E11" i="7"/>
  <c r="E8" i="7"/>
  <c r="E3" i="7"/>
  <c r="D4" i="7"/>
  <c r="D5" i="7"/>
  <c r="D6" i="7"/>
  <c r="D7" i="7"/>
  <c r="D8" i="7"/>
  <c r="D9" i="7"/>
  <c r="D10" i="7"/>
  <c r="D11" i="7"/>
  <c r="D12" i="7"/>
  <c r="D13" i="7"/>
  <c r="D14" i="7"/>
  <c r="D3" i="7"/>
  <c r="C15" i="7"/>
  <c r="D15" i="7" l="1"/>
  <c r="E15" i="7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O4" i="1"/>
  <c r="L4" i="1"/>
  <c r="H4" i="1"/>
  <c r="E4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G5" i="1" l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4" i="1"/>
  <c r="N116" i="1"/>
  <c r="K116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N4" i="1"/>
  <c r="K4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116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4" i="1"/>
</calcChain>
</file>

<file path=xl/sharedStrings.xml><?xml version="1.0" encoding="utf-8"?>
<sst xmlns="http://schemas.openxmlformats.org/spreadsheetml/2006/main" count="28053" uniqueCount="8909">
  <si>
    <t>STT</t>
  </si>
  <si>
    <t>MSSV</t>
  </si>
  <si>
    <t>Họ và Tên</t>
  </si>
  <si>
    <t>Ngày sinh</t>
  </si>
  <si>
    <t>Nơi sinh</t>
  </si>
  <si>
    <t>Dân tộc</t>
  </si>
  <si>
    <t>Lớp</t>
  </si>
  <si>
    <t>Ngành</t>
  </si>
  <si>
    <t>Khóa</t>
  </si>
  <si>
    <t>Hệ đào tạo</t>
  </si>
  <si>
    <t>Điểm TCTL</t>
  </si>
  <si>
    <t>Tên Đề Tài</t>
  </si>
  <si>
    <t>GV Hướng dẫn 1</t>
  </si>
  <si>
    <t>GV Hướng dẫn 2</t>
  </si>
  <si>
    <t>Bộ môn</t>
  </si>
  <si>
    <t>Sồ lần đạt giải</t>
  </si>
  <si>
    <t>Cấp trường</t>
  </si>
  <si>
    <t>Cấp bộ/quốc gia</t>
  </si>
  <si>
    <t>Nghiên cứu khoa học</t>
  </si>
  <si>
    <t>Olympic</t>
  </si>
  <si>
    <t>Nguyễn Thị Ngọc Huyền</t>
  </si>
  <si>
    <t>S22-61QT-TMĐT</t>
  </si>
  <si>
    <t>Quản trị kinh doanh thương mại điện tử</t>
  </si>
  <si>
    <t>Hoàn thiện hoạt động bán hàng tại Công ty Cổ phần Dịch vụ Xây dựng Địa ốc An Trường Thịnh</t>
  </si>
  <si>
    <t>ThS. Dương Quốc Minh Triều</t>
  </si>
  <si>
    <t>Đỗ Ngọc Quỳnh Anh</t>
  </si>
  <si>
    <t>Hoàn thiện công tác đào tạo nguồn nhân lực tại Công ty Cổ Phần Trải Nghiệm Toàn Cầu</t>
  </si>
  <si>
    <t>Phạm Thị Thuý Hiền</t>
  </si>
  <si>
    <t>S24-63QT-Mar</t>
  </si>
  <si>
    <t>Quản trị Marketing</t>
  </si>
  <si>
    <t>Hoàn thiện công tác chăm sóc khách hàng tại Công ty TNHH Vận Tải Dương Nguyên ạ</t>
  </si>
  <si>
    <t>Đặng Thị Tâm Đoan</t>
  </si>
  <si>
    <t>Hoàn thiện hoạt động chăm sóc khách hàng của Công ty TNHH Tiến Minh Quốc</t>
  </si>
  <si>
    <t>Nguyễn Thị Tiểu Yến</t>
  </si>
  <si>
    <t>Hoàn thiện hoạt động chăm sóc khách hàng cá nhân tại Ngân Hàng Thương Mại Cổ Phần Quân Đội Chi Nhánh Bắc Sài Gòn</t>
  </si>
  <si>
    <t>Nguyễn Thị Ánh Tuyết</t>
  </si>
  <si>
    <t xml:space="preserve">Hoàn thiện hoạt động chăm sóc khách hàng tại Công ty TNHH Lập Văn
</t>
  </si>
  <si>
    <t>ThS. Nguyễn Thị Diễm Trang</t>
  </si>
  <si>
    <t>Trịnh Thuý Duy</t>
  </si>
  <si>
    <t>Hoàn thiện hoạt động Marketing tại Công ty TNHH Nhựa Công-Nông nghiệp Văn Minh</t>
  </si>
  <si>
    <t>Nguyễn Thị Kiều Diễm</t>
  </si>
  <si>
    <t>Hoàn thiện hoạt động Marketing tại Công ty Cổ phần Dược Tâm Dược</t>
  </si>
  <si>
    <t>Đỗ Kim Nhân</t>
  </si>
  <si>
    <t>Hoàn thiện hoạt động chăm sóc khách hàng tại  Showroom Vinfast - D1</t>
  </si>
  <si>
    <t>Vũ Thị Thuý Nhi</t>
  </si>
  <si>
    <t>Hoàn thiện hoạt động marketing tại công ty đào tạo Dược Alophar.</t>
  </si>
  <si>
    <t>Phạm Đàm Mỹ Duyên</t>
  </si>
  <si>
    <t>S22-61QT-Mar</t>
  </si>
  <si>
    <t>Một số giải pháp hoàn thiện công tác tuyển dụng nhân sự tại Công ty Trách nhiệm hữu hạn Awards Shipping Agency Korea - Việt Nam</t>
  </si>
  <si>
    <t>ThS. Đỗ Duy Khương</t>
  </si>
  <si>
    <t>Trần Thị Hải Yến</t>
  </si>
  <si>
    <t>S23-62QT-MAR</t>
  </si>
  <si>
    <t>Hoàn thiện hoạt động Digital Marketing tại Công ty Cổ phần Đầu tư và Phát triển Top Smiles</t>
  </si>
  <si>
    <t>Trần Lê Thanh Vy</t>
  </si>
  <si>
    <t>S24-62QT-KDQT</t>
  </si>
  <si>
    <t>Quản trị kinh doanh quốc tế</t>
  </si>
  <si>
    <t>Hoàn thiện công tác đào tạo nhân lực tại Ngân Hàng TMCP Quốc Dân - Chi nhánh Sài Gòn – Phòng giao dịch Lê Hồng Phong</t>
  </si>
  <si>
    <t>Vũ Văn Tú</t>
  </si>
  <si>
    <t>Giải pháp hoàn thiện hoạt động Marketing mix tại Công ty Trách nhiệm hữu hạn Trung tâm Thể dục Thể hình và Yoga Victoria</t>
  </si>
  <si>
    <t>Trần Thị Thu Hương</t>
  </si>
  <si>
    <t>Một số giải pháp hoàn thiện hoạt động môi giới chứng khoán tại Công ty Cổ phần Chứng khoán VPS – Chi nhánh Thành phố Hồ Chí Minh</t>
  </si>
  <si>
    <t>Cao Hỷ Phong</t>
  </si>
  <si>
    <t>S24-63QT-KDQT</t>
  </si>
  <si>
    <t>Hoàn thiện hoạt động công tác bán hàng tại Công ty TNHH Thương mại Quốc Tế Vĩnh Hòa Thịnh</t>
  </si>
  <si>
    <t>TS. Hà Kiên Tân</t>
  </si>
  <si>
    <t>Huỳnh Thị Thanh Nghi</t>
  </si>
  <si>
    <t>Hoàn thiện hoạt động truyền thông số tại Công ty cổ phần Bất động sản Thế Kỷ chi nhánh TP Hồ Chí Minh</t>
  </si>
  <si>
    <t>Đỗ Ngọc Linh</t>
  </si>
  <si>
    <t>Hoàn thiện khung năng lực và chương trình đào tạo cho đội ngũ hoạt náo viên tại Công ty cổ phần Central Retail (Việt Nam)</t>
  </si>
  <si>
    <t>Vương Hà Châu</t>
  </si>
  <si>
    <t>Nâng cao chất lượng dịch vụ ngân hàng số tại ngân hàng TMCP Quân Đội chi nhánh Bắc Sài Gòn</t>
  </si>
  <si>
    <t>Lê Hoàng Phong</t>
  </si>
  <si>
    <t>Hoàn thiện hoạt động chăm sóc khách hàng tại Công ty TNHH Thương mại KATA chi nhánh TP Hồ Chí Minh</t>
  </si>
  <si>
    <t>Trương Khả Vy</t>
  </si>
  <si>
    <t>Nâng cao chất lượng dịch vụ khách hàng cá nhân tại ngân hàng Việt Nam Thịnh Vượng chi nhánh Quang Trung</t>
  </si>
  <si>
    <t>Đặng Thanh Hiền</t>
  </si>
  <si>
    <t>Hoàn thiện hoạt động công tác bán hàng tại Công ty cổ phần Đầu tư Goldwings</t>
  </si>
  <si>
    <t>Nguyễn Thị Lan</t>
  </si>
  <si>
    <t>Nâng cao hiệu quả hoạt động truyền thông trên mạng xã hội tại Công ty TNHH Trung Tâm Thể Dục Thể Hình &amp; Yoga Victoria</t>
  </si>
  <si>
    <t>ThS. Tăng Thị Lưu</t>
  </si>
  <si>
    <t>Trương Thị Phương Thảo</t>
  </si>
  <si>
    <t>Nâng cao hiệu quả hoạt động bán hàng tại Công ty TNHH Khang Quân Home Việt Nam</t>
  </si>
  <si>
    <t>Nguyễn Thị Bích Trà</t>
  </si>
  <si>
    <t>Giải pháp nâng cao hiệu quả hoạt động chăm sóc khách hàng tại Công ty Xuất Nhập Khẩu Thuốc Lá</t>
  </si>
  <si>
    <t>Lê Võ Giáng My</t>
  </si>
  <si>
    <t>Xây dựng kế hoạch Digital Marketing cho Công ty TNHH MTV Hoàng Long Garden</t>
  </si>
  <si>
    <t>Trương Thị Hương Giang</t>
  </si>
  <si>
    <t>Nâng cao hiệu quả hoạt động Marketing Online tại Công ty Địa Ốc Trường Thọ</t>
  </si>
  <si>
    <t>Bùi Trường Sơn</t>
  </si>
  <si>
    <t>Giải pháp nâng cao hiệu quả hoạt động truyền thông cho Công ty TNHH TVTK Xây dựng và PCCC Hải An </t>
  </si>
  <si>
    <t>Kiều Thị Kim Anh</t>
  </si>
  <si>
    <t>S24-63QT-MAR</t>
  </si>
  <si>
    <t>Giải pháp Tối ưu hóa Kênh Phân phối nhằm Nâng cao Hiệu suất Bán hàng tại Công ty TNHH Pulmuone Việt Nam</t>
  </si>
  <si>
    <t>Nguyễn Ngọc Xuân Trang</t>
  </si>
  <si>
    <t>S24-62QT-Mar</t>
  </si>
  <si>
    <t>Thực trạng hoạt động marketing và marketing mix cho sản phẩm “TOEIC 4 kỹ năng” của Công ty TNHH Tư vấn và Giáo dục Thiên Bảo</t>
  </si>
  <si>
    <t>TS. Trần Thị Thanh Huyền</t>
  </si>
  <si>
    <t>Phạm Minh Quang</t>
  </si>
  <si>
    <t>Hoàn thiện công tác chăm sóc khách hàng tại Công ty cổ phần CAD GROUP</t>
  </si>
  <si>
    <t>Phạm Cao Hiển</t>
  </si>
  <si>
    <t>Hoàn thiện công tác chăm sóc khách hàng tại Công ty cổ phần Cashion</t>
  </si>
  <si>
    <t>Bùi Thị Phương Dung</t>
  </si>
  <si>
    <t>Hoạt động tuyển dụng tại Công ty TNHH Đầu tư Vận tải Bảo Anh: Thực trạng và giải pháp</t>
  </si>
  <si>
    <t>Nguyễn Khánh Vân</t>
  </si>
  <si>
    <t>Hoạt động tuyển dụng tại công ty TNHH Thương Mại Và Đầu Tư SRT Miền Nam: Thực trạng và giải pháp</t>
  </si>
  <si>
    <t>Nguyễn Thị Kiều Liên</t>
  </si>
  <si>
    <t>Hoạt động tuyển dụng tại công ty TNHH Tư vấn và Đầu Tư Vietland</t>
  </si>
  <si>
    <t>Trần Nguyễn Thông</t>
  </si>
  <si>
    <t>S24-63LG1</t>
  </si>
  <si>
    <t>Thúc đẩy hoạt động bán hàng tại Công ty TNHH TMDV Việt Nhất Nghệ</t>
  </si>
  <si>
    <t>TS. Trần Văn Biên</t>
  </si>
  <si>
    <t>ThS. Phạm Thị Duấn</t>
  </si>
  <si>
    <t>Nguyễn Văn Linh</t>
  </si>
  <si>
    <t>Hoàn thiện quy trình nhập khẩu hàng hóa nguyên container bằng đường biển tại Công ty TNHH MTV Ứng Dụng Công Nghệ Kỹ Thuật Nhựa Âu Lạc</t>
  </si>
  <si>
    <t>Đỗ Ngọc Quân</t>
  </si>
  <si>
    <t>Hoàn thiện quy trình xuất khẩu hàng hóa nguyên container bằng đường biển tại công ty TNHH Dừa Định Phú Mỹ</t>
  </si>
  <si>
    <t>Nguyễn Phạm Nguyệt Anh</t>
  </si>
  <si>
    <t>Hoàn thiện hoạt động logistics tại Công ty TNHH Ống Gang Cầu Đài Việt</t>
  </si>
  <si>
    <t>Lê Đinh Ánh</t>
  </si>
  <si>
    <t>Hoàn thiện hoạt động giao nhận hàng hóa bằng đường bộ tại Công ty CP Asian Group</t>
  </si>
  <si>
    <t>Chu Thị Hồng Nhung</t>
  </si>
  <si>
    <t>Hoàn thiện quy trình xuất khẩu sản phẩm đồ chơi cho thú cưng từ gỗ, cà phê tại Công ty TNHH Expad</t>
  </si>
  <si>
    <t>Vũ Trí Thành</t>
  </si>
  <si>
    <t>Nâng cao năng lực cạnh tranh kho ngoại quan của Công ty Cổ phần Transimex tại khu vực Miền Nam</t>
  </si>
  <si>
    <t>ThS. Trần Đức Thành</t>
  </si>
  <si>
    <t>Nguyễn Trung Toàn</t>
  </si>
  <si>
    <t>Thực trạng và giải pháp quy trình khai thác hàng nhập tại Công ty Cổ phần Dịch vụ Hàng hóa Sài Gòn SCSC</t>
  </si>
  <si>
    <t>ThS. Nguyễn Thị Hồng Hạnh</t>
  </si>
  <si>
    <t>Quách Thị Bảo Nhi</t>
  </si>
  <si>
    <t>S24-63LG2</t>
  </si>
  <si>
    <t>Quy trình nghiệp vụ giao nhận hàng nhập khẩu nguyên container bằng đường biển tại Công ty TNHH Thương mại và Dịch vụ Hàng hóa AOL</t>
  </si>
  <si>
    <t>Lê Thị Minh Hiếu</t>
  </si>
  <si>
    <t>Quy trình giao nhận hàng hóa xuất khẩu tại Công ty TNHH Thương mại và Dịch vụ Đắc Hội - Thực trạng và Giải pháp</t>
  </si>
  <si>
    <t>Nguyễn Kỳ Vỹ</t>
  </si>
  <si>
    <t>Quy trình kinh doanh dịch vụ logistics tại Công ty TNHH Thương Mại Dịch Vụ Tân Thông Hội- Thực trạng và Giải pháp</t>
  </si>
  <si>
    <t>Nguyễn Thị Như Bình</t>
  </si>
  <si>
    <t>Quy trình xuất, nhập khẩu hàng hóa bằng đường hàng không tại Công ty TNHH SHIPOFFER</t>
  </si>
  <si>
    <t>Nguyễn Thị Thanh Ngân</t>
  </si>
  <si>
    <t>Hoàn thiện hoạt động giao nhận hàng hóa nhập khẩu nguyên container bằng đường biển tại Công ty TNHH  TMDV Vạn Hải</t>
  </si>
  <si>
    <t>Trần Thị Thu Thảo</t>
  </si>
  <si>
    <t>Lê Thị Sáu</t>
  </si>
  <si>
    <t>Giải pháp đẩy mạnh xuất khẩu sản phẩm đồ chơi cho thú cưng từ gỗ và cà phê tại Công ty TNHH Xuất Nhập Khẩu EXPAD</t>
  </si>
  <si>
    <t>Nguyễn Thị Kim Yến</t>
  </si>
  <si>
    <t>Giải pháp nâng cao hiệu quả quy trình xuất khẩu 1 lô hàng nguyên container bằng đường biển tại CÔNG TY CỔ PHẦN THƯƠNG MẠI DỊCH VỤ GIAO NHẬN VẬN TẢI - THỦY BỘ MINH TÂN</t>
  </si>
  <si>
    <t>Nguyễn Thị Phương Minh</t>
  </si>
  <si>
    <t>Ứng dụng công nghệ số trong việc nâng cao dịch vụ khách hàng  tại J&amp;T Express</t>
  </si>
  <si>
    <t>Nguyễn Thị Bích Ngân</t>
  </si>
  <si>
    <t>S23-62KT</t>
  </si>
  <si>
    <t>Kế toán tiền lương và các khoản trích theo lương tại Công ty TNHH MTV Kho Vận Sài Gòn Co.op</t>
  </si>
  <si>
    <t>ThS. Lữ Thị Thanh Thúy</t>
  </si>
  <si>
    <t>Nguyễn Hà Nguyên</t>
  </si>
  <si>
    <t>S24-63KT</t>
  </si>
  <si>
    <t>ThS. Nguyễn Thị Diện</t>
  </si>
  <si>
    <t>Nguyễn Thị Oanh</t>
  </si>
  <si>
    <t>Kế toán thanh toán với người bán, người mua tại Công ty CP dịch vụ đầu tư SAIGON HEALTHCARE</t>
  </si>
  <si>
    <t>ThS. Đỗ Thị Thu Thủy</t>
  </si>
  <si>
    <t>Nguyễn Thị Xuân Quỳnh</t>
  </si>
  <si>
    <t>Kế toán tài sản cố định tại Công ty Đấu Giá Hợp Danh Đông Nam</t>
  </si>
  <si>
    <t>Trần Thị Hoài Thu</t>
  </si>
  <si>
    <t>Kế toán bán hàng và xác định KQKD tại công ty TNHH Barun Việt Nam</t>
  </si>
  <si>
    <t>Đinh Vũ Phương Hiếu</t>
  </si>
  <si>
    <t>Kế toán thanh toán với người bán, người mua tại Công ty Cổ Phần Tư Vấn Đầu Tư Và Thẩm Định Giá Sao Việt</t>
  </si>
  <si>
    <t>Hoàng Huyên Hân</t>
  </si>
  <si>
    <t>Kế toán tiền lương và các khoản trích theo lương tại Công ty Cổ phần Hudeco</t>
  </si>
  <si>
    <t>Lê Thị Thảo</t>
  </si>
  <si>
    <t>Kế toán tài sản cố định tại Công ty TNHH SX TM May Túi Xách Ba Lô Hợp Phát</t>
  </si>
  <si>
    <t>Lâm Thị Xuân Hiệp</t>
  </si>
  <si>
    <t>Kế toán tiền lương và các khoản trích theo lương tại Công ty TNHH Thương Mại Đầu tư New Generation</t>
  </si>
  <si>
    <t>Trần Thanh Thảo</t>
  </si>
  <si>
    <t>Quy trình kiểm toán khoản mục tài sản cố định tại Công ty THNH Hãng Kiểm Toán AASC</t>
  </si>
  <si>
    <t>Nguyễn Thị Thuỳ Trang</t>
  </si>
  <si>
    <t>Kế toán thanh toán với người bán, người mua tại Doanh nghiệp Tư Nhân Thương Mại Trường Thanh.</t>
  </si>
  <si>
    <t>Phạm Thị Thu Thuỷ</t>
  </si>
  <si>
    <t>Kế toán thanh toán với người bán, người mua tại Công Ty TNHH dịch vụ Đại hữu</t>
  </si>
  <si>
    <t>Bùi Lê Xuân Bình</t>
  </si>
  <si>
    <t>Kế toán thanh toán với người bán, người mua tại Công Ty Đấu Giá Hợp Danh Đông Nam</t>
  </si>
  <si>
    <t>Nguyễn Hoàng Anh Thư</t>
  </si>
  <si>
    <t>Kế toán thanh toán với người mua, người bán tại Công ty TNHH TMDV Công Thành Phát</t>
  </si>
  <si>
    <t>Nguyễn Thị Thu Hằng</t>
  </si>
  <si>
    <t>Kế toán thanh toán với người bán, người mua tại Công ty TNHH Sản Xuất Thương Mại Bảo Tín Phát FURNITURE</t>
  </si>
  <si>
    <t>Hồ Thị Kim Ngân</t>
  </si>
  <si>
    <t>Kế toán nguyên vật liệu tại Công ty TNHH Điện Tử Phát Hoàng</t>
  </si>
  <si>
    <t>Lê Vân Huyền Như</t>
  </si>
  <si>
    <t>Kế toán thanh toán với người bán, người mua tại Công ty TNHH Điện Tử Phát Hoàng</t>
  </si>
  <si>
    <t>Bùi Thị Thu Nga</t>
  </si>
  <si>
    <t>Kế toán thanh toán với người bán, người mua tại Ngân Hàng Thương Mại Cổ Phần Quốc Tế Việt Nam</t>
  </si>
  <si>
    <t>Lê Thị Thanh Loan</t>
  </si>
  <si>
    <t>Kế toán thanh toán với người bán, người mua tại Công ty Cổ Phần Vũ Hoàng Telecom</t>
  </si>
  <si>
    <t>Lê Thị Vân Linh</t>
  </si>
  <si>
    <t>Kế toán thanh toán với người bán, người mua tại Công Ty TNHH Thương Mại BC</t>
  </si>
  <si>
    <t>Nguyễn Thị Thuý Vinh</t>
  </si>
  <si>
    <t>Kế toán thanh toán với người bán, người mua tại Công Ty TNHH Dịch Vụ Tư Vấn Thuận Tín Phát - CN Bình Dương</t>
  </si>
  <si>
    <t>Đặng Cao Thiên Phước</t>
  </si>
  <si>
    <t>S23-62TH</t>
  </si>
  <si>
    <t>Xây dựng website bán điện thoại cho cửa hàng NewStore, tích hợp chatbot tư vấn sản phẩm bằng AI</t>
  </si>
  <si>
    <t>ThS. Phan Thị Tài</t>
  </si>
  <si>
    <t>Bộ môn Công nghệ thông tin</t>
  </si>
  <si>
    <t>Trần Huy Hoàng</t>
  </si>
  <si>
    <t>Xây dựng hệ thống điều khiển và giám sát an ninh nhà thông minh ứng dụng IoT trên nền tảng Home Assistant</t>
  </si>
  <si>
    <t>ThS. Trần Ngọc Dân</t>
  </si>
  <si>
    <t>Vũ Trí Minh</t>
  </si>
  <si>
    <t>Xây dựng trang thương mại điện tử kinh doanh laptop và các sản phẩm liên quan</t>
  </si>
  <si>
    <t>TS. Hoàng Văn Quý</t>
  </si>
  <si>
    <t>Nguyễn Anh Hào</t>
  </si>
  <si>
    <t>Xây dựng trang thương mại điện tử kinh doanh xe máy tích hợp Chatbot tư vấn tự động</t>
  </si>
  <si>
    <t>Đỗ Quốc Thái</t>
  </si>
  <si>
    <t>Xây dựng website bán trà sữa Cúc Garden trực tuyến</t>
  </si>
  <si>
    <t>ThS. Nguyễn Thị Hồng Tú</t>
  </si>
  <si>
    <t>Giang Nguyễn Hoàng Phúc</t>
  </si>
  <si>
    <t>S24-63CNTT1</t>
  </si>
  <si>
    <t>Phát triển hệ thống giám sát và cảnh báo cháy thông minh sử dụng công nghệ IoT và Web Realtime</t>
  </si>
  <si>
    <t>Nguyễn Thái Tuấn</t>
  </si>
  <si>
    <t>Xây dựng website bán điện thoại và laptop LapPhone</t>
  </si>
  <si>
    <t>Hàng Đức Phú</t>
  </si>
  <si>
    <t>Xây dựng website bán thiết bị công nghệ SmartZone.</t>
  </si>
  <si>
    <t>ThS. Nguyễn Thị Kim Phụng</t>
  </si>
  <si>
    <t>Nguyễn Minh Khánh An</t>
  </si>
  <si>
    <t>Phân tích dữ liệu bất động sản Hồ Chí Minh với Kafka và Spark streaming</t>
  </si>
  <si>
    <t>Nguyễn Ngọc Huỳnh</t>
  </si>
  <si>
    <t>Xây dựng website quản lý khách sạn ChillZone với ASP.NET Core và Blazor</t>
  </si>
  <si>
    <t>Đỗ Thế Hưng</t>
  </si>
  <si>
    <t>Xây dựng website kinh doanh đồng hồ HaydenWatches</t>
  </si>
  <si>
    <t>Đặng Trần Mỹ Duyên</t>
  </si>
  <si>
    <t>Xây dựng ứng dụng học tiếng Anh qua minigame Earn&amp;Fun</t>
  </si>
  <si>
    <t>TS. Hoàng Thị Kiều Anh</t>
  </si>
  <si>
    <t>Vũ Việt Bách</t>
  </si>
  <si>
    <t>Ứng dụng kiến trúc Agentic RAG xây dựng một hệ thống hỗ trợ tra cứu pháp luật Việt Nam</t>
  </si>
  <si>
    <t>ThS. Nguyễn Anh Tú</t>
  </si>
  <si>
    <t>Ngô Tùng Nghĩa</t>
  </si>
  <si>
    <t>Xây dựng website bán quần áo thời trang Eleven ứng dụng Chatbot hỗ trợ và tư vấn khách hàng.</t>
  </si>
  <si>
    <t>Lê Minh Đức</t>
  </si>
  <si>
    <t>Triển khai hệ thống mạng doanh nghiệp nhỏ và tích hợp tường lửa thế hệ mới (Next-Generation Firewall) để tăng cường bảo mật</t>
  </si>
  <si>
    <t>Nguyễn Hải Sơn</t>
  </si>
  <si>
    <t>S24-63CNTT2</t>
  </si>
  <si>
    <t>Ứng dụng IoT trong giám sát và dự báo chất lượng nước phục vụ nuôi trồng thuỷ sản tại xã An Quy, tỉnh Vĩnh Long.</t>
  </si>
  <si>
    <t>Nguyễn Trường Nghĩa</t>
  </si>
  <si>
    <t>Phát triển ứng dụng E-commerce tích hợp Chatbot tư vấn tự động</t>
  </si>
  <si>
    <t>Phạm Quốc Thoại</t>
  </si>
  <si>
    <t>Xây dựng hệ thống quản lý đặt phòng khách sạn QuiNhon Traveling</t>
  </si>
  <si>
    <t>ThS. Vũ Thị Hạnh</t>
  </si>
  <si>
    <t>Nguyễn Văn Tiên</t>
  </si>
  <si>
    <t>Thiết kế hệ thống giám sát và điều khiển động cơ AC ứng dụng ESP32 drong môi trường IoT</t>
  </si>
  <si>
    <t>Nguyễn Công Huy</t>
  </si>
  <si>
    <t>Xây dựng trang thương mại điện tử SLIM chuyên dụng cho dụng cụ thể thao</t>
  </si>
  <si>
    <t>Hồ Minh Anh</t>
  </si>
  <si>
    <t>Ứng dụng Trí tuệ nhân tạo xây dựng hệ thống MC ảo</t>
  </si>
  <si>
    <t>Trương Thị Thanh Mai</t>
  </si>
  <si>
    <t>Xây dựng cổng thông tin tuyển dụng trực tuyến dựa trên kiến trúc microservices</t>
  </si>
  <si>
    <t>Nguyễn Chấn Hưng</t>
  </si>
  <si>
    <t>Ứng dụng mạng học sâu trong phát hiện bọt khí cho các sản phẩm nhựa cao cấp.</t>
  </si>
  <si>
    <t>Nguyễn Thái Học</t>
  </si>
  <si>
    <t>Xây dựng website quản lý đặt phòng khách sạn Xanh sử dụng Spring Framework</t>
  </si>
  <si>
    <t>Nguyễn Ngọc Bảo</t>
  </si>
  <si>
    <t>Xây dựng hệ thống hỗ trợ định giá bất động sản trực tuyến tại TP. HCM</t>
  </si>
  <si>
    <t>Trần Phạm Công Hậu</t>
  </si>
  <si>
    <t>Phân tích dữ liệu thị trường bất động sản TP.HCM giai đoạn 2019-2025 bằng Power BI và Python</t>
  </si>
  <si>
    <t>Nguyễn Diệp Quốc Giảng</t>
  </si>
  <si>
    <t>S24-63CTN</t>
  </si>
  <si>
    <t>Kỹ thuật cấp thoát nước</t>
  </si>
  <si>
    <t xml:space="preserve">Thiết kế hệ thống cấp nước đô thị Tân Châu, tỉnh Tiền Giang tới năm 2040 </t>
  </si>
  <si>
    <t>PGS.TS. Trần Đăng An</t>
  </si>
  <si>
    <t>Bộ môn Kỹ thuật tài nguyên nước và Môi trường</t>
  </si>
  <si>
    <t>Hồ Thanh Nhàn</t>
  </si>
  <si>
    <t>Thiết kế hệ thống cấp nước đô thị Nam Bến Cát, TP. Hồ Chí Minh tới năm 2040</t>
  </si>
  <si>
    <t>Nguyễn Chí Công</t>
  </si>
  <si>
    <t>Thiết kế Hệ thống cấp nước phường Phú Lợi và phường Sóc Trăng, Thành phố Cần Thơ tới năm 2040</t>
  </si>
  <si>
    <t>Nguyễn Văn Huyên</t>
  </si>
  <si>
    <t>Thiết kế hệ thống cấp nước Khu Đô Thị Phú quốc, tỉnh An Giang tới năm 2040</t>
  </si>
  <si>
    <t>Nguyễn Thị Kim Ngân</t>
  </si>
  <si>
    <t>Thiết kế hệ thống cấp nước phường Đồng Xoài, tỉnh Đồng Nai tới năm 2040</t>
  </si>
  <si>
    <t xml:space="preserve">TS. Lê Công Chính </t>
  </si>
  <si>
    <t>ThS. Lê Văn Tiến Hưng</t>
  </si>
  <si>
    <t>Võ Hương Lâm</t>
  </si>
  <si>
    <t>Thiết kế hệ thống cấp nước Khu Đô thị và Công nghiệp Bắc Hòn Hèo, tỉnh Khánh Hòa tới năm 2040</t>
  </si>
  <si>
    <t>Hồ Minh Trí</t>
  </si>
  <si>
    <t>Thiết kế hệ thống cấp nước xã Nhơn Trạch, tỉnh Đồng Nai tới năm 2040</t>
  </si>
  <si>
    <t>Nguyễn Văn Vũ</t>
  </si>
  <si>
    <t>Thiết kế hệ thống cấp nước Khu liên hợp công nghiệp -Dịch vụ - Đô thị Bình Dương tới năm 2040</t>
  </si>
  <si>
    <t>Trần Xuân Ly</t>
  </si>
  <si>
    <t>Thiết kế hệ thống cấp nước Khu Đô thị Đồng Phú, tỉnh Đồng Nai tới năm 2040</t>
  </si>
  <si>
    <t>Nguyễn Quốc Toàn</t>
  </si>
  <si>
    <t>Thiết kế hệ thống cấp nước Khu Đô thị Rạch Gía, tỉnh An Giang tới năm 2040</t>
  </si>
  <si>
    <t>Nguyễn Ngọc Trường</t>
  </si>
  <si>
    <t>Thiết kế hệ thống cấp nước Khu đô thị  thương mại dịch vụ ven sông phía Đông Sa Đéc, tỉnh Tiền Giang tới năm 2040</t>
  </si>
  <si>
    <t>Lương Nguyễn Đăng Khiêm</t>
  </si>
  <si>
    <t>S23-62CTN</t>
  </si>
  <si>
    <t>Thiết kế hệ thống cấp nước Khu đô thị mới An Lạc 1, tỉnh Tiền Giang tới năm 2040</t>
  </si>
  <si>
    <t>Nguyễn Ngọc Sơn</t>
  </si>
  <si>
    <t>SG24CTN</t>
  </si>
  <si>
    <t>Thiết kế hệ thống cấp nước Khu đô dân cư Hòa Thành, tỉnh Tiền Giang tới năm 2040</t>
  </si>
  <si>
    <t>Nguyễn Lâm Toàn</t>
  </si>
  <si>
    <t>Thiết kế hệ thống cấp nước Khu đô thị mới Tây Bắc, Phường Bảo An, tỉnh Khánh Hòa tới năm 2040</t>
  </si>
  <si>
    <t>Hồ Trọng Hiếu</t>
  </si>
  <si>
    <t>S24-63N</t>
  </si>
  <si>
    <t>Kỹ thuật tài nguyên nước</t>
  </si>
  <si>
    <t>Lập quy trình vận hành, điều tiết hồ chứa nước Cần Nôm</t>
  </si>
  <si>
    <t>TS. Đặng Đồng Nguyên</t>
  </si>
  <si>
    <t>TS. Lê Thị Hòa Bình</t>
  </si>
  <si>
    <t>Phùng Mỹ Ngọc</t>
  </si>
  <si>
    <t xml:space="preserve">Quy hoạch hệ thống thuỷ lợi hồ chứa nước sông Cạn </t>
  </si>
  <si>
    <t>Chung Ngọc Hoài Dung</t>
  </si>
  <si>
    <t xml:space="preserve">Quy hoạch hệ thống thuỷ lợi hồ chứa Cam Ranh </t>
  </si>
  <si>
    <t>Dương Hải Duy</t>
  </si>
  <si>
    <t>S21-60N</t>
  </si>
  <si>
    <t xml:space="preserve">Quy hoạch hệ thống thủy lợi hồ chứa nước Hố Khế </t>
  </si>
  <si>
    <t>Nguyễn Đại Thuý An</t>
  </si>
  <si>
    <t>S23-62N</t>
  </si>
  <si>
    <t xml:space="preserve">Quy hoạch hệ thống thuỷ lợi hồ chứa nước sông Ray </t>
  </si>
  <si>
    <t>Rmah Yen</t>
  </si>
  <si>
    <t xml:space="preserve">Quy hoạch hệ thống thuỷ lợi hồ chứa nước Cha Mai </t>
  </si>
  <si>
    <t>Nguyễn Đào Như Bình</t>
  </si>
  <si>
    <t xml:space="preserve">Quy hoạch hệ thống thủy lợi hồ chứa nước Tà Rục </t>
  </si>
  <si>
    <t>Phạm Thị Thùy Duyên</t>
  </si>
  <si>
    <t>S24-63C</t>
  </si>
  <si>
    <t>Kỹ thuật xây dựng công trình thủy</t>
  </si>
  <si>
    <t>Thiết kế cống kênh số 9 Bạc Liêu</t>
  </si>
  <si>
    <t>TS. Phạm Ngọc Thịnh</t>
  </si>
  <si>
    <t>Bộ môn Kỹ thuật công trình</t>
  </si>
  <si>
    <t>Phan Tường Vy</t>
  </si>
  <si>
    <t>Thiết kế hồ chứa Dakprong</t>
  </si>
  <si>
    <t>Nguyễn Nhật Trường</t>
  </si>
  <si>
    <t>Thiết kế cống Cây Xanh</t>
  </si>
  <si>
    <t>Võ Thị Tố Như</t>
  </si>
  <si>
    <t>Thiết kế hồ chứa Sông Móng</t>
  </si>
  <si>
    <t>Trần Minh Hiếu</t>
  </si>
  <si>
    <t>Thiết kế hồ chứa Suối Cái_PA1</t>
  </si>
  <si>
    <t>Kiều Công Luận</t>
  </si>
  <si>
    <t>Thiết kế hồ chứa Sơn Trung</t>
  </si>
  <si>
    <t>Nguyễn Duy Anh</t>
  </si>
  <si>
    <t>Thiết kế cống Cây Còng</t>
  </si>
  <si>
    <t>Trần Bá Thái</t>
  </si>
  <si>
    <t>Thiết kế hồ chứa Cà Tót</t>
  </si>
  <si>
    <t>Nguyễn Bùi Viết Hưng</t>
  </si>
  <si>
    <t>Thiết kế hồ chứa Thổ Chu_PA1</t>
  </si>
  <si>
    <t>Nguyễn Đình Khôi</t>
  </si>
  <si>
    <t>Thiết kế hồ chứa Thổ Chu_PA3</t>
  </si>
  <si>
    <t>Đồng Văn Huynh</t>
  </si>
  <si>
    <t xml:space="preserve">Thiết kế cống Âu Đông Hải </t>
  </si>
  <si>
    <t>TS. Lê Xuân Bảo</t>
  </si>
  <si>
    <t>Nguyễn Hữu Minh Quang</t>
  </si>
  <si>
    <t>Thiết kế Cống Âu Hòa Bình</t>
  </si>
  <si>
    <t>Phạm Anh Đức</t>
  </si>
  <si>
    <t>Thiết kế hồ chứa nước Xuân Lộc PA 1</t>
  </si>
  <si>
    <t>ThS. Phạm Anh Tuấn</t>
  </si>
  <si>
    <t>Phạm Đức Nguyên</t>
  </si>
  <si>
    <t>S23-62C</t>
  </si>
  <si>
    <t>Thiết kế hồ chứa nước Xuân Lộc PA 2</t>
  </si>
  <si>
    <t>Nguyễn Khánh An</t>
  </si>
  <si>
    <t>Thiết kế hồ chứa nước Cao Vân, tỉnh Quảng Ninh</t>
  </si>
  <si>
    <t>ThS. Lê Trung Thành</t>
  </si>
  <si>
    <t>Cù Minh Đức</t>
  </si>
  <si>
    <t>Thiết kế hồ chứa nước Bầu Ngứ, tỉnh Khánh Hòa</t>
  </si>
  <si>
    <t>Cáp Đức Hiệp</t>
  </si>
  <si>
    <t>S21-60C</t>
  </si>
  <si>
    <t>Thiết kế hồ chứa nước Cử Nẫm, tỉnh Quảng Trị</t>
  </si>
  <si>
    <t>Nguyễn Phú Hùng</t>
  </si>
  <si>
    <t>Thiết kế hồ chứa nước Đắk Drô, tỉnh Lâm Đồng</t>
  </si>
  <si>
    <t>Nguyễn Cao Lương</t>
  </si>
  <si>
    <t>S21-60CX2</t>
  </si>
  <si>
    <t>Kỹ thuật xây dựng</t>
  </si>
  <si>
    <t>Thiết kế công trình ký túc xá Trường đại học Xây dựng Hà Nội - Phủ Lý - Ninh Bình</t>
  </si>
  <si>
    <t>ThS. Nguyễn Vĩnh Sáng</t>
  </si>
  <si>
    <t>Phạm Hoàng Ngọc Long</t>
  </si>
  <si>
    <t>Thiết kế công trình chung cư Ngọc Long, Tp. Hồ Chí Minh</t>
  </si>
  <si>
    <t>Nguyễn Hoàng Hữu Tài</t>
  </si>
  <si>
    <t>S22-61CX</t>
  </si>
  <si>
    <t>Thiết kế công trình chung cư HQC - Bắc Nha Trang - Khánh Hòa</t>
  </si>
  <si>
    <t>TS. Đặng Văn Phú</t>
  </si>
  <si>
    <t>Phan Lê Anh Kiệt</t>
  </si>
  <si>
    <t>Thiết kế công trình Khách Sạn Anh Kiệt, TP. Hồ Chí Minh</t>
  </si>
  <si>
    <t>Nguyễn Thế Anh</t>
  </si>
  <si>
    <t>Thiết kế công trình trụ sở làm việc Phường Sài Gòn - Tp Hồ Chí Minh</t>
  </si>
  <si>
    <t>Bùi Ngọc Nhậm</t>
  </si>
  <si>
    <t>Thiết kế công trình chung cư Ngọc Nhậm, Tp. Hồ Chí Minh</t>
  </si>
  <si>
    <t>Nguyễn Tùng Lâm</t>
  </si>
  <si>
    <t>S23-62CX</t>
  </si>
  <si>
    <t>Thiết kế công trình chung cư Tùng Lâm, Tp. Hồ Chí Minh</t>
  </si>
  <si>
    <t>Trương Quốc Thịnh</t>
  </si>
  <si>
    <t>Thiết kế công trình chung cư Quốc Thịnh, Tp. Hồ Chí Minh</t>
  </si>
  <si>
    <t>Trần Văn Huy</t>
  </si>
  <si>
    <t>Thiết kế công trình khách sạn Văn Huy, Tp. Hồ Chí Minh</t>
  </si>
  <si>
    <t>Mai Phong Phú</t>
  </si>
  <si>
    <t>Thiết kế công trình Chung cư Phong phú, Tp. Hồ Chí Minh</t>
  </si>
  <si>
    <t>Nguyễn Đăng Khoa</t>
  </si>
  <si>
    <t>Thiết kế công trình chung cư Happy - Gia Định - Tp Hồ Chí Minh</t>
  </si>
  <si>
    <t>Hồ Phước Minh</t>
  </si>
  <si>
    <t>S24-63CX</t>
  </si>
  <si>
    <t>Thiết kế công trình khách sạn HPM - Vĩnh Lộc - Tp Hồ Chí Minh</t>
  </si>
  <si>
    <t>Nguyễn Tiến Nam Anh</t>
  </si>
  <si>
    <t>Thiết kế công trình chung cư Nam Anh - An Phú - Tp Hồ Chí Minh</t>
  </si>
  <si>
    <t>Nguyễn Trung Kiên</t>
  </si>
  <si>
    <t>Thiết kế công trình chung cư Park View - Lai Vung - Đồng Tháp</t>
  </si>
  <si>
    <t>Đặng Việt Hưng</t>
  </si>
  <si>
    <t>Thiết kế công trình trung tâm thương mại DVH - Pleiku- Gia Lai</t>
  </si>
  <si>
    <t>Huỳnh Quang Kiện</t>
  </si>
  <si>
    <t>Thiết kế công trình chung cư Hoàng Trung Phát Tower, Tp. Hồ Chí Minh</t>
  </si>
  <si>
    <t>Nguyễn Tấn Nghĩa</t>
  </si>
  <si>
    <t>Thiết kế công trình Chung cư Tấn Nghĩa Tp. Hồ Chí Minh</t>
  </si>
  <si>
    <t>Mạc Thiên Chương</t>
  </si>
  <si>
    <t>Thiết kế công trình chung cư Thiên Chương, Tp. Hồ Chí Minh</t>
  </si>
  <si>
    <t>Lê Đắc Huy</t>
  </si>
  <si>
    <t>Thiết Kế công trình KTX Nam Định</t>
  </si>
  <si>
    <t>Đỗ Thành Nhân</t>
  </si>
  <si>
    <t>THIẾT KẾ CÔNG TRÌNH Chung cư ĐTN Premier - Quy Nhơn, Gia Lai</t>
  </si>
  <si>
    <t>Lê Trương Tấn Hiệp</t>
  </si>
  <si>
    <t>Thiết kế công trình trụ sở làm việc xã Phú Hựu - Đồng Tháp</t>
  </si>
  <si>
    <t>Hồ Hữu Huy</t>
  </si>
  <si>
    <t>Thiết kế công trình chung cư Thanh Long - Gia Định - Tp Hồ Chí Minh</t>
  </si>
  <si>
    <t>Nguyễn Duy Phương</t>
  </si>
  <si>
    <t>Thiết kế công trình Nhà ở Chung Cư NDP GREEN VIEW - Mộ Đức, Quảng Ngãi.</t>
  </si>
  <si>
    <t>Ngô Hữu Sơn</t>
  </si>
  <si>
    <t>Thiết kế công trình chung cư cao cấp Văn Phú - Kim Liên - Tp Hà Nội</t>
  </si>
  <si>
    <t>Dương Hồng Sếp</t>
  </si>
  <si>
    <t>Thiết kế công trình chung chư Hồng Sếp, Tp. Hồ Chí Minh</t>
  </si>
  <si>
    <t>Trần Ngọc Yến Vy</t>
  </si>
  <si>
    <t>Thiết kế công trình chung cư cao cấp An Phú - Cái Răng - Cần Thơ</t>
  </si>
  <si>
    <t>Cao Văn Quốc</t>
  </si>
  <si>
    <t>Thiết kế công trình ký túc xá Trường đại học FPT - Long Thạnh Mỹ - Tp Hồ Chí Minh</t>
  </si>
  <si>
    <t>Ngô Văn Thạch</t>
  </si>
  <si>
    <t xml:space="preserve">Thiết kế công trình chung cư Sea Links - Phan Thiết, Lâm Đồng </t>
  </si>
  <si>
    <t>Giang Phi</t>
  </si>
  <si>
    <t xml:space="preserve">Thiết kế công trình Kho chứa rác tại Tp. Hồ Chí Minh </t>
  </si>
  <si>
    <t>Nguyễn Đức Huy</t>
  </si>
  <si>
    <t>Thiết kế công trình Chung cư Đức Huy, TP. Hồ Chí Minh</t>
  </si>
  <si>
    <t>Nguyễn Xuân Vũ</t>
  </si>
  <si>
    <t>Thiết kế công trình chung cư Nam Hà - Bình Phú - Gia Lai</t>
  </si>
  <si>
    <t>Lê Xuân Sinh</t>
  </si>
  <si>
    <t>Thiết kế công trình chung cư Sunhouse - Đồng Hỡi - Quảng Trị</t>
  </si>
  <si>
    <t>Đinh Việt An</t>
  </si>
  <si>
    <t>Thiết kế công trình chung cư An Việt - Thành Sen - Hà Tĩnh</t>
  </si>
  <si>
    <t>Lâm Thị Tú Anh</t>
  </si>
  <si>
    <t>THIẾT KẾ CÔNG TRÌNH VĂN PHÒNG CHO THUÊ SOOFI- TPHCM</t>
  </si>
  <si>
    <t>Phạm Ngọc Dũng</t>
  </si>
  <si>
    <t>Thiết kế công trình trụ sở làm việc công an tỉnh Đắk Lắk</t>
  </si>
  <si>
    <t>Nguyễn Cao Minh Đạt</t>
  </si>
  <si>
    <t>Thiết kế công trình chung cư Ánh Sáng - Cao Lãnh - Đồng Tháp</t>
  </si>
  <si>
    <t>Nguyễn Ngọc Minh Tiến</t>
  </si>
  <si>
    <t>THIẾT KẾ CÔNG TRÌNH CHUNG CƯ NNMT GREEN DREAM - PHƯỚC LONG- ĐỒNG NAI</t>
  </si>
  <si>
    <t>Châu Mạnh Cường</t>
  </si>
  <si>
    <t>Thiết kế công trình chung cư CMC - Phú Thủy - Phan Thiết</t>
  </si>
  <si>
    <t>Nguyễn Tuấn Anh</t>
  </si>
  <si>
    <t>THIẾT KẾ CÔNG TRÌNH CHUNG CƯ TUẤN ANH - HÀ NỘI</t>
  </si>
  <si>
    <t>Nguyễn Quang Huy</t>
  </si>
  <si>
    <t>Thiết kế công trình chung cư NQH- Pleiku-Gia Lai</t>
  </si>
  <si>
    <t>Ngô Đức Thịnh</t>
  </si>
  <si>
    <t>Thiết kế công trình chung cư Đức Thịnh, Xã Thủ Thừa, Tỉnh Tây Ninh</t>
  </si>
  <si>
    <t>Nguyễn Phước Việt</t>
  </si>
  <si>
    <t>Thiết kế hồ chứa Hồ Móng</t>
  </si>
  <si>
    <t>Võ Huy Hoà</t>
  </si>
  <si>
    <t>Thiết kế hồ chứa  Sông Dinh 3</t>
  </si>
  <si>
    <t>Trần Văn Bảo</t>
  </si>
  <si>
    <t>S21-60GT</t>
  </si>
  <si>
    <t>Thiết kế Tuyến đường qua hai điểm E1 -  G1  thuộc tỉnh Đắk Lắk</t>
  </si>
  <si>
    <t>TS. Trương Văn Đoàn</t>
  </si>
  <si>
    <t>S23-62GT</t>
  </si>
  <si>
    <t>Thiết kế Tuyến đường qua hai điểm E2 -  G2  thuộc tỉnh Khánh Hòa</t>
  </si>
  <si>
    <t>Trần Kim Thiên</t>
  </si>
  <si>
    <t>Thiết kế Tuyến đường qua hai điểm E3  -  G3  thuộc tỉnh Đồng Nai</t>
  </si>
  <si>
    <t>S24-63CT</t>
  </si>
  <si>
    <t>Thiết kế tổ chức thi công công trình cống Âu Rạch Mọp - Sóc Trăng</t>
  </si>
  <si>
    <t>PGS.TS. Lê Trung Thành</t>
  </si>
  <si>
    <t>TS. Phan Khanh Khánh</t>
  </si>
  <si>
    <t>Phạm Hải Đăng</t>
  </si>
  <si>
    <t>S23-62CT</t>
  </si>
  <si>
    <t>Thiết kế tổ chức thi công công trình cống Cái Bè Sáu - Bến Tre</t>
  </si>
  <si>
    <t>Võ Minh Huy</t>
  </si>
  <si>
    <t>Thiết kế tổ chức thi công cống Ông Văn PA2 - Đồng Tháp</t>
  </si>
  <si>
    <t>PGS.TS. Võ Công Hoang</t>
  </si>
  <si>
    <t>Nguyễn Trung Kiện</t>
  </si>
  <si>
    <t>Thiết kế hồ chứa nước Đắk Buk So - Lâm Đồng - Phương Án 1</t>
  </si>
  <si>
    <t>TS. Nguyễn Thị Phương Mai</t>
  </si>
  <si>
    <t>Cao Thị Thảo Sương</t>
  </si>
  <si>
    <t>Thiết kế hồ chứa nước Sơn Lợi - Đồng Nai - Phương Án 1</t>
  </si>
  <si>
    <t>Nguyễn Thị Yến Nhi</t>
  </si>
  <si>
    <t>Thiết kế hồ chứa nước Sơn Lợi - Đồng Nai - Phương Án 2</t>
  </si>
  <si>
    <t>Lê Phát Đạt</t>
  </si>
  <si>
    <t>Thiết kế hồ chứa nước Đắk Buk So - Lâm Đồng - Phương Án 2</t>
  </si>
  <si>
    <t>Nguyễn Quang Minh</t>
  </si>
  <si>
    <t>Thiết kế hồ chứa nước Bác Ái - Khánh Hòa - Phương Án 1</t>
  </si>
  <si>
    <t>Đặng Phúc Thịnh</t>
  </si>
  <si>
    <t>Thiết kế hồ chứa nước Bác Ái - Khánh Hòa - Phương Án 2</t>
  </si>
  <si>
    <t>Lưu Thị Linh Uyên</t>
  </si>
  <si>
    <t>S22-61C</t>
  </si>
  <si>
    <t>Thiết kế hồ chứa nước Suối Bình - Đồng Nai -  Phương Án 1</t>
  </si>
  <si>
    <t>Nguyễn Thị Tố Quyên</t>
  </si>
  <si>
    <t>Thiết kế hồ chứa nước Suối Bình - Đồng Nai -  Phương Án 2</t>
  </si>
  <si>
    <t>Đặng Đình Tài</t>
  </si>
  <si>
    <t>Thiết kế hồ chứa nước Suối Cái - Khánh Hòa -  Phương Án 2</t>
  </si>
  <si>
    <t>Phạm Quốc Huy</t>
  </si>
  <si>
    <t>Thiết kế hồ chứa nước Suối Cái - Khánh Hòa -  Phương Án 1</t>
  </si>
  <si>
    <t>Phan Thanh Bình</t>
  </si>
  <si>
    <t>Thiết kế hồ chứa nước Ka Tang, tỉnh Lâm Đồng</t>
  </si>
  <si>
    <t>Phan Thu Ngân</t>
  </si>
  <si>
    <t>S21-60KT</t>
  </si>
  <si>
    <t>Kế toán</t>
  </si>
  <si>
    <t>Kế toán thanh toán với người bán, người mua tại Công Ty CP Đầu Tư Và Phát Triển Đô Thị Mới Sông Lam</t>
  </si>
  <si>
    <t>K61</t>
  </si>
  <si>
    <t>S23-62QT-Mar</t>
  </si>
  <si>
    <t>K63</t>
  </si>
  <si>
    <t>K60</t>
  </si>
  <si>
    <t>K62</t>
  </si>
  <si>
    <t>K54TC</t>
  </si>
  <si>
    <t>VLVH</t>
  </si>
  <si>
    <t>Chính quy</t>
  </si>
  <si>
    <t>Họ và tên</t>
  </si>
  <si>
    <t>Số điểm tích lũy</t>
  </si>
  <si>
    <t>Điều kiện nhận HPTN</t>
  </si>
  <si>
    <t>Ghi Chú</t>
  </si>
  <si>
    <t>1</t>
  </si>
  <si>
    <t>2.03</t>
  </si>
  <si>
    <t>Đủ đk</t>
  </si>
  <si>
    <t>2</t>
  </si>
  <si>
    <t>1.96</t>
  </si>
  <si>
    <t>3</t>
  </si>
  <si>
    <t>2.01</t>
  </si>
  <si>
    <t>4</t>
  </si>
  <si>
    <t>5</t>
  </si>
  <si>
    <t>1.95</t>
  </si>
  <si>
    <t>Kỹ thuật xây dựng công trình giao thông</t>
  </si>
  <si>
    <t>6</t>
  </si>
  <si>
    <t>7</t>
  </si>
  <si>
    <t>1.99</t>
  </si>
  <si>
    <t>8</t>
  </si>
  <si>
    <t>9</t>
  </si>
  <si>
    <t>10</t>
  </si>
  <si>
    <t>11</t>
  </si>
  <si>
    <t>Đủ Đk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</si>
  <si>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</si>
  <si>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</si>
  <si>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</si>
  <si>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</si>
  <si>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</si>
  <si>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</si>
  <si>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</si>
  <si>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</si>
  <si>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</si>
  <si>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</si>
  <si>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</si>
  <si>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</si>
  <si>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2.08</t>
  </si>
  <si>
    <t>Công nghệ kỹ thuật xây dựng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</si>
  <si>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</si>
  <si>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</si>
  <si>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</si>
  <si>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</si>
  <si>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</si>
  <si>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</si>
  <si>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</si>
  <si>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</si>
  <si>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</si>
  <si>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</si>
  <si>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</si>
  <si>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</si>
  <si>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Công nghệ thông tin</t>
  </si>
  <si>
    <t>36</t>
  </si>
  <si>
    <t>2.58</t>
  </si>
  <si>
    <t>37</t>
  </si>
  <si>
    <t>38</t>
  </si>
  <si>
    <t>39</t>
  </si>
  <si>
    <t>40</t>
  </si>
  <si>
    <t>41</t>
  </si>
  <si>
    <t>2.24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</si>
  <si>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</si>
  <si>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</si>
  <si>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</si>
  <si>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</si>
  <si>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</si>
  <si>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</si>
  <si>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</si>
  <si>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</si>
  <si>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</si>
  <si>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</si>
  <si>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</si>
  <si>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</si>
  <si>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</si>
  <si>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</si>
  <si>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</si>
  <si>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</si>
  <si>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</si>
  <si>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</si>
  <si>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</si>
  <si>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</si>
  <si>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</si>
  <si>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</si>
  <si>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</si>
  <si>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</si>
  <si>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</si>
  <si>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</si>
  <si>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</si>
  <si>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</si>
  <si>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</si>
  <si>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</si>
  <si>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</si>
  <si>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</si>
  <si>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</si>
  <si>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</si>
  <si>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</si>
  <si>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</si>
  <si>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</si>
  <si>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</si>
  <si>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</si>
  <si>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</si>
  <si>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</si>
  <si>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Khiếu Hoàng Thiện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</si>
  <si>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</si>
  <si>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</si>
  <si>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</si>
  <si>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</si>
  <si>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</si>
  <si>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</si>
  <si>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</si>
  <si>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</si>
  <si>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</si>
  <si>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</si>
  <si>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</si>
  <si>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</si>
  <si>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</si>
  <si>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</si>
  <si>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</si>
  <si>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</si>
  <si>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</si>
  <si>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</si>
  <si>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</si>
  <si>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</si>
  <si>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</si>
  <si>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</si>
  <si>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</si>
  <si>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</si>
  <si>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</si>
  <si>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</si>
  <si>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</si>
  <si>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</si>
  <si>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</si>
  <si>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</si>
  <si>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</si>
  <si>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</si>
  <si>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</si>
  <si>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</si>
  <si>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</si>
  <si>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</si>
  <si>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</si>
  <si>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</si>
  <si>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</si>
  <si>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</si>
  <si>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</si>
  <si>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Nguyễn thị Xuân Quỳnh</t>
  </si>
  <si>
    <t>124</t>
  </si>
  <si>
    <t>3.7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</si>
  <si>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</si>
  <si>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</si>
  <si>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</si>
  <si>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</si>
  <si>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</si>
  <si>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</si>
  <si>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</si>
  <si>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</si>
  <si>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</si>
  <si>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</si>
  <si>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</si>
  <si>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</si>
  <si>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</si>
  <si>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</si>
  <si>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</si>
  <si>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</si>
  <si>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</si>
  <si>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Logistics và quản lý chuỗi cung ứng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</si>
  <si>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</si>
  <si>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</si>
  <si>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</si>
  <si>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</si>
  <si>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</si>
  <si>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</si>
  <si>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</si>
  <si>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</si>
  <si>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</si>
  <si>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</si>
  <si>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</si>
  <si>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</si>
  <si>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</si>
  <si>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</si>
  <si>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</si>
  <si>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</si>
  <si>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</si>
  <si>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</si>
  <si>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</si>
  <si>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</si>
  <si>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</si>
  <si>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</si>
  <si>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</si>
  <si>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</si>
  <si>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</si>
  <si>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</si>
  <si>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</si>
  <si>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</si>
  <si>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</si>
  <si>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</si>
  <si>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</si>
  <si>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</si>
  <si>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</si>
  <si>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</si>
  <si>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</si>
  <si>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</si>
  <si>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</si>
  <si>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</si>
  <si>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</si>
  <si>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</si>
  <si>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</si>
  <si>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</si>
  <si>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</si>
  <si>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</si>
  <si>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</si>
  <si>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</si>
  <si>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</si>
  <si>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</si>
  <si>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</si>
  <si>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2.54</t>
  </si>
  <si>
    <t>191</t>
  </si>
  <si>
    <t>2.52</t>
  </si>
  <si>
    <t>192</t>
  </si>
  <si>
    <t>2.3</t>
  </si>
  <si>
    <t>193</t>
  </si>
  <si>
    <t>2.28</t>
  </si>
  <si>
    <t>194</t>
  </si>
  <si>
    <t>2.38</t>
  </si>
  <si>
    <t>195</t>
  </si>
  <si>
    <t>196</t>
  </si>
  <si>
    <t>197</t>
  </si>
  <si>
    <t>Bộ môn Kế toán và Quản trị kinh doanh</t>
  </si>
  <si>
    <t>Mã sinh viên</t>
  </si>
  <si>
    <t>Họ tên</t>
  </si>
  <si>
    <t>Tên đề tài</t>
  </si>
  <si>
    <t>Tên đề tài hiệu chỉnh</t>
  </si>
  <si>
    <t>Giảng viên hướng dẫn 1</t>
  </si>
  <si>
    <t>Hiệu chỉnh giảng viên hướng dẫn</t>
  </si>
  <si>
    <t>Giảng viên hướng dẫn 2</t>
  </si>
  <si>
    <t>Hoàn thiện hoạt động bán hàng tại Công ty Cổ phần Đầu tư và Phát triển Bất động sản Richard Land</t>
  </si>
  <si>
    <t>Bộ môn Kế toàn và Quản trị kinh doanh</t>
  </si>
  <si>
    <t>Hoàn thiện công tác đào tạo nguồn nhân lực tại Công ty Trách Nhiệm Hữu Hạn Merimen Technologies (VIỆT NAM)</t>
  </si>
  <si>
    <t>Thực trạng hoạt động marketing mix tại Công ty TNHH Tư vấn và Giáo dục Thiên Bảo</t>
  </si>
  <si>
    <t>Kế toán thanh toán với người mua người bán tại Công ty cổ phần Homedoor Vina.</t>
  </si>
  <si>
    <t>Kế toán thanh toán với người mua, người bán tại Công Ty Cổ Phần Tập Đoàn UNIS</t>
  </si>
  <si>
    <t>Hoàn thiện hoạt động giao nhận hàng hóa nhập khẩu nguyên container bằng đường biển tại Công ty TNHH TM VÀ DV VẠN HẢI</t>
  </si>
  <si>
    <t>Hoạt động tuyển dụng tại Công ty TNHH Một Thành Viên TMDV Quốc Dũng: Thực trạng và giải pháp</t>
  </si>
  <si>
    <t>Hoàn thiện công tác chăm sóc khách hàng tại Radisson Blu Resort Phú Quốc</t>
  </si>
  <si>
    <t>Hoàn thiện công tác chăm sóc khách hàng tại Công ty TNHH Vận Tải Dương Nguyên</t>
  </si>
  <si>
    <t>Hoàn thiện công tác đào tạo nguồn nhân lực tại Công ty Cổ phần Central Retail Corporation (Việt Nam)</t>
  </si>
  <si>
    <t>Thiết kế hồ chứa Hồ Mòng</t>
  </si>
  <si>
    <t>Thiết kế tổ chức thi công công trình cống Cái Bè Sâu - Bến Tre</t>
  </si>
  <si>
    <t>Thiết kế hệ thống cấp nước Khu đô thị mới An Lạc 1, tỉnh Đồng Tháp tới năm 2040</t>
  </si>
  <si>
    <t>Bộ môn Kỹ thuật tài nguyên nước và môi trường</t>
  </si>
  <si>
    <t>Thiết kế hệ thống cấp nước đô thị Tân Châu, tỉnh Đồng Tháp tới năm 2040</t>
  </si>
  <si>
    <t>Thiết kế hệ thống cấp nước Khu đô thị  thương mại dịch vụ ven sông phía Đông Sa Đéc, tỉnh Đồng Tháp tới năm 2040</t>
  </si>
  <si>
    <t>Thiết kế hệ thống cấp nước Khu đô thị Long Hòa, Dầu Tiếng, TP. Hồ Chí Minh tới 2040</t>
  </si>
  <si>
    <t xml:space="preserve">Quy hoạch hệ thống thuỷ lợi hồ chứa nước Cam Ranh </t>
  </si>
  <si>
    <t>Thiết kế hệ thống cấp nước Khu dân cư Hòa Thành, tỉnh Đồng Tháp tới năm 2040</t>
  </si>
  <si>
    <t>Phân tích hoạt động quản lý kho vật liệu xây dựng tại Công ty TNHH đầu tư xây dựng Sơn Phát</t>
  </si>
  <si>
    <t>Nơi sinh
sau sát nhập</t>
  </si>
  <si>
    <t>261544163</t>
  </si>
  <si>
    <t>Phan Hoàng Vũ</t>
  </si>
  <si>
    <t>14/11/1998</t>
  </si>
  <si>
    <t>Nam</t>
  </si>
  <si>
    <t>Bình Thuận</t>
  </si>
  <si>
    <t>261660192</t>
  </si>
  <si>
    <t>Trần Lan Anh</t>
  </si>
  <si>
    <t>01/03/2002</t>
  </si>
  <si>
    <t>Nữ</t>
  </si>
  <si>
    <t>Cao Minh Hoàng</t>
  </si>
  <si>
    <t>24/12/2002</t>
  </si>
  <si>
    <t>Đắk Lắk</t>
  </si>
  <si>
    <t>301687967</t>
  </si>
  <si>
    <t>Trần Thị Yến Huỳnh</t>
  </si>
  <si>
    <t>23/02/2000</t>
  </si>
  <si>
    <t>Long An</t>
  </si>
  <si>
    <t>321793552</t>
  </si>
  <si>
    <t>Phạm Thanh Triều</t>
  </si>
  <si>
    <t>13/10/2002</t>
  </si>
  <si>
    <t>Bến Tre</t>
  </si>
  <si>
    <t>281294313</t>
  </si>
  <si>
    <t>Nguyễn Nhật Minh</t>
  </si>
  <si>
    <t>23/06/2002</t>
  </si>
  <si>
    <t>Bình Dương</t>
  </si>
  <si>
    <t>079202005751</t>
  </si>
  <si>
    <t>Phạm Công Danh</t>
  </si>
  <si>
    <t>09/10/2002</t>
  </si>
  <si>
    <t>Hồ Chí Minh</t>
  </si>
  <si>
    <t>080202000334</t>
  </si>
  <si>
    <t>Hồ Quang Thịnh</t>
  </si>
  <si>
    <t>342069050</t>
  </si>
  <si>
    <t>Nguyễn Thị Kim Tỏa</t>
  </si>
  <si>
    <t>18/05/2002</t>
  </si>
  <si>
    <t>Đồng Tháp</t>
  </si>
  <si>
    <t>079202036660</t>
  </si>
  <si>
    <t>Võ Vũ Trường Giang</t>
  </si>
  <si>
    <t>20/04/2002</t>
  </si>
  <si>
    <t>241997506</t>
  </si>
  <si>
    <t>Trần Văn Phúc</t>
  </si>
  <si>
    <t>20/09/2002</t>
  </si>
  <si>
    <t>077302001384</t>
  </si>
  <si>
    <t>Bùi Thị Tuyết Nhi</t>
  </si>
  <si>
    <t>10/10/2002</t>
  </si>
  <si>
    <t>Bà Rịa - Vũng Tàu</t>
  </si>
  <si>
    <t>000215569483</t>
  </si>
  <si>
    <t>Nguyễn Tiến Nam</t>
  </si>
  <si>
    <t>13/11/2002</t>
  </si>
  <si>
    <t>Bình Định</t>
  </si>
  <si>
    <t>241759985</t>
  </si>
  <si>
    <t>Nguyễn Đình Phúc</t>
  </si>
  <si>
    <t>12/09/2001</t>
  </si>
  <si>
    <t>036302009733</t>
  </si>
  <si>
    <t>Trần Thu Phương</t>
  </si>
  <si>
    <t>09/03/2002</t>
  </si>
  <si>
    <t>Quảng Bình</t>
  </si>
  <si>
    <t>000215569644</t>
  </si>
  <si>
    <t>Nguyễn Thanh Nhựt</t>
  </si>
  <si>
    <t>20/11/2002</t>
  </si>
  <si>
    <t>038202006539</t>
  </si>
  <si>
    <t>Lê Đức Hải</t>
  </si>
  <si>
    <t>Thanh Hóa</t>
  </si>
  <si>
    <t>231320406</t>
  </si>
  <si>
    <t>Lê Ngọc Minh</t>
  </si>
  <si>
    <t>13/01/2002</t>
  </si>
  <si>
    <t>Gia Lai</t>
  </si>
  <si>
    <t>075202000270</t>
  </si>
  <si>
    <t>Võ Trác Luân</t>
  </si>
  <si>
    <t>13/07/2002</t>
  </si>
  <si>
    <t>221546140</t>
  </si>
  <si>
    <t>Nguyễn Chí Nguyên</t>
  </si>
  <si>
    <t>23/10/2002</t>
  </si>
  <si>
    <t>Phú Yên</t>
  </si>
  <si>
    <t>079202012403</t>
  </si>
  <si>
    <t>Nguyễn Văn Sỹ</t>
  </si>
  <si>
    <t>14/11/2002</t>
  </si>
  <si>
    <t>272905724</t>
  </si>
  <si>
    <t>Nguyễn Thanh Liêm</t>
  </si>
  <si>
    <t>31/07/2002</t>
  </si>
  <si>
    <t>Đồng Nai</t>
  </si>
  <si>
    <t>221519275</t>
  </si>
  <si>
    <t>Trần Thị Thu Lam</t>
  </si>
  <si>
    <t>18/02/2002</t>
  </si>
  <si>
    <t>272960242</t>
  </si>
  <si>
    <t>Đinh Thanh Hiếu</t>
  </si>
  <si>
    <t>23/09/2002</t>
  </si>
  <si>
    <t>312510907</t>
  </si>
  <si>
    <t>18/12/2002</t>
  </si>
  <si>
    <t>Tiền Giang</t>
  </si>
  <si>
    <t>342069044</t>
  </si>
  <si>
    <t>Lê Thị Quế Anh</t>
  </si>
  <si>
    <t>17/10/2002</t>
  </si>
  <si>
    <t>079202029531</t>
  </si>
  <si>
    <t>Nguyễn Văn Thử</t>
  </si>
  <si>
    <t>26/03/2002</t>
  </si>
  <si>
    <t>285767420</t>
  </si>
  <si>
    <t>Dương Văn Khánh</t>
  </si>
  <si>
    <t>Bình Phước</t>
  </si>
  <si>
    <t>187978674</t>
  </si>
  <si>
    <t>Nguyễn Xuân Tuấn</t>
  </si>
  <si>
    <t>10/06/2002</t>
  </si>
  <si>
    <t>Nghệ An</t>
  </si>
  <si>
    <t>382042514</t>
  </si>
  <si>
    <t>Huỳnh Ngọc Hân</t>
  </si>
  <si>
    <t>10/08/2002</t>
  </si>
  <si>
    <t>Cà Mau</t>
  </si>
  <si>
    <t>261567271</t>
  </si>
  <si>
    <t>Nguyễn Văn Duy</t>
  </si>
  <si>
    <t>02/02/2002</t>
  </si>
  <si>
    <t>264585364</t>
  </si>
  <si>
    <t>Phạm Thị Bách Tuyến</t>
  </si>
  <si>
    <t>Ninh Thuận</t>
  </si>
  <si>
    <t>215537106</t>
  </si>
  <si>
    <t>Nguyễn Huỳnh Tú Quyên</t>
  </si>
  <si>
    <t>01/01/2002</t>
  </si>
  <si>
    <t>381965494</t>
  </si>
  <si>
    <t>Hiệp Hữu Duyên</t>
  </si>
  <si>
    <t>22/12/2002</t>
  </si>
  <si>
    <t>231352518</t>
  </si>
  <si>
    <t>Bùi Thị Ngọc</t>
  </si>
  <si>
    <t>16/08/2002</t>
  </si>
  <si>
    <t>077202000487</t>
  </si>
  <si>
    <t>Huỳnh Trọng Tuấn</t>
  </si>
  <si>
    <t>20/01/2002</t>
  </si>
  <si>
    <t>036302006527</t>
  </si>
  <si>
    <t>Nguyễn Thị Ngọc Anh</t>
  </si>
  <si>
    <t>Nam Định</t>
  </si>
  <si>
    <t>261642119</t>
  </si>
  <si>
    <t>Trác Huỳnh Huy Thông</t>
  </si>
  <si>
    <t>19/03/2002</t>
  </si>
  <si>
    <t>044302004589</t>
  </si>
  <si>
    <t>Hoàng Thị Thu Giang</t>
  </si>
  <si>
    <t>13/06/2002</t>
  </si>
  <si>
    <t>352665020</t>
  </si>
  <si>
    <t>Tăng Việt Tân</t>
  </si>
  <si>
    <t>02/09/2002</t>
  </si>
  <si>
    <t>An Giang</t>
  </si>
  <si>
    <t>077202004680</t>
  </si>
  <si>
    <t>Phạm Minh Hiếu</t>
  </si>
  <si>
    <t>08/10/2002</t>
  </si>
  <si>
    <t>385830799</t>
  </si>
  <si>
    <t>Võ Quốc Truyển</t>
  </si>
  <si>
    <t>05/01/2002</t>
  </si>
  <si>
    <t>Bạc Liêu</t>
  </si>
  <si>
    <t>261640319</t>
  </si>
  <si>
    <t>Lê Thị Nhung</t>
  </si>
  <si>
    <t>30/10/2002</t>
  </si>
  <si>
    <t>276017265</t>
  </si>
  <si>
    <t>Huỳnh Thị Thanh Thảo</t>
  </si>
  <si>
    <t>06/03/2002</t>
  </si>
  <si>
    <t>245412618</t>
  </si>
  <si>
    <t>Nguyễn Văn Dương</t>
  </si>
  <si>
    <t>28/06/2002</t>
  </si>
  <si>
    <t>Đắk Nông</t>
  </si>
  <si>
    <t>079302011426</t>
  </si>
  <si>
    <t>Huỳnh Thảo Phương Tâm</t>
  </si>
  <si>
    <t>07/11/2002</t>
  </si>
  <si>
    <t>077302000971</t>
  </si>
  <si>
    <t>Võ Thị Bích Tuyền</t>
  </si>
  <si>
    <t>05/02/2002</t>
  </si>
  <si>
    <t>272920892</t>
  </si>
  <si>
    <t>Nguyễn Vũ Thu Uyên</t>
  </si>
  <si>
    <t>07/12/2002</t>
  </si>
  <si>
    <t>044202004891</t>
  </si>
  <si>
    <t>Nguyễn Xuân Bằng</t>
  </si>
  <si>
    <t>285736231</t>
  </si>
  <si>
    <t>06/11/2002</t>
  </si>
  <si>
    <t>261614082</t>
  </si>
  <si>
    <t>Huỳnh Thị Thanh Lam</t>
  </si>
  <si>
    <t>000215575218</t>
  </si>
  <si>
    <t>Lê Phương Nhàn</t>
  </si>
  <si>
    <t>25/11/2002</t>
  </si>
  <si>
    <t>272799918</t>
  </si>
  <si>
    <t>Nguyễn Trọng Nhân</t>
  </si>
  <si>
    <t>11/09/2000</t>
  </si>
  <si>
    <t>261614077</t>
  </si>
  <si>
    <t>Đinh Nhật Triều</t>
  </si>
  <si>
    <t>15/12/2002</t>
  </si>
  <si>
    <t>077202003126</t>
  </si>
  <si>
    <t>Lê Hửu Phước</t>
  </si>
  <si>
    <t>02/05/2002</t>
  </si>
  <si>
    <t>187827203</t>
  </si>
  <si>
    <t>Nguyễn Quốc Hải</t>
  </si>
  <si>
    <t>16/11/2001</t>
  </si>
  <si>
    <t>079202007213</t>
  </si>
  <si>
    <t>19/11/2002</t>
  </si>
  <si>
    <t>031202007904</t>
  </si>
  <si>
    <t>Phạm Đức Quốc Khánh</t>
  </si>
  <si>
    <t>13/08/2002</t>
  </si>
  <si>
    <t>Hải Phòng</t>
  </si>
  <si>
    <t>079202035750</t>
  </si>
  <si>
    <t>Huỳnh Việt Quang</t>
  </si>
  <si>
    <t>07/10/2002</t>
  </si>
  <si>
    <t>079202027755</t>
  </si>
  <si>
    <t>Nguyễn Hoàng Hải Đăng</t>
  </si>
  <si>
    <t>18/11/2002</t>
  </si>
  <si>
    <t>221531650</t>
  </si>
  <si>
    <t>Lê Thị Như Quỳnh</t>
  </si>
  <si>
    <t>26/01/2002</t>
  </si>
  <si>
    <t>371889866</t>
  </si>
  <si>
    <t>Trần Minh Phú</t>
  </si>
  <si>
    <t>25/01/2000</t>
  </si>
  <si>
    <t>Kiên Giang</t>
  </si>
  <si>
    <t>241918491</t>
  </si>
  <si>
    <t>Phạm Kiều Băng Nhi</t>
  </si>
  <si>
    <t>07/08/2002</t>
  </si>
  <si>
    <t>079302032107</t>
  </si>
  <si>
    <t>Lâm Thị Mỹ Anh</t>
  </si>
  <si>
    <t>22/03/2002</t>
  </si>
  <si>
    <t>312532322</t>
  </si>
  <si>
    <t>Võ Hoàng Huy</t>
  </si>
  <si>
    <t>21/08/2002</t>
  </si>
  <si>
    <t>335014890</t>
  </si>
  <si>
    <t>Đỗ Hoài Anh Vy</t>
  </si>
  <si>
    <t>03/01/2002</t>
  </si>
  <si>
    <t>Trà Vinh</t>
  </si>
  <si>
    <t>092302007262</t>
  </si>
  <si>
    <t>Nguyễn Ngọc Kiều Tiên</t>
  </si>
  <si>
    <t>29/08/2002</t>
  </si>
  <si>
    <t>Cần Thơ</t>
  </si>
  <si>
    <t>231238500</t>
  </si>
  <si>
    <t>15/07/2002</t>
  </si>
  <si>
    <t>221533652</t>
  </si>
  <si>
    <t>Trần Thị Kim Thư</t>
  </si>
  <si>
    <t>22/10/2002</t>
  </si>
  <si>
    <t>312507647</t>
  </si>
  <si>
    <t>Phạm Nhật Thanh</t>
  </si>
  <si>
    <t>08/12/2002</t>
  </si>
  <si>
    <t>245395916</t>
  </si>
  <si>
    <t>Đặng Bảo Trâm</t>
  </si>
  <si>
    <t>23/12/2002</t>
  </si>
  <si>
    <t>261657837</t>
  </si>
  <si>
    <t>Huỳnh Quốc Lượng</t>
  </si>
  <si>
    <t>25/06/2002</t>
  </si>
  <si>
    <t>215563810</t>
  </si>
  <si>
    <t>Trần Nam Khoa</t>
  </si>
  <si>
    <t>215537382</t>
  </si>
  <si>
    <t>Hồ Thị Lan Nhi</t>
  </si>
  <si>
    <t>21/04/2002</t>
  </si>
  <si>
    <t>251271677</t>
  </si>
  <si>
    <t>Trịnh Thị Vân Linh</t>
  </si>
  <si>
    <t>17/11/2002</t>
  </si>
  <si>
    <t>Lâm Đồng</t>
  </si>
  <si>
    <t>221510374</t>
  </si>
  <si>
    <t>14/08/2002</t>
  </si>
  <si>
    <t>231345534</t>
  </si>
  <si>
    <t xml:space="preserve"> Sếp</t>
  </si>
  <si>
    <t>03/07/2001</t>
  </si>
  <si>
    <t>077302005184</t>
  </si>
  <si>
    <t>Nguyễn Thị Phi Nhung</t>
  </si>
  <si>
    <t>15/03/2002</t>
  </si>
  <si>
    <t>038302002749</t>
  </si>
  <si>
    <t>Hàn Thị Tuyết Mai</t>
  </si>
  <si>
    <t>10/02/2002</t>
  </si>
  <si>
    <t>264561475</t>
  </si>
  <si>
    <t>Phạm Thị Kim Tuyến</t>
  </si>
  <si>
    <t>28/03/2002</t>
  </si>
  <si>
    <t>241953591</t>
  </si>
  <si>
    <t>Nguyễn Thị Thúy Hằng</t>
  </si>
  <si>
    <t>17/05/2002</t>
  </si>
  <si>
    <t>261640414</t>
  </si>
  <si>
    <t>Đặng Lê Khả Tú</t>
  </si>
  <si>
    <t>08/11/2002</t>
  </si>
  <si>
    <t>206442788</t>
  </si>
  <si>
    <t>Nguyễn Thị Ly Na</t>
  </si>
  <si>
    <t>02/01/2002</t>
  </si>
  <si>
    <t>Quảng Nam</t>
  </si>
  <si>
    <t>079302031780</t>
  </si>
  <si>
    <t>Trương Cẩm Thư</t>
  </si>
  <si>
    <t>09/02/2002</t>
  </si>
  <si>
    <t>352689093</t>
  </si>
  <si>
    <t>Nguyễn Hồ Hoàng Trọng</t>
  </si>
  <si>
    <t>02/08/2002</t>
  </si>
  <si>
    <t>212851187</t>
  </si>
  <si>
    <t>Nguyễn Thị Hơn</t>
  </si>
  <si>
    <t>19/09/2002</t>
  </si>
  <si>
    <t>Quảng Ngãi</t>
  </si>
  <si>
    <t>079202014120</t>
  </si>
  <si>
    <t xml:space="preserve">Trần Thuận An </t>
  </si>
  <si>
    <t>01/02/2002</t>
  </si>
  <si>
    <t>352623055</t>
  </si>
  <si>
    <t>Bùi Quang Tiến</t>
  </si>
  <si>
    <t>352623049</t>
  </si>
  <si>
    <t>Nguyễn Thúy Huỳnh</t>
  </si>
  <si>
    <t>04/09/2002</t>
  </si>
  <si>
    <t>335014305</t>
  </si>
  <si>
    <t>Lữ Thúy Kiều</t>
  </si>
  <si>
    <t>31/08/2002</t>
  </si>
  <si>
    <t>251254094</t>
  </si>
  <si>
    <t>Hoàng Phi Hùng</t>
  </si>
  <si>
    <t>08/12/2001</t>
  </si>
  <si>
    <t>225773436</t>
  </si>
  <si>
    <t>Trương Hữu Trí</t>
  </si>
  <si>
    <t>Khánh Hòa</t>
  </si>
  <si>
    <t>079202000537</t>
  </si>
  <si>
    <t>Trần Minh Trí</t>
  </si>
  <si>
    <t>21/03/2002</t>
  </si>
  <si>
    <t>312494349</t>
  </si>
  <si>
    <t>Nguyễn Ngọc Hải My</t>
  </si>
  <si>
    <t>312509094</t>
  </si>
  <si>
    <t>Nguyễn Lý Hoàng Thành</t>
  </si>
  <si>
    <t>22/11/2002</t>
  </si>
  <si>
    <t>079302003701</t>
  </si>
  <si>
    <t>Nguyễn Như Ngọc</t>
  </si>
  <si>
    <t>079202010713</t>
  </si>
  <si>
    <t>Hồ Đắc Nghĩa</t>
  </si>
  <si>
    <t>31/12/2002</t>
  </si>
  <si>
    <t>301781491</t>
  </si>
  <si>
    <t>Đặng Thị Mỹ  Tiên</t>
  </si>
  <si>
    <t>038302008124</t>
  </si>
  <si>
    <t>Nguyễn Thị Hằng</t>
  </si>
  <si>
    <t>06/09/2002</t>
  </si>
  <si>
    <t>231420130</t>
  </si>
  <si>
    <t>Trần Nhật Ninh</t>
  </si>
  <si>
    <t>15/11/2002</t>
  </si>
  <si>
    <t>35302004865</t>
  </si>
  <si>
    <t>17/01/2002</t>
  </si>
  <si>
    <t>Hà Nam</t>
  </si>
  <si>
    <t>212868284</t>
  </si>
  <si>
    <t>Nguyễn Thị Ngọc Trinh</t>
  </si>
  <si>
    <t>23/03/2001</t>
  </si>
  <si>
    <t>215583971</t>
  </si>
  <si>
    <t>Ngô Việt Mỹ</t>
  </si>
  <si>
    <t>01/10/2002</t>
  </si>
  <si>
    <t>272897824</t>
  </si>
  <si>
    <t>Nguyễn Thị Thanh Phượng</t>
  </si>
  <si>
    <t>20/10/2002</t>
  </si>
  <si>
    <t>231412005</t>
  </si>
  <si>
    <t>Nguyễn Đức Thế Phong</t>
  </si>
  <si>
    <t>11/01/2002</t>
  </si>
  <si>
    <t>231412004</t>
  </si>
  <si>
    <t>Nguyễn Đức Chấn Phong</t>
  </si>
  <si>
    <t>385845930</t>
  </si>
  <si>
    <t>Ngô Chí  Nghiệm</t>
  </si>
  <si>
    <t>14/07/2002</t>
  </si>
  <si>
    <t>251246458</t>
  </si>
  <si>
    <t>Võ Trần Huy Hùng</t>
  </si>
  <si>
    <t>21/01/2002</t>
  </si>
  <si>
    <t>215558856</t>
  </si>
  <si>
    <t>Nguyễn Thị Kiêm</t>
  </si>
  <si>
    <t>10/09/2002</t>
  </si>
  <si>
    <t>352623095</t>
  </si>
  <si>
    <t>Nguyễn Hưng Phát</t>
  </si>
  <si>
    <t>14/06/2002</t>
  </si>
  <si>
    <t>261597663</t>
  </si>
  <si>
    <t>Vũ Thị Tuyết Hạnh</t>
  </si>
  <si>
    <t>241908082</t>
  </si>
  <si>
    <t>Nguyễn Phan Thùy Trang</t>
  </si>
  <si>
    <t>14/02/2002</t>
  </si>
  <si>
    <t>077302005887</t>
  </si>
  <si>
    <t>Phạm Thị Hiếu</t>
  </si>
  <si>
    <t>079302023628</t>
  </si>
  <si>
    <t>Dương Thị Ánh Tuyết</t>
  </si>
  <si>
    <t>12/05/2002</t>
  </si>
  <si>
    <t>264566793</t>
  </si>
  <si>
    <t>Nguyễn Thị Như Quỳnh</t>
  </si>
  <si>
    <t>07/05/2002</t>
  </si>
  <si>
    <t>034302005436</t>
  </si>
  <si>
    <t>Phạm Thu Huyền</t>
  </si>
  <si>
    <t>27/07/2002</t>
  </si>
  <si>
    <t>Thái Bình</t>
  </si>
  <si>
    <t>245420013</t>
  </si>
  <si>
    <t>Trần Thúy Hiền</t>
  </si>
  <si>
    <t>09/04/2002</t>
  </si>
  <si>
    <t>352665432</t>
  </si>
  <si>
    <t>Dương Quốc Sang</t>
  </si>
  <si>
    <t>12/01/2002</t>
  </si>
  <si>
    <t>241870918</t>
  </si>
  <si>
    <t>Huỳnh Thị Thùy Linh</t>
  </si>
  <si>
    <t>11/08/2002</t>
  </si>
  <si>
    <t>352583978</t>
  </si>
  <si>
    <t>Huỳnh Thị Thanh Hoa</t>
  </si>
  <si>
    <t>23/02/2002</t>
  </si>
  <si>
    <t>241809059</t>
  </si>
  <si>
    <t>Nguyễn Văn Hiếu</t>
  </si>
  <si>
    <t>17/04/2000</t>
  </si>
  <si>
    <t>Đắc Lắk</t>
  </si>
  <si>
    <t>079302000205</t>
  </si>
  <si>
    <t>Phạm Huỳnh Hoàng Thy</t>
  </si>
  <si>
    <t>215506389</t>
  </si>
  <si>
    <t>Phạm Lê Anh Thư</t>
  </si>
  <si>
    <t>09/11/2000</t>
  </si>
  <si>
    <t>285860830</t>
  </si>
  <si>
    <t>Ngô Văn Huy</t>
  </si>
  <si>
    <t>036202001433</t>
  </si>
  <si>
    <t>Phạm Minh Tuấn</t>
  </si>
  <si>
    <t>30/05/2002</t>
  </si>
  <si>
    <t>030202011244</t>
  </si>
  <si>
    <t>Hoàng Văn Quyền</t>
  </si>
  <si>
    <t>04/07/2002</t>
  </si>
  <si>
    <t>Hải Dương</t>
  </si>
  <si>
    <t>251277872</t>
  </si>
  <si>
    <t>077091003181</t>
  </si>
  <si>
    <t>Đoàn Đinh Thiên Vương</t>
  </si>
  <si>
    <t>17/04/1991</t>
  </si>
  <si>
    <t>033202007251</t>
  </si>
  <si>
    <t>Cao Đình Ân</t>
  </si>
  <si>
    <t>Hưng Yên</t>
  </si>
  <si>
    <t>025995847</t>
  </si>
  <si>
    <t>Trương Nhựt Tân</t>
  </si>
  <si>
    <t>28/05/2000</t>
  </si>
  <si>
    <t>215560841</t>
  </si>
  <si>
    <t>Phạm Đặng Kiều Trinh</t>
  </si>
  <si>
    <t>20/06/2002</t>
  </si>
  <si>
    <t>212573517</t>
  </si>
  <si>
    <t>Cao Quốc Cường</t>
  </si>
  <si>
    <t>01/10/1997</t>
  </si>
  <si>
    <t>371933924</t>
  </si>
  <si>
    <t>Đống Hữu Khang</t>
  </si>
  <si>
    <t>23/07/2001</t>
  </si>
  <si>
    <t>001202008785</t>
  </si>
  <si>
    <t>29/09/2002</t>
  </si>
  <si>
    <t>034202000402</t>
  </si>
  <si>
    <t>Trương Việt Anh</t>
  </si>
  <si>
    <t>15/05/2002</t>
  </si>
  <si>
    <t>312468513</t>
  </si>
  <si>
    <t>Lê Tấn Đạt</t>
  </si>
  <si>
    <t>30/11/2001</t>
  </si>
  <si>
    <t>261568058</t>
  </si>
  <si>
    <t>Đặng Nguyễn Hồ Điệp</t>
  </si>
  <si>
    <t>08/01/2002</t>
  </si>
  <si>
    <t>231369966</t>
  </si>
  <si>
    <t>Lê Công Đức</t>
  </si>
  <si>
    <t>17/09/2002</t>
  </si>
  <si>
    <t>184454699</t>
  </si>
  <si>
    <t>Võ Huy Hòa</t>
  </si>
  <si>
    <t>19/02/2002</t>
  </si>
  <si>
    <t>276064702</t>
  </si>
  <si>
    <t>382003324</t>
  </si>
  <si>
    <t>Đặng Thanh Khiết</t>
  </si>
  <si>
    <t>261617865</t>
  </si>
  <si>
    <t>Trần Khánh Ly</t>
  </si>
  <si>
    <t>25/02/2002</t>
  </si>
  <si>
    <t>241779452</t>
  </si>
  <si>
    <t>Bùi Thị Bích Ngọc</t>
  </si>
  <si>
    <t>18/12/2001</t>
  </si>
  <si>
    <t>312490737</t>
  </si>
  <si>
    <t>Nguyễn Quốc Trọng Nhân</t>
  </si>
  <si>
    <t>25/07/2002</t>
  </si>
  <si>
    <t>381972288</t>
  </si>
  <si>
    <t>Biện Minh Nhựt</t>
  </si>
  <si>
    <t>11/02/2002</t>
  </si>
  <si>
    <t>321611872</t>
  </si>
  <si>
    <t>Nguyễn Duy Phúc</t>
  </si>
  <si>
    <t>30/06/2002</t>
  </si>
  <si>
    <t>312491127</t>
  </si>
  <si>
    <t>Nguyễn Kim Tài</t>
  </si>
  <si>
    <t>251268694</t>
  </si>
  <si>
    <t>Nguyễn Huỳnh Ngọc Tú</t>
  </si>
  <si>
    <t>10/11/2002</t>
  </si>
  <si>
    <t>225720500</t>
  </si>
  <si>
    <t>Ngô Trần Duy Uyên</t>
  </si>
  <si>
    <t>16/12/2002</t>
  </si>
  <si>
    <t>312515126</t>
  </si>
  <si>
    <t>Hồ Lê Bảo Trân</t>
  </si>
  <si>
    <t>20/12/2002</t>
  </si>
  <si>
    <t>285719097</t>
  </si>
  <si>
    <t>Phạm Đức Sơn</t>
  </si>
  <si>
    <t>06/04/2002</t>
  </si>
  <si>
    <t>215583606</t>
  </si>
  <si>
    <t>Trần Dương Gia</t>
  </si>
  <si>
    <t>03/11/2002</t>
  </si>
  <si>
    <t>342125589</t>
  </si>
  <si>
    <t>Lê Nguyên Chương</t>
  </si>
  <si>
    <t>06/08/2002</t>
  </si>
  <si>
    <t>092202002111</t>
  </si>
  <si>
    <t>Vũ Viết Hải</t>
  </si>
  <si>
    <t>251183789</t>
  </si>
  <si>
    <t>04/03/2002</t>
  </si>
  <si>
    <t>321801519</t>
  </si>
  <si>
    <t>Nguyễn Thanh Thảo</t>
  </si>
  <si>
    <t>060202000112</t>
  </si>
  <si>
    <t>Đỗ Khắc Hoàng Nguyên</t>
  </si>
  <si>
    <t>22/02/2002</t>
  </si>
  <si>
    <t>352605730</t>
  </si>
  <si>
    <t>Đào Thị Trúc Ngân</t>
  </si>
  <si>
    <t>07/01/2002</t>
  </si>
  <si>
    <t>077202000449</t>
  </si>
  <si>
    <t>Phan Thanh Sang</t>
  </si>
  <si>
    <t>044202005370</t>
  </si>
  <si>
    <t>Nguyễn Phạm Hoàng Anh</t>
  </si>
  <si>
    <t>23/08/2002</t>
  </si>
  <si>
    <t>352622489</t>
  </si>
  <si>
    <t>Huỳnh Minh Cường</t>
  </si>
  <si>
    <t>19/10/2001</t>
  </si>
  <si>
    <t>231420034</t>
  </si>
  <si>
    <t>Bùi Thọ Hân</t>
  </si>
  <si>
    <t>21/11/2001</t>
  </si>
  <si>
    <t>301772289</t>
  </si>
  <si>
    <t>Đinh Trọng Nghĩa</t>
  </si>
  <si>
    <t>29/01/2002</t>
  </si>
  <si>
    <t>072202000102</t>
  </si>
  <si>
    <t>Trần Ngọc Thanh Tùng</t>
  </si>
  <si>
    <t>20/03/2002</t>
  </si>
  <si>
    <t>187918811</t>
  </si>
  <si>
    <t>Nguyễn Thế Sáng</t>
  </si>
  <si>
    <t>05/11/2002</t>
  </si>
  <si>
    <t>079302031383</t>
  </si>
  <si>
    <t>Nguyễn Đại Thúy An</t>
  </si>
  <si>
    <t>30/08/2002</t>
  </si>
  <si>
    <t>272871444</t>
  </si>
  <si>
    <t>Đào Nguyễn Như Bình</t>
  </si>
  <si>
    <t>225963565</t>
  </si>
  <si>
    <t>Trần Thị Yến Thạnh</t>
  </si>
  <si>
    <t>05/06/2002</t>
  </si>
  <si>
    <t>231355984</t>
  </si>
  <si>
    <t>24/02/2002</t>
  </si>
  <si>
    <t>079200001657</t>
  </si>
  <si>
    <t>Nguyễn Quốc Tú Anh</t>
  </si>
  <si>
    <t>16/03/2002</t>
  </si>
  <si>
    <t>335011052</t>
  </si>
  <si>
    <t>Võ Quốc Anh</t>
  </si>
  <si>
    <t>092202005476</t>
  </si>
  <si>
    <t>Hà Quốc Bảo</t>
  </si>
  <si>
    <t>26/11/2002</t>
  </si>
  <si>
    <t>079200004472</t>
  </si>
  <si>
    <t>Lê Thanh Cường</t>
  </si>
  <si>
    <t>14/06/2000</t>
  </si>
  <si>
    <t>334991591</t>
  </si>
  <si>
    <t>Châu Tuấn Đạt</t>
  </si>
  <si>
    <t>23/01/2002</t>
  </si>
  <si>
    <t>212818965</t>
  </si>
  <si>
    <t>Lê Đình Hải</t>
  </si>
  <si>
    <t>03/06/2002</t>
  </si>
  <si>
    <t>312468074</t>
  </si>
  <si>
    <t>Nguyễn Hoàng Huy</t>
  </si>
  <si>
    <t>24/07/2001</t>
  </si>
  <si>
    <t>231254732</t>
  </si>
  <si>
    <t>Trần Văn  H Huy</t>
  </si>
  <si>
    <t>07/01/2001</t>
  </si>
  <si>
    <t>026202003821</t>
  </si>
  <si>
    <t>079200001373</t>
  </si>
  <si>
    <t>Nguyễn Thiên Long</t>
  </si>
  <si>
    <t>23/03/2000</t>
  </si>
  <si>
    <t>026057938</t>
  </si>
  <si>
    <t>Tăng Hiến Phát</t>
  </si>
  <si>
    <t>01/10/2020</t>
  </si>
  <si>
    <t>334995847</t>
  </si>
  <si>
    <t>Nguyễn Tấn Phong</t>
  </si>
  <si>
    <t>042202000043</t>
  </si>
  <si>
    <t>10/12/2002</t>
  </si>
  <si>
    <t>079099006886</t>
  </si>
  <si>
    <t>Trần Đinh Minh Quang</t>
  </si>
  <si>
    <t>24/04/1999</t>
  </si>
  <si>
    <t>301737972</t>
  </si>
  <si>
    <t>16/06/2002</t>
  </si>
  <si>
    <t>079202021516</t>
  </si>
  <si>
    <t>Trần Hưng Thịnh</t>
  </si>
  <si>
    <t>261424933</t>
  </si>
  <si>
    <t>Lê Thanh Toàn</t>
  </si>
  <si>
    <t>13/12/2002</t>
  </si>
  <si>
    <t>371935930</t>
  </si>
  <si>
    <t>Võ Thanh Tòng</t>
  </si>
  <si>
    <t>261640094</t>
  </si>
  <si>
    <t>Ngô Ngọc Vàng</t>
  </si>
  <si>
    <t>24/11/2002</t>
  </si>
  <si>
    <t>025756541</t>
  </si>
  <si>
    <t>Nguyễn Lê Hàn Vũ</t>
  </si>
  <si>
    <t>25/12/1998</t>
  </si>
  <si>
    <t>034202002201</t>
  </si>
  <si>
    <t>Trần Hồng Sơn</t>
  </si>
  <si>
    <t>26/10/2002</t>
  </si>
  <si>
    <t>261660611</t>
  </si>
  <si>
    <t>Lương Vĩnh Đạt</t>
  </si>
  <si>
    <t>02/10/2002</t>
  </si>
  <si>
    <t>079202014724</t>
  </si>
  <si>
    <t>225827095</t>
  </si>
  <si>
    <t>Nguyễn Quốc Huy</t>
  </si>
  <si>
    <t>08/05/2002</t>
  </si>
  <si>
    <t>372025527</t>
  </si>
  <si>
    <t>16/04/2002</t>
  </si>
  <si>
    <t>079202012875</t>
  </si>
  <si>
    <t>Nguyễn Bùi Đức Tuấn</t>
  </si>
  <si>
    <t>13/09/2002</t>
  </si>
  <si>
    <t>187994494</t>
  </si>
  <si>
    <t>Nguyễn Hồng Thăng</t>
  </si>
  <si>
    <t>241996827</t>
  </si>
  <si>
    <t>Vũ Quốc Huy</t>
  </si>
  <si>
    <t>335028434</t>
  </si>
  <si>
    <t>Huỳnh Trung Hiếu</t>
  </si>
  <si>
    <t>03/10/2002</t>
  </si>
  <si>
    <t>261577597</t>
  </si>
  <si>
    <t>Bùi Duy Lộc</t>
  </si>
  <si>
    <t>212884505</t>
  </si>
  <si>
    <t>Tạ Ngọc Linh</t>
  </si>
  <si>
    <t>231449706</t>
  </si>
  <si>
    <t>Huỳnh Xuân Chiến</t>
  </si>
  <si>
    <t>22/05/2002</t>
  </si>
  <si>
    <t>272872028</t>
  </si>
  <si>
    <t>Huỳnh Chí Kha</t>
  </si>
  <si>
    <t>11/03/2002</t>
  </si>
  <si>
    <t>215549154</t>
  </si>
  <si>
    <t>Phạm Minh Tùng</t>
  </si>
  <si>
    <t>09/01/2002</t>
  </si>
  <si>
    <t>385836157</t>
  </si>
  <si>
    <t>Phạm Minh Tiền</t>
  </si>
  <si>
    <t>24/08/2002</t>
  </si>
  <si>
    <t>312495816</t>
  </si>
  <si>
    <t>Võ Nguyễn Tấn Đạt</t>
  </si>
  <si>
    <t>231450357</t>
  </si>
  <si>
    <t>Huỳnh Xuân Thắng</t>
  </si>
  <si>
    <t>215572685</t>
  </si>
  <si>
    <t>Trần Đức Thắng</t>
  </si>
  <si>
    <t>01/08/2002</t>
  </si>
  <si>
    <t>079202001389</t>
  </si>
  <si>
    <t>Trương Quốc Dũng</t>
  </si>
  <si>
    <t>372114583</t>
  </si>
  <si>
    <t>Nguyễn Trọng Trung</t>
  </si>
  <si>
    <t>14/04/2002</t>
  </si>
  <si>
    <t>079202025070</t>
  </si>
  <si>
    <t>Đặng Thái Bình</t>
  </si>
  <si>
    <t>036202002457</t>
  </si>
  <si>
    <t>Trần Việt Nhật</t>
  </si>
  <si>
    <t>04/06/2002</t>
  </si>
  <si>
    <t>033202007056</t>
  </si>
  <si>
    <t>Phan Việt Hà</t>
  </si>
  <si>
    <t>079201027924</t>
  </si>
  <si>
    <t>Lê Quốc Anh</t>
  </si>
  <si>
    <t>26/01/2001</t>
  </si>
  <si>
    <t>215548747</t>
  </si>
  <si>
    <t>Võ Quốc Cường</t>
  </si>
  <si>
    <t>215639318</t>
  </si>
  <si>
    <t>Lê Thành Danh</t>
  </si>
  <si>
    <t>245442662</t>
  </si>
  <si>
    <t>Lê Thành Đạt</t>
  </si>
  <si>
    <t>05/05/2002</t>
  </si>
  <si>
    <t>272921673</t>
  </si>
  <si>
    <t>Nguyễn Tiến Đạt</t>
  </si>
  <si>
    <t>27/05/2001</t>
  </si>
  <si>
    <t>221535479</t>
  </si>
  <si>
    <t>Nguyễn Thị Thúy Diễm</t>
  </si>
  <si>
    <t>079202019828</t>
  </si>
  <si>
    <t>Phan Trọng Đức</t>
  </si>
  <si>
    <t>272906586</t>
  </si>
  <si>
    <t>Nguyễn Văn Khánh D Duy</t>
  </si>
  <si>
    <t>079201029555</t>
  </si>
  <si>
    <t>Phạm Minh Hải</t>
  </si>
  <si>
    <t>13/09/2001</t>
  </si>
  <si>
    <t>079302023016</t>
  </si>
  <si>
    <t>Nguyễn Phạm Xuân Hiền</t>
  </si>
  <si>
    <t>09/08/2002</t>
  </si>
  <si>
    <t>038202000051</t>
  </si>
  <si>
    <t>Trịnh Duy Khánh</t>
  </si>
  <si>
    <t>17/03/2002</t>
  </si>
  <si>
    <t>215561634</t>
  </si>
  <si>
    <t>Nguyễn Hiếu Nguyễn</t>
  </si>
  <si>
    <t>26/08/2002</t>
  </si>
  <si>
    <t>036200008468</t>
  </si>
  <si>
    <t>Ngô Văn Nhật</t>
  </si>
  <si>
    <t>15/12/2000</t>
  </si>
  <si>
    <t>079302029927</t>
  </si>
  <si>
    <t>Phú Ngọc Kim Nhi</t>
  </si>
  <si>
    <t>079202025158</t>
  </si>
  <si>
    <t>Nguyễn Ngọc Phong</t>
  </si>
  <si>
    <t>25/03/2002</t>
  </si>
  <si>
    <t>079202035269</t>
  </si>
  <si>
    <t>Võ Phong Phú</t>
  </si>
  <si>
    <t>30/03/2002</t>
  </si>
  <si>
    <t>261568647</t>
  </si>
  <si>
    <t>Trần Minh Phúc</t>
  </si>
  <si>
    <t>02/06/2002</t>
  </si>
  <si>
    <t>079202016623</t>
  </si>
  <si>
    <t>Nguyễn Minh Tân</t>
  </si>
  <si>
    <t>225941766</t>
  </si>
  <si>
    <t>Phạm Duy Tân</t>
  </si>
  <si>
    <t>08020200328</t>
  </si>
  <si>
    <t>352630309</t>
  </si>
  <si>
    <t>Lê Thị Mai T Thảo</t>
  </si>
  <si>
    <t>07/07/2002</t>
  </si>
  <si>
    <t>215573192</t>
  </si>
  <si>
    <t>Nguyễn Duy Thoại</t>
  </si>
  <si>
    <t>01/12/2001</t>
  </si>
  <si>
    <t>184442497</t>
  </si>
  <si>
    <t>Nguyễn Văn Thông</t>
  </si>
  <si>
    <t>01/04/2001</t>
  </si>
  <si>
    <t>000285737598</t>
  </si>
  <si>
    <t>Lê Trần Minh Thy</t>
  </si>
  <si>
    <t>05/09/2002</t>
  </si>
  <si>
    <t>079202033383</t>
  </si>
  <si>
    <t>Nguyễn Thanh Vinh</t>
  </si>
  <si>
    <t>26/02/2002</t>
  </si>
  <si>
    <t>225831943</t>
  </si>
  <si>
    <t>Võ Nguyên Vinh</t>
  </si>
  <si>
    <t>05/12/2002</t>
  </si>
  <si>
    <t>079202032045</t>
  </si>
  <si>
    <t>Phạm Lê Thế Lộc</t>
  </si>
  <si>
    <t>08/09/2002</t>
  </si>
  <si>
    <t>233327546</t>
  </si>
  <si>
    <t>28/04/2002</t>
  </si>
  <si>
    <t>215575077</t>
  </si>
  <si>
    <t>352631637</t>
  </si>
  <si>
    <t>Trần Trọng Nghĩa</t>
  </si>
  <si>
    <t>264582512</t>
  </si>
  <si>
    <t>Võ Chí Nô</t>
  </si>
  <si>
    <t>14/09/2002</t>
  </si>
  <si>
    <t>080301000054</t>
  </si>
  <si>
    <t>Nguyễn Hoài Nguyệt An</t>
  </si>
  <si>
    <t>15/10/2001</t>
  </si>
  <si>
    <t>261632465</t>
  </si>
  <si>
    <t>Lê Thị Kim Anh</t>
  </si>
  <si>
    <t>22/01/2002</t>
  </si>
  <si>
    <t>312499153</t>
  </si>
  <si>
    <t>Trần Ngọc Hải</t>
  </si>
  <si>
    <t>187976079</t>
  </si>
  <si>
    <t>Đồng Quốc Khánh</t>
  </si>
  <si>
    <t>08/06/2002</t>
  </si>
  <si>
    <t>079202023457</t>
  </si>
  <si>
    <t>Nguyễn Tấn Phát</t>
  </si>
  <si>
    <t>15/04/2002</t>
  </si>
  <si>
    <t>079202017310</t>
  </si>
  <si>
    <t>Bùi Quốc Duy Hùng</t>
  </si>
  <si>
    <t>079202021742</t>
  </si>
  <si>
    <t>Trần Đình Phong</t>
  </si>
  <si>
    <t>01/05/2002</t>
  </si>
  <si>
    <t>079202033384</t>
  </si>
  <si>
    <t>Lý Gia Duy</t>
  </si>
  <si>
    <t>24/04/2002</t>
  </si>
  <si>
    <t>312552635</t>
  </si>
  <si>
    <t>Phạm Thanh Trường</t>
  </si>
  <si>
    <t>27/01/2002</t>
  </si>
  <si>
    <t>221503493</t>
  </si>
  <si>
    <t>Nguyễn Khánh Sang</t>
  </si>
  <si>
    <t>14/12/2002</t>
  </si>
  <si>
    <t>281311213</t>
  </si>
  <si>
    <t>079202017364</t>
  </si>
  <si>
    <t>Võ Minh Hiền</t>
  </si>
  <si>
    <t>27/04/2002</t>
  </si>
  <si>
    <t>079202032016</t>
  </si>
  <si>
    <t>Lê Nguyễn Minh Thành</t>
  </si>
  <si>
    <t>341987924</t>
  </si>
  <si>
    <t>Nguyễn Xuân Trường</t>
  </si>
  <si>
    <t>285826183</t>
  </si>
  <si>
    <t>Cao Hỷ Khang</t>
  </si>
  <si>
    <t>079202013345</t>
  </si>
  <si>
    <t>Nguyễn Quốc Thái</t>
  </si>
  <si>
    <t>10/07/2002</t>
  </si>
  <si>
    <t>080202000420</t>
  </si>
  <si>
    <t>Nguyễn Phùng Hưng</t>
  </si>
  <si>
    <t>19/10/2002</t>
  </si>
  <si>
    <t>079202026939</t>
  </si>
  <si>
    <t>Nguyễn Văn Lành</t>
  </si>
  <si>
    <t>11/12/2002</t>
  </si>
  <si>
    <t>079202022852</t>
  </si>
  <si>
    <t>Nguyễn Tuấn Khanh</t>
  </si>
  <si>
    <t>21/10/2002</t>
  </si>
  <si>
    <t>079202005792</t>
  </si>
  <si>
    <t>Phạm Thành Trung</t>
  </si>
  <si>
    <t>08/07/2002</t>
  </si>
  <si>
    <t>096202000061</t>
  </si>
  <si>
    <t>Tăng Vương Thiên Phúc</t>
  </si>
  <si>
    <t>312607058</t>
  </si>
  <si>
    <t>Lê Trường Duy</t>
  </si>
  <si>
    <t>079202029131</t>
  </si>
  <si>
    <t>Trần Văn Tân</t>
  </si>
  <si>
    <t>033201006147</t>
  </si>
  <si>
    <t>Phạm Thành Nam</t>
  </si>
  <si>
    <t>01/03/2001</t>
  </si>
  <si>
    <t>251275089</t>
  </si>
  <si>
    <t>Lưu Hoàng Minh</t>
  </si>
  <si>
    <t>079202028609</t>
  </si>
  <si>
    <t>Trần Nguyễn Minh Khang</t>
  </si>
  <si>
    <t>17/07/2002</t>
  </si>
  <si>
    <t>221547222</t>
  </si>
  <si>
    <t>231273788</t>
  </si>
  <si>
    <t>Phạm Tiến Lợi</t>
  </si>
  <si>
    <t>27/02/2001</t>
  </si>
  <si>
    <t>079302004016</t>
  </si>
  <si>
    <t>Phan Trần Ngọc Hương</t>
  </si>
  <si>
    <t>05/08/2002</t>
  </si>
  <si>
    <t>092202003235</t>
  </si>
  <si>
    <t>Trần Nhĩ Hào</t>
  </si>
  <si>
    <t>24/06/2002</t>
  </si>
  <si>
    <t>251233873</t>
  </si>
  <si>
    <t>Lê Hoàng Quốc Việt</t>
  </si>
  <si>
    <t>23/03/2002</t>
  </si>
  <si>
    <t>079202009111</t>
  </si>
  <si>
    <t>Lý Hữu Hoàng Duy</t>
  </si>
  <si>
    <t>11/04/2002</t>
  </si>
  <si>
    <t>225720091</t>
  </si>
  <si>
    <t>Kiều Ngọc Sơn</t>
  </si>
  <si>
    <t>07/06/2002</t>
  </si>
  <si>
    <t>221506607</t>
  </si>
  <si>
    <t>Lê Thị Xuân Rin</t>
  </si>
  <si>
    <t>079302026543</t>
  </si>
  <si>
    <t>Nguyễn Ngọc Quỳnh Như</t>
  </si>
  <si>
    <t>001202021038</t>
  </si>
  <si>
    <t>Nguyễn Văn Hùng</t>
  </si>
  <si>
    <t>12/12/2002</t>
  </si>
  <si>
    <t>038201019059</t>
  </si>
  <si>
    <t>Hà Duy Khương</t>
  </si>
  <si>
    <t>13/03/2001</t>
  </si>
  <si>
    <t>281335722</t>
  </si>
  <si>
    <t>Nguyễn Tuấn Kiệt</t>
  </si>
  <si>
    <t>077202002768</t>
  </si>
  <si>
    <t>Trần Cao Quang Lâm</t>
  </si>
  <si>
    <t>28/05/2002</t>
  </si>
  <si>
    <t>079202027206</t>
  </si>
  <si>
    <t>Phạm Trung Nghĩa</t>
  </si>
  <si>
    <t>272872284</t>
  </si>
  <si>
    <t>Nguyễn Minh Nhật</t>
  </si>
  <si>
    <t>22/09/2002</t>
  </si>
  <si>
    <t>072302006050</t>
  </si>
  <si>
    <t>Nguyễn Thị Quỳnh Như</t>
  </si>
  <si>
    <t>12/03/2002</t>
  </si>
  <si>
    <t>366358144</t>
  </si>
  <si>
    <t>Danh Đình Phúc</t>
  </si>
  <si>
    <t>001302011815</t>
  </si>
  <si>
    <t>Đặng Lê Anh Thư</t>
  </si>
  <si>
    <t>05/10/2002</t>
  </si>
  <si>
    <t>079302006676</t>
  </si>
  <si>
    <t>Trần Ngọc Minh Thư</t>
  </si>
  <si>
    <t>272918331</t>
  </si>
  <si>
    <t>Nguyễn Huỳnh Bảo Trân</t>
  </si>
  <si>
    <t>08/02/2002</t>
  </si>
  <si>
    <t>038202011801</t>
  </si>
  <si>
    <t>Nguyễn Đăng Tùng</t>
  </si>
  <si>
    <t>07/09/2002</t>
  </si>
  <si>
    <t>215537096</t>
  </si>
  <si>
    <t>Đặng Thị Kiều Oanh</t>
  </si>
  <si>
    <t>28/01/2002</t>
  </si>
  <si>
    <t>215564276</t>
  </si>
  <si>
    <t>Huỳnh Văn Lanh</t>
  </si>
  <si>
    <t>12/02/2002</t>
  </si>
  <si>
    <t>079302004100</t>
  </si>
  <si>
    <t>Nguyễn Thị Hồng Nhung</t>
  </si>
  <si>
    <t>10/01/2002</t>
  </si>
  <si>
    <t>261638938</t>
  </si>
  <si>
    <t>321718609</t>
  </si>
  <si>
    <t>174534009</t>
  </si>
  <si>
    <t>01/03/1998</t>
  </si>
  <si>
    <t>264575365</t>
  </si>
  <si>
    <t>Diệp Phương Minh Triệu</t>
  </si>
  <si>
    <t>241860179</t>
  </si>
  <si>
    <t>Nguyễn Hồng Phúc</t>
  </si>
  <si>
    <t>12/10/2002</t>
  </si>
  <si>
    <t>215537490</t>
  </si>
  <si>
    <t>Nguyễn Thị Thúy Kiều</t>
  </si>
  <si>
    <t>079202002068</t>
  </si>
  <si>
    <t>Lê Minh Hậu</t>
  </si>
  <si>
    <t>272813960</t>
  </si>
  <si>
    <t>079201001108</t>
  </si>
  <si>
    <t>Mai Ngọc Duy</t>
  </si>
  <si>
    <t>28/08/2001</t>
  </si>
  <si>
    <t>301818291</t>
  </si>
  <si>
    <t>Đặng Quốc Bảo</t>
  </si>
  <si>
    <t>20/08/2002</t>
  </si>
  <si>
    <t>366396795</t>
  </si>
  <si>
    <t>16/10/2001</t>
  </si>
  <si>
    <t>301801497</t>
  </si>
  <si>
    <t>Nguyễn Hoàng Mỹ</t>
  </si>
  <si>
    <t>242005595</t>
  </si>
  <si>
    <t>Ngô Hữu Nhật Trường</t>
  </si>
  <si>
    <t>09/11/2002</t>
  </si>
  <si>
    <t>382004109</t>
  </si>
  <si>
    <t>Nguyễn Hồng Thắm</t>
  </si>
  <si>
    <t>038301004006</t>
  </si>
  <si>
    <t>Nguyễn Trọng Ngọc Anh</t>
  </si>
  <si>
    <t>09/10/2001</t>
  </si>
  <si>
    <t>261633601</t>
  </si>
  <si>
    <t>Đỗ Văn An</t>
  </si>
  <si>
    <t>15/06/2001</t>
  </si>
  <si>
    <t>241976704</t>
  </si>
  <si>
    <t>Nguyễn Thị Ngọc Ánh</t>
  </si>
  <si>
    <t>261640406</t>
  </si>
  <si>
    <t>Đặng Việt Duy</t>
  </si>
  <si>
    <t>276006675</t>
  </si>
  <si>
    <t>Phan Thị Hồng Hà</t>
  </si>
  <si>
    <t>25/09/2002</t>
  </si>
  <si>
    <t>221502449</t>
  </si>
  <si>
    <t>Đoàn Nhật Hiền</t>
  </si>
  <si>
    <t>11/11/2002</t>
  </si>
  <si>
    <t>079201018930</t>
  </si>
  <si>
    <t>184469341</t>
  </si>
  <si>
    <t>Trần Anh K Khôi</t>
  </si>
  <si>
    <t>264543012</t>
  </si>
  <si>
    <t>Nguyễn Bảo Minh</t>
  </si>
  <si>
    <t>04/10/2001</t>
  </si>
  <si>
    <t>272966026</t>
  </si>
  <si>
    <t>Võ Ngọc Phương Nghi</t>
  </si>
  <si>
    <t>11/09/2002</t>
  </si>
  <si>
    <t>079301021917</t>
  </si>
  <si>
    <t>Chung Kim Ngọc</t>
  </si>
  <si>
    <t>29/11/2001</t>
  </si>
  <si>
    <t>251292041</t>
  </si>
  <si>
    <t>Nguyễn Thái Khánh Ngọc</t>
  </si>
  <si>
    <t>342130328</t>
  </si>
  <si>
    <t>Trần Văn A Phát</t>
  </si>
  <si>
    <t>25/10/2002</t>
  </si>
  <si>
    <t>364150499</t>
  </si>
  <si>
    <t>Trần Hữu Phúc</t>
  </si>
  <si>
    <t>221514888</t>
  </si>
  <si>
    <t>Nguyễn Thành Phước</t>
  </si>
  <si>
    <t>215559673</t>
  </si>
  <si>
    <t>Trần Quốc Thắng</t>
  </si>
  <si>
    <t>01/09/2002</t>
  </si>
  <si>
    <t>077201005929</t>
  </si>
  <si>
    <t>Mai Huỳnh Chí Thanh</t>
  </si>
  <si>
    <t>15/03/2001</t>
  </si>
  <si>
    <t>381997395</t>
  </si>
  <si>
    <t>Lý Mỹ Thoại</t>
  </si>
  <si>
    <t>04/04/2002</t>
  </si>
  <si>
    <t>212620620</t>
  </si>
  <si>
    <t>Võ Thị Thu Thủy</t>
  </si>
  <si>
    <t>05/09/2001</t>
  </si>
  <si>
    <t>352596532</t>
  </si>
  <si>
    <t>29/10/2002</t>
  </si>
  <si>
    <t>312488970</t>
  </si>
  <si>
    <t>Phạm Thị Thuỳ Trang</t>
  </si>
  <si>
    <t>245441913</t>
  </si>
  <si>
    <t>Phạm Minh Trường</t>
  </si>
  <si>
    <t>05/12/2000</t>
  </si>
  <si>
    <t>079202033810</t>
  </si>
  <si>
    <t>Lê Quang Tuấn</t>
  </si>
  <si>
    <t>04/12/2002</t>
  </si>
  <si>
    <t>233360733</t>
  </si>
  <si>
    <t>Nguyễn Bảo Tường Vy</t>
  </si>
  <si>
    <t>03/09/2002</t>
  </si>
  <si>
    <t>079302026524</t>
  </si>
  <si>
    <t>366293753</t>
  </si>
  <si>
    <t>Thi Mộc Xâm</t>
  </si>
  <si>
    <t>25/04/2001</t>
  </si>
  <si>
    <t>251321411</t>
  </si>
  <si>
    <t>Đoàn Thị Thu Hiền</t>
  </si>
  <si>
    <t>364142329</t>
  </si>
  <si>
    <t>Trần Thị Ngọc Sương</t>
  </si>
  <si>
    <t>079302021611</t>
  </si>
  <si>
    <t>Lý Ngọc Kim Hân</t>
  </si>
  <si>
    <t>23/05/2002</t>
  </si>
  <si>
    <t>079302025275</t>
  </si>
  <si>
    <t>Nguyễn Thị Minh Thư</t>
  </si>
  <si>
    <t>231321228</t>
  </si>
  <si>
    <t>Dương Thái Vinh</t>
  </si>
  <si>
    <t>064202000072</t>
  </si>
  <si>
    <t>Ngô Đoàn Quốc Thắng</t>
  </si>
  <si>
    <t>038301018313</t>
  </si>
  <si>
    <t>Mai Thị Diệu Phương</t>
  </si>
  <si>
    <t>05/05/2001</t>
  </si>
  <si>
    <t>221524449</t>
  </si>
  <si>
    <t>Hồ Thị Kim Yên</t>
  </si>
  <si>
    <t>31/03/2002</t>
  </si>
  <si>
    <t>079302022666</t>
  </si>
  <si>
    <t>Nguyễn Thụy Thúy An</t>
  </si>
  <si>
    <t>30/04/2002</t>
  </si>
  <si>
    <t>212860666</t>
  </si>
  <si>
    <t>Võ Phan Hoài Khánh</t>
  </si>
  <si>
    <t>385837140</t>
  </si>
  <si>
    <t>Lâm Thị Hồng Nghi</t>
  </si>
  <si>
    <t>072302001718</t>
  </si>
  <si>
    <t>Phạm Thị Tuyết Thi</t>
  </si>
  <si>
    <t>077302002170</t>
  </si>
  <si>
    <t>Lương Hoàng Yến Nhi</t>
  </si>
  <si>
    <t>24/03/2002</t>
  </si>
  <si>
    <t>079302034568</t>
  </si>
  <si>
    <t>Trần Thị Thu Cúc</t>
  </si>
  <si>
    <t>281292614</t>
  </si>
  <si>
    <t>Hoàng Thị Thanh Ngọc</t>
  </si>
  <si>
    <t>20/02/2002</t>
  </si>
  <si>
    <t>038301022520</t>
  </si>
  <si>
    <t>Trần Thảo Anh</t>
  </si>
  <si>
    <t>02/10/2001</t>
  </si>
  <si>
    <t>381971401</t>
  </si>
  <si>
    <t>Trần Bích Trâm</t>
  </si>
  <si>
    <t>231260231</t>
  </si>
  <si>
    <t>Nguyễn Đức Trung</t>
  </si>
  <si>
    <t>06/01/2002</t>
  </si>
  <si>
    <t>083302000200</t>
  </si>
  <si>
    <t>Trịnh Lương Hoài Tâm</t>
  </si>
  <si>
    <t>385816774</t>
  </si>
  <si>
    <t>Lâm Thị Bích Tuyền</t>
  </si>
  <si>
    <t>079302023935</t>
  </si>
  <si>
    <t>Dương Thanh Ngân</t>
  </si>
  <si>
    <t>215554163</t>
  </si>
  <si>
    <t>Đặng Thị Mỹ Lệ</t>
  </si>
  <si>
    <t>046202000072</t>
  </si>
  <si>
    <t>Đặng Minh Trí</t>
  </si>
  <si>
    <t>233376360</t>
  </si>
  <si>
    <t>Lê Thị Thanh Thùy</t>
  </si>
  <si>
    <t>12/07/2002</t>
  </si>
  <si>
    <t>212537348</t>
  </si>
  <si>
    <t>Nguyễn Thị Thùy Dung</t>
  </si>
  <si>
    <t>28/02/2002</t>
  </si>
  <si>
    <t>066302000144</t>
  </si>
  <si>
    <t>Trần Bảo Thương</t>
  </si>
  <si>
    <t>382043157</t>
  </si>
  <si>
    <t>Nguyễn Huyền Trân</t>
  </si>
  <si>
    <t>21/02/2002</t>
  </si>
  <si>
    <t>241881043</t>
  </si>
  <si>
    <t>Phạm Thị Chung</t>
  </si>
  <si>
    <t>261427429</t>
  </si>
  <si>
    <t>Phạm Ngọc Ái Phương</t>
  </si>
  <si>
    <t>095302000093</t>
  </si>
  <si>
    <t>Ngô Hùynh Anh Thi</t>
  </si>
  <si>
    <t>28/09/2002</t>
  </si>
  <si>
    <t>251334244</t>
  </si>
  <si>
    <t>245425860</t>
  </si>
  <si>
    <t>Nguyễn Hữu Thế</t>
  </si>
  <si>
    <t>10/11/2001</t>
  </si>
  <si>
    <t>089202000232</t>
  </si>
  <si>
    <t>Nguyễn Minh Tiến</t>
  </si>
  <si>
    <t>079302034143</t>
  </si>
  <si>
    <t>Đào Tuyết Anh</t>
  </si>
  <si>
    <t>29/07/2002</t>
  </si>
  <si>
    <t>385840138</t>
  </si>
  <si>
    <t>Nguyễn Trọng Ngoán</t>
  </si>
  <si>
    <t>28/11/2002</t>
  </si>
  <si>
    <t>079202002534</t>
  </si>
  <si>
    <t>Đặng Hoàng Phi</t>
  </si>
  <si>
    <t>233314335</t>
  </si>
  <si>
    <t>Lương Thị Nguyệt</t>
  </si>
  <si>
    <t>075202000045</t>
  </si>
  <si>
    <t>Nguyễn Phương Quý</t>
  </si>
  <si>
    <t>080202000454</t>
  </si>
  <si>
    <t>Nguyễn Tấn Đạt</t>
  </si>
  <si>
    <t>20/07/2002</t>
  </si>
  <si>
    <t>079302033487</t>
  </si>
  <si>
    <t>Nguyễn Thị Tuyết Linh</t>
  </si>
  <si>
    <t>036202000192</t>
  </si>
  <si>
    <t>Đỗ Minh Hào</t>
  </si>
  <si>
    <t>079301006858</t>
  </si>
  <si>
    <t>Bùi Hoàng Yến Vi</t>
  </si>
  <si>
    <t>09/08/2001</t>
  </si>
  <si>
    <t>212886269</t>
  </si>
  <si>
    <t>Nguyễn Hồng Ân</t>
  </si>
  <si>
    <t>212439225</t>
  </si>
  <si>
    <t>Nguyễn Ánh Vy</t>
  </si>
  <si>
    <t>184419177</t>
  </si>
  <si>
    <t>Đặng Bảo Quốc</t>
  </si>
  <si>
    <t>079302029076</t>
  </si>
  <si>
    <t>Hồ Phi Yến</t>
  </si>
  <si>
    <t>285882131</t>
  </si>
  <si>
    <t>Nguyễn Bảo Châu</t>
  </si>
  <si>
    <t>079202000732</t>
  </si>
  <si>
    <t>Trần Nguyễn Huy Hoàng</t>
  </si>
  <si>
    <t>10/04/2002</t>
  </si>
  <si>
    <t>184428961</t>
  </si>
  <si>
    <t>Nguyễn Hữu Nam</t>
  </si>
  <si>
    <t>16/05/2002</t>
  </si>
  <si>
    <t>035301003450</t>
  </si>
  <si>
    <t>Hoàng Thị Nga</t>
  </si>
  <si>
    <t>08/06/2001</t>
  </si>
  <si>
    <t>079302018403</t>
  </si>
  <si>
    <t>Nguyễn Ngọc Trâm</t>
  </si>
  <si>
    <t>30/11/2002</t>
  </si>
  <si>
    <t>111111111111</t>
  </si>
  <si>
    <t>Huỳnh Thị Huỳnh Trang</t>
  </si>
  <si>
    <t>341982675</t>
  </si>
  <si>
    <t>Đoàn Xuân Diệu</t>
  </si>
  <si>
    <t>04/02/2002</t>
  </si>
  <si>
    <t>245438814</t>
  </si>
  <si>
    <t>Nguyễn Thị Xuân Diệu</t>
  </si>
  <si>
    <t>11/10/2002</t>
  </si>
  <si>
    <t>079302007974</t>
  </si>
  <si>
    <t>Nguyễn Hồng Mai Hân</t>
  </si>
  <si>
    <t>27/12/2002</t>
  </si>
  <si>
    <t>241877505</t>
  </si>
  <si>
    <t>Trần Thị Kim Hiệp</t>
  </si>
  <si>
    <t>261548140</t>
  </si>
  <si>
    <t>Đỗ Chí Hoàng</t>
  </si>
  <si>
    <t>29/08/2000</t>
  </si>
  <si>
    <t>251278472</t>
  </si>
  <si>
    <t>27/03/2001</t>
  </si>
  <si>
    <t>251247321</t>
  </si>
  <si>
    <t>Nguyễn Thị Bội Ngọc</t>
  </si>
  <si>
    <t>30/05/2001</t>
  </si>
  <si>
    <t>264540111</t>
  </si>
  <si>
    <t>Hải Thị Ngọc Nhi</t>
  </si>
  <si>
    <t>197480117</t>
  </si>
  <si>
    <t>Võ Thị Phượng</t>
  </si>
  <si>
    <t>06/06/2002</t>
  </si>
  <si>
    <t>079302034699</t>
  </si>
  <si>
    <t>Phạm Thị Thanh Thanh</t>
  </si>
  <si>
    <t>251269007</t>
  </si>
  <si>
    <t>Phan Thị Thúy</t>
  </si>
  <si>
    <t>31/05/2001</t>
  </si>
  <si>
    <t>025980317</t>
  </si>
  <si>
    <t>Nguyễn Trần Minh Thy</t>
  </si>
  <si>
    <t>14/02/2000</t>
  </si>
  <si>
    <t>301810339</t>
  </si>
  <si>
    <t>Huỳnh Thanh Trúc</t>
  </si>
  <si>
    <t>264566718</t>
  </si>
  <si>
    <t>Trần Kiều Phi Uyên</t>
  </si>
  <si>
    <t>03/12/2002</t>
  </si>
  <si>
    <t>001302001334</t>
  </si>
  <si>
    <t>Nguyễn Thị Hải Yến</t>
  </si>
  <si>
    <t>385856960</t>
  </si>
  <si>
    <t>Trần Thị Minh Anh</t>
  </si>
  <si>
    <t>079202020301</t>
  </si>
  <si>
    <t>Lê Trọng Dũng</t>
  </si>
  <si>
    <t>079302034779</t>
  </si>
  <si>
    <t>Nguyễn Thị Thanh Vy</t>
  </si>
  <si>
    <t>184422230</t>
  </si>
  <si>
    <t>Phạm Thị Vân Ly</t>
  </si>
  <si>
    <t>187857111</t>
  </si>
  <si>
    <t>Trần Anh Thư</t>
  </si>
  <si>
    <t>025970056</t>
  </si>
  <si>
    <t>Đỗ Thị Kim Hằng</t>
  </si>
  <si>
    <t>26/05/2000</t>
  </si>
  <si>
    <t>187994902</t>
  </si>
  <si>
    <t>Lê Thị Hà</t>
  </si>
  <si>
    <t>079302023245</t>
  </si>
  <si>
    <t>Dương Phạm Hồng Dung</t>
  </si>
  <si>
    <t>212438649</t>
  </si>
  <si>
    <t>Phạm Thị Minh Thư</t>
  </si>
  <si>
    <t>079302013025</t>
  </si>
  <si>
    <t>Lê Trần Anh Đào</t>
  </si>
  <si>
    <t>31/05/2002</t>
  </si>
  <si>
    <t>184424179</t>
  </si>
  <si>
    <t>Nguyễn Thị Na</t>
  </si>
  <si>
    <t>381946876</t>
  </si>
  <si>
    <t>Lê Thị Luyến</t>
  </si>
  <si>
    <t>079302002697</t>
  </si>
  <si>
    <t>Chu Ngọc Tuyết Trinh</t>
  </si>
  <si>
    <t>079302003643</t>
  </si>
  <si>
    <t>Nguyễn Hồng Ngọc Thúy</t>
  </si>
  <si>
    <t>24/09/2002</t>
  </si>
  <si>
    <t>034302010759</t>
  </si>
  <si>
    <t>Trần Thị Thùy Trang</t>
  </si>
  <si>
    <t>23/04/2002</t>
  </si>
  <si>
    <t>272908439</t>
  </si>
  <si>
    <t>Trần Văn Tiến</t>
  </si>
  <si>
    <t>046301000142</t>
  </si>
  <si>
    <t>Nguyễn Thị Minh Xuân</t>
  </si>
  <si>
    <t>24/09/2001</t>
  </si>
  <si>
    <t>212901995</t>
  </si>
  <si>
    <t>Nguyễn Huỳnh Thúy Diễm</t>
  </si>
  <si>
    <t>16/09/2002</t>
  </si>
  <si>
    <t>215558834</t>
  </si>
  <si>
    <t>079302006799</t>
  </si>
  <si>
    <t>Nguyễn Ngọc Mỹ Nghi</t>
  </si>
  <si>
    <t>15/01/2002</t>
  </si>
  <si>
    <t>215583136</t>
  </si>
  <si>
    <t>Dương Ngọc Tân</t>
  </si>
  <si>
    <t>079201010604</t>
  </si>
  <si>
    <t>Phan Châu Thanh Hoàng</t>
  </si>
  <si>
    <t>082302000094</t>
  </si>
  <si>
    <t>Ngô Võ Hoàng Thơ</t>
  </si>
  <si>
    <t>042203002587</t>
  </si>
  <si>
    <t>Trần Đức Công</t>
  </si>
  <si>
    <t>14/08/2003</t>
  </si>
  <si>
    <t>Kinh</t>
  </si>
  <si>
    <t>Công giáo</t>
  </si>
  <si>
    <t>K64</t>
  </si>
  <si>
    <t>044204000428</t>
  </si>
  <si>
    <t>Trần Mạnh Cường</t>
  </si>
  <si>
    <t>03/02/2004</t>
  </si>
  <si>
    <t>Không</t>
  </si>
  <si>
    <t>034204005995</t>
  </si>
  <si>
    <t>Lê Anh Đức</t>
  </si>
  <si>
    <t>12/12/2004</t>
  </si>
  <si>
    <t>072204000735</t>
  </si>
  <si>
    <t>Võ Khánh Duy</t>
  </si>
  <si>
    <t>19/03/2004</t>
  </si>
  <si>
    <t>Phật giáo</t>
  </si>
  <si>
    <t>082304002960</t>
  </si>
  <si>
    <t>Nguyễn Thị Ngọc Hân</t>
  </si>
  <si>
    <t>13/09/2004</t>
  </si>
  <si>
    <t>077204003082</t>
  </si>
  <si>
    <t>Lương Bảo Huy</t>
  </si>
  <si>
    <t>08/10/2004</t>
  </si>
  <si>
    <t>060204006975</t>
  </si>
  <si>
    <t>Võ Đan Huy</t>
  </si>
  <si>
    <t>11/01/2004</t>
  </si>
  <si>
    <t>060204002876</t>
  </si>
  <si>
    <t>Đỗ Phạm Duy Khang</t>
  </si>
  <si>
    <t>07/08/2004</t>
  </si>
  <si>
    <t>083304007378</t>
  </si>
  <si>
    <t>Lê Trần Kim Khánh</t>
  </si>
  <si>
    <t>12/08/2004</t>
  </si>
  <si>
    <t>096204008943</t>
  </si>
  <si>
    <t>Trần Quốc Khánh</t>
  </si>
  <si>
    <t>17/12/2004</t>
  </si>
  <si>
    <t>301891763</t>
  </si>
  <si>
    <t>Huỳnh Hữu Khoa</t>
  </si>
  <si>
    <t>16/11/2004</t>
  </si>
  <si>
    <t>058204001598</t>
  </si>
  <si>
    <t>Nguyễn Anh Khoa</t>
  </si>
  <si>
    <t>08/03/2004</t>
  </si>
  <si>
    <t>054204002666</t>
  </si>
  <si>
    <t>Trần Duy Kiên</t>
  </si>
  <si>
    <t>19/02/2004</t>
  </si>
  <si>
    <t>038304007454</t>
  </si>
  <si>
    <t>Nguyễn Thị Thanh Lam</t>
  </si>
  <si>
    <t>20/11/2004</t>
  </si>
  <si>
    <t>082204008693</t>
  </si>
  <si>
    <t>Nguyễn Hữu Lộc</t>
  </si>
  <si>
    <t>31/10/2004</t>
  </si>
  <si>
    <t>066204012085</t>
  </si>
  <si>
    <t>Nguyễn Đình Nam</t>
  </si>
  <si>
    <t>10/08/2004</t>
  </si>
  <si>
    <t>027204010095</t>
  </si>
  <si>
    <t>Nguyễn Quang Nam</t>
  </si>
  <si>
    <t>20/05/2004</t>
  </si>
  <si>
    <t>077204018002</t>
  </si>
  <si>
    <t>Nông Bằng Nam</t>
  </si>
  <si>
    <t>18/05/2004</t>
  </si>
  <si>
    <t>Nùng</t>
  </si>
  <si>
    <t>096204000231</t>
  </si>
  <si>
    <t>Lê Hiếu Nghĩa</t>
  </si>
  <si>
    <t>05/07/2004</t>
  </si>
  <si>
    <t>084204000691</t>
  </si>
  <si>
    <t>Lê Minh Nguyên</t>
  </si>
  <si>
    <t>26/01/2004</t>
  </si>
  <si>
    <t>052204000667</t>
  </si>
  <si>
    <t>Nguyễn Hồ Thanh Nhã</t>
  </si>
  <si>
    <t>13/04/2004</t>
  </si>
  <si>
    <t>089204004274</t>
  </si>
  <si>
    <t>Trương Hữu Nhân</t>
  </si>
  <si>
    <t>29/06/2004</t>
  </si>
  <si>
    <t>086203010176</t>
  </si>
  <si>
    <t>Nguyễn Thành Phát</t>
  </si>
  <si>
    <t>12/08/2003</t>
  </si>
  <si>
    <t>052204010516</t>
  </si>
  <si>
    <t>Mai Tấn Phong</t>
  </si>
  <si>
    <t>30/01/2004</t>
  </si>
  <si>
    <t>027204006338</t>
  </si>
  <si>
    <t>Nguyễn Quang San</t>
  </si>
  <si>
    <t>03/03/2004</t>
  </si>
  <si>
    <t>312579703</t>
  </si>
  <si>
    <t>Lê Văn Quốc Thái</t>
  </si>
  <si>
    <t>02/10/2004</t>
  </si>
  <si>
    <t>060204002167</t>
  </si>
  <si>
    <t>Trần Quốc Thanh</t>
  </si>
  <si>
    <t>15/04/2004</t>
  </si>
  <si>
    <t>083204010885</t>
  </si>
  <si>
    <t>Nguyễn Hữu Thành</t>
  </si>
  <si>
    <t>19/10/2004</t>
  </si>
  <si>
    <t>038204004326</t>
  </si>
  <si>
    <t>Vũ Nguyễn Tất Thành</t>
  </si>
  <si>
    <t>15/08/2004</t>
  </si>
  <si>
    <t>087204016363</t>
  </si>
  <si>
    <t>Võ Hữu Thoại</t>
  </si>
  <si>
    <t>21/11/2004</t>
  </si>
  <si>
    <t>038204018859</t>
  </si>
  <si>
    <t>Chu Đình Thưởng</t>
  </si>
  <si>
    <t>301715457</t>
  </si>
  <si>
    <t>Nguyễn Khắc Tiệp</t>
  </si>
  <si>
    <t>26/05/2002</t>
  </si>
  <si>
    <t>079304032446</t>
  </si>
  <si>
    <t>Lê Bích Trâm</t>
  </si>
  <si>
    <t>02/08/2004</t>
  </si>
  <si>
    <t>079204034042</t>
  </si>
  <si>
    <t>Đinh Hồng Trung</t>
  </si>
  <si>
    <t>22/08/2004</t>
  </si>
  <si>
    <t>001201031330</t>
  </si>
  <si>
    <t>Nguyễn Mạnh Trường</t>
  </si>
  <si>
    <t>21/10/2001</t>
  </si>
  <si>
    <t>052204001986</t>
  </si>
  <si>
    <t>Nguyễn Hoàng Việt</t>
  </si>
  <si>
    <t>27/10/2004</t>
  </si>
  <si>
    <t>083204014365</t>
  </si>
  <si>
    <t>Huỳnh Phúc Vinh</t>
  </si>
  <si>
    <t>18/10/2004</t>
  </si>
  <si>
    <t>001204025873</t>
  </si>
  <si>
    <t>Nguyễn Quang Vinh</t>
  </si>
  <si>
    <t>04/01/2004</t>
  </si>
  <si>
    <t>080304009384</t>
  </si>
  <si>
    <t>Nguyễn Thị Xuân Yến</t>
  </si>
  <si>
    <t>01/04/2004</t>
  </si>
  <si>
    <t>089204021891</t>
  </si>
  <si>
    <t>Võ Nguyễn Tấn An</t>
  </si>
  <si>
    <t>17/03/2004</t>
  </si>
  <si>
    <t>068204008173</t>
  </si>
  <si>
    <t>Võ Xuân Ân</t>
  </si>
  <si>
    <t>06/06/2004</t>
  </si>
  <si>
    <t>052204011387</t>
  </si>
  <si>
    <t>Lê Hồng Anh</t>
  </si>
  <si>
    <t>12/11/2004</t>
  </si>
  <si>
    <t>066204002534</t>
  </si>
  <si>
    <t>Nguyễn Hoàng Anh</t>
  </si>
  <si>
    <t>28/02/2004</t>
  </si>
  <si>
    <t>056204013151</t>
  </si>
  <si>
    <t>Đào Nguyễn Duy Bảo</t>
  </si>
  <si>
    <t>09/12/2004</t>
  </si>
  <si>
    <t>079204030639</t>
  </si>
  <si>
    <t>Lý Huỳnh Gia Bảo</t>
  </si>
  <si>
    <t>17/08/2004</t>
  </si>
  <si>
    <t>058204001802</t>
  </si>
  <si>
    <t>Nguyễn Anh Bình</t>
  </si>
  <si>
    <t>19/12/2004</t>
  </si>
  <si>
    <t>079204004153</t>
  </si>
  <si>
    <t>Nguyễn Đình Phước Cao</t>
  </si>
  <si>
    <t>19/07/2004</t>
  </si>
  <si>
    <t>079204022678</t>
  </si>
  <si>
    <t>Trịnh Á Châu</t>
  </si>
  <si>
    <t>29/07/2004</t>
  </si>
  <si>
    <t>083204009146</t>
  </si>
  <si>
    <t>19/05/2004</t>
  </si>
  <si>
    <t>215612367</t>
  </si>
  <si>
    <t>Nguyễn Thị Diễm</t>
  </si>
  <si>
    <t>16/08/2004</t>
  </si>
  <si>
    <t>058204001136</t>
  </si>
  <si>
    <t>Trương Ngọc Định</t>
  </si>
  <si>
    <t>18/11/2004</t>
  </si>
  <si>
    <t>052204015986</t>
  </si>
  <si>
    <t>Nguyễn Hoàng Dương</t>
  </si>
  <si>
    <t>19/01/2004</t>
  </si>
  <si>
    <t>086204000570</t>
  </si>
  <si>
    <t>Nguyễn Thái Bảo Duy</t>
  </si>
  <si>
    <t>13/06/2004</t>
  </si>
  <si>
    <t>052204000261</t>
  </si>
  <si>
    <t>Nguyễn Văn Khánh Duy</t>
  </si>
  <si>
    <t>091204003079</t>
  </si>
  <si>
    <t>Lê Hoàng Giang</t>
  </si>
  <si>
    <t>25/02/2004</t>
  </si>
  <si>
    <t>077204000653</t>
  </si>
  <si>
    <t>Đỗ Nguyên Giáp</t>
  </si>
  <si>
    <t>26/04/2004</t>
  </si>
  <si>
    <t>0C9007935</t>
  </si>
  <si>
    <t>Nguyễn Nguyên Giáp</t>
  </si>
  <si>
    <t>29/11/2000</t>
  </si>
  <si>
    <t>054204008792</t>
  </si>
  <si>
    <t>Lê Vĩnh Hân</t>
  </si>
  <si>
    <t>07/12/2004</t>
  </si>
  <si>
    <t>052304006004</t>
  </si>
  <si>
    <t>08/12/2004</t>
  </si>
  <si>
    <t>056204000216</t>
  </si>
  <si>
    <t>Phạm Xuân Hậu</t>
  </si>
  <si>
    <t>052204004710</t>
  </si>
  <si>
    <t>Huỳnh Văn Huy</t>
  </si>
  <si>
    <t>28/09/2004</t>
  </si>
  <si>
    <t>321796114</t>
  </si>
  <si>
    <t>Trần Đình Khải</t>
  </si>
  <si>
    <t>10/04/2004</t>
  </si>
  <si>
    <t>079204010143</t>
  </si>
  <si>
    <t>Nguyễn Hữu Khang</t>
  </si>
  <si>
    <t>17/10/2004</t>
  </si>
  <si>
    <t>095203000307</t>
  </si>
  <si>
    <t>Dương Trọng Khanh</t>
  </si>
  <si>
    <t>26/09/2003</t>
  </si>
  <si>
    <t>054204001472</t>
  </si>
  <si>
    <t>Nguyễn Duy Khánh</t>
  </si>
  <si>
    <t>15/01/2004</t>
  </si>
  <si>
    <t>036204016854</t>
  </si>
  <si>
    <t>Phạm Trần Gia Khánh</t>
  </si>
  <si>
    <t>13/07/2004</t>
  </si>
  <si>
    <t>068204008250</t>
  </si>
  <si>
    <t>24/11/2004</t>
  </si>
  <si>
    <t>079204032518</t>
  </si>
  <si>
    <t>Lê Thừa Lạc</t>
  </si>
  <si>
    <t>06/04/2004</t>
  </si>
  <si>
    <t>087304016076</t>
  </si>
  <si>
    <t>Trần Ngọc Liên</t>
  </si>
  <si>
    <t>14/08/2004</t>
  </si>
  <si>
    <t>058204000148</t>
  </si>
  <si>
    <t>Nguyễn Thành Lợi</t>
  </si>
  <si>
    <t>09/10/2004</t>
  </si>
  <si>
    <t>036204005587</t>
  </si>
  <si>
    <t>Trần Lê Lợi</t>
  </si>
  <si>
    <t>06/09/2004</t>
  </si>
  <si>
    <t>058204000650</t>
  </si>
  <si>
    <t>Nguyễn Lâm Mạnh</t>
  </si>
  <si>
    <t>14/06/2004</t>
  </si>
  <si>
    <t>054204007955</t>
  </si>
  <si>
    <t>Lý Thế Minh</t>
  </si>
  <si>
    <t>24/01/2004</t>
  </si>
  <si>
    <t>079204004888</t>
  </si>
  <si>
    <t>Ngô Nhật Minh</t>
  </si>
  <si>
    <t>14/05/2004</t>
  </si>
  <si>
    <t>231490649</t>
  </si>
  <si>
    <t>Nguyễn Thái Anh Minh</t>
  </si>
  <si>
    <t>04/10/2004</t>
  </si>
  <si>
    <t>225633642</t>
  </si>
  <si>
    <t>Phạm Công Minh</t>
  </si>
  <si>
    <t>19/05/2003</t>
  </si>
  <si>
    <t>075204022937</t>
  </si>
  <si>
    <t>Thái Quang Minh</t>
  </si>
  <si>
    <t>12/06/2004</t>
  </si>
  <si>
    <t>075204023190</t>
  </si>
  <si>
    <t>Chử Trần Phương Nam</t>
  </si>
  <si>
    <t>06/02/2004</t>
  </si>
  <si>
    <t>089203019030</t>
  </si>
  <si>
    <t>Nguyễn Trung Nam</t>
  </si>
  <si>
    <t>25/12/2003</t>
  </si>
  <si>
    <t>038304001859</t>
  </si>
  <si>
    <t>Vũ Thị Nga</t>
  </si>
  <si>
    <t>21/01/2004</t>
  </si>
  <si>
    <t>094204001288</t>
  </si>
  <si>
    <t>Huỳnh Minh Nghĩa</t>
  </si>
  <si>
    <t>28/06/2004</t>
  </si>
  <si>
    <t>Hoa</t>
  </si>
  <si>
    <t>066304001911</t>
  </si>
  <si>
    <t>Ngô Thị Bích Ngọc</t>
  </si>
  <si>
    <t>01/01/2004</t>
  </si>
  <si>
    <t>083204007004</t>
  </si>
  <si>
    <t>Lê Võ Nhựt Nguyên</t>
  </si>
  <si>
    <t>26/09/2004</t>
  </si>
  <si>
    <t>089203003578</t>
  </si>
  <si>
    <t>01/06/2003</t>
  </si>
  <si>
    <t>052204012557</t>
  </si>
  <si>
    <t>Lê Quang Nhật</t>
  </si>
  <si>
    <t>18/06/2004</t>
  </si>
  <si>
    <t>070204001439</t>
  </si>
  <si>
    <t>Phan Minh Nhật</t>
  </si>
  <si>
    <t>04/08/2004</t>
  </si>
  <si>
    <t>054304002494</t>
  </si>
  <si>
    <t>Lê Thị Yến Nhi</t>
  </si>
  <si>
    <t>30/10/2004</t>
  </si>
  <si>
    <t>070304004446</t>
  </si>
  <si>
    <t>Hà Thị Hồng Nhinh</t>
  </si>
  <si>
    <t>27/06/2004</t>
  </si>
  <si>
    <t>054204005725</t>
  </si>
  <si>
    <t>Lê Ngọc Pháp</t>
  </si>
  <si>
    <t>07/09/2004</t>
  </si>
  <si>
    <t>094204011086</t>
  </si>
  <si>
    <t>Vũ Quốc Pháp</t>
  </si>
  <si>
    <t>07/03/2004</t>
  </si>
  <si>
    <t>087204013180</t>
  </si>
  <si>
    <t>Bùi Thiện Phát</t>
  </si>
  <si>
    <t>07/05/2004</t>
  </si>
  <si>
    <t>215638643</t>
  </si>
  <si>
    <t>Lê Hữu Phát</t>
  </si>
  <si>
    <t>049204000098</t>
  </si>
  <si>
    <t>Nguyễn Đức Phát</t>
  </si>
  <si>
    <t>001204025949</t>
  </si>
  <si>
    <t>Nguyễn Văn Phong</t>
  </si>
  <si>
    <t>18/08/2004</t>
  </si>
  <si>
    <t>079204016861</t>
  </si>
  <si>
    <t>Đỗ Hoàng Phú</t>
  </si>
  <si>
    <t>22/11/2004</t>
  </si>
  <si>
    <t>087204013903</t>
  </si>
  <si>
    <t>Dương Văn Phúc</t>
  </si>
  <si>
    <t>29/01/2004</t>
  </si>
  <si>
    <t>052204004843</t>
  </si>
  <si>
    <t>Hồ Thanh Phúc</t>
  </si>
  <si>
    <t>26/10/2004</t>
  </si>
  <si>
    <t>082203014455</t>
  </si>
  <si>
    <t>Nguyễn Văn Phúc</t>
  </si>
  <si>
    <t>03/04/2003</t>
  </si>
  <si>
    <t>079204025709</t>
  </si>
  <si>
    <t>Trần Nguyễn Thanh Phương</t>
  </si>
  <si>
    <t>31/07/2004</t>
  </si>
  <si>
    <t>188018893</t>
  </si>
  <si>
    <t>Lê Văn Quân</t>
  </si>
  <si>
    <t>16/01/2004</t>
  </si>
  <si>
    <t>077204001613</t>
  </si>
  <si>
    <t>Võ Đình Quân</t>
  </si>
  <si>
    <t>21/12/2004</t>
  </si>
  <si>
    <t>034204012078</t>
  </si>
  <si>
    <t>Nguyễn Hữu Quyền</t>
  </si>
  <si>
    <t>12/07/2004</t>
  </si>
  <si>
    <t>070204003698</t>
  </si>
  <si>
    <t>Điểu Nguyễn Thanh Sang</t>
  </si>
  <si>
    <t>X tiêng</t>
  </si>
  <si>
    <t>042204003588</t>
  </si>
  <si>
    <t>Lê Huy Sáng</t>
  </si>
  <si>
    <t>13/10/2004</t>
  </si>
  <si>
    <t>040202011756</t>
  </si>
  <si>
    <t>Võ Hồng Sơn</t>
  </si>
  <si>
    <t>038204012935</t>
  </si>
  <si>
    <t>Ngọ Văn Sửu</t>
  </si>
  <si>
    <t>02/04/2004</t>
  </si>
  <si>
    <t>079204028121</t>
  </si>
  <si>
    <t>Lê Thành Tài</t>
  </si>
  <si>
    <t>09/11/2004</t>
  </si>
  <si>
    <t>079204033234</t>
  </si>
  <si>
    <t>Trần Phước Tài</t>
  </si>
  <si>
    <t>03/11/2004</t>
  </si>
  <si>
    <t>087204018895</t>
  </si>
  <si>
    <t>Nguyễn Minh Tâm</t>
  </si>
  <si>
    <t>089204020783</t>
  </si>
  <si>
    <t>Nguyễn Thành Tâm</t>
  </si>
  <si>
    <t>079204028698</t>
  </si>
  <si>
    <t>Nguyễn Hoàng Tân</t>
  </si>
  <si>
    <t>27/12/2004</t>
  </si>
  <si>
    <t>281426219</t>
  </si>
  <si>
    <t>Trần Lê Phước Thành</t>
  </si>
  <si>
    <t>20/06/2004</t>
  </si>
  <si>
    <t>052204015729</t>
  </si>
  <si>
    <t>Nguyễn Đình Thế</t>
  </si>
  <si>
    <t>068204011939</t>
  </si>
  <si>
    <t>Nguyễn Lê Thanh Thiên</t>
  </si>
  <si>
    <t>212439471</t>
  </si>
  <si>
    <t>Võ Minh Thiện</t>
  </si>
  <si>
    <t>087204011932</t>
  </si>
  <si>
    <t>Nguyễn Phúc Thịnh</t>
  </si>
  <si>
    <t>080204000099</t>
  </si>
  <si>
    <t>Nguyễn Phùng Thịnh</t>
  </si>
  <si>
    <t>14/07/2004</t>
  </si>
  <si>
    <t>062204003188</t>
  </si>
  <si>
    <t>Nguyễn Thành Thịnh</t>
  </si>
  <si>
    <t>06/01/2004</t>
  </si>
  <si>
    <t>056204009190</t>
  </si>
  <si>
    <t>Trương Duy Thoại</t>
  </si>
  <si>
    <t>16/06/2004</t>
  </si>
  <si>
    <t>096304006150</t>
  </si>
  <si>
    <t>Nguyễn Dương Hiền Thương</t>
  </si>
  <si>
    <t>29/03/2004</t>
  </si>
  <si>
    <t>077204006146</t>
  </si>
  <si>
    <t>Vũ Mạnh Thuyết</t>
  </si>
  <si>
    <t>01/07/2004</t>
  </si>
  <si>
    <t>089304010594</t>
  </si>
  <si>
    <t>Đào Hoàng Mỹ Tiên</t>
  </si>
  <si>
    <t>29/09/2004</t>
  </si>
  <si>
    <t>096303001724</t>
  </si>
  <si>
    <t>Lê Ngọc Tiền</t>
  </si>
  <si>
    <t>03/06/2003</t>
  </si>
  <si>
    <t>054204001987</t>
  </si>
  <si>
    <t>Mai Văn Tiền</t>
  </si>
  <si>
    <t>15/09/2004</t>
  </si>
  <si>
    <t>087204004137</t>
  </si>
  <si>
    <t>Nguyễn Ngô Tin</t>
  </si>
  <si>
    <t>079204024280</t>
  </si>
  <si>
    <t>Dương Hữu Tín</t>
  </si>
  <si>
    <t>079204029560</t>
  </si>
  <si>
    <t>05/01/2004</t>
  </si>
  <si>
    <t>068204008644</t>
  </si>
  <si>
    <t>Vũ Hải Triều</t>
  </si>
  <si>
    <t>15/02/2004</t>
  </si>
  <si>
    <t>044303001048</t>
  </si>
  <si>
    <t>Phạm Tuyết Trinh</t>
  </si>
  <si>
    <t>26/03/2003</t>
  </si>
  <si>
    <t>052204008152</t>
  </si>
  <si>
    <t>Lê Đức Trọng</t>
  </si>
  <si>
    <t>29/08/2004</t>
  </si>
  <si>
    <t>052204016979</t>
  </si>
  <si>
    <t>04/05/2004</t>
  </si>
  <si>
    <t>072204001981</t>
  </si>
  <si>
    <t>Lâm Chí Trung</t>
  </si>
  <si>
    <t>21/05/2004</t>
  </si>
  <si>
    <t>077204003469</t>
  </si>
  <si>
    <t>Hoàng Đức Công Tú</t>
  </si>
  <si>
    <t>27/09/2004</t>
  </si>
  <si>
    <t>089304017252</t>
  </si>
  <si>
    <t>Lê Huỳnh Cẩm Tú</t>
  </si>
  <si>
    <t>27/02/2004</t>
  </si>
  <si>
    <t>079204003385</t>
  </si>
  <si>
    <t>Nguyễn Minh Tú</t>
  </si>
  <si>
    <t>30/05/2004</t>
  </si>
  <si>
    <t>060204000179</t>
  </si>
  <si>
    <t>Lê Phạm Hoàng Tuấn</t>
  </si>
  <si>
    <t>07/10/2004</t>
  </si>
  <si>
    <t>068204010789</t>
  </si>
  <si>
    <t>Nguyễn Quang Tùng</t>
  </si>
  <si>
    <t>221534591</t>
  </si>
  <si>
    <t>Đinh Ngọc Phương Tuyền</t>
  </si>
  <si>
    <t>034204004416</t>
  </si>
  <si>
    <t>Trần Văn Việt</t>
  </si>
  <si>
    <t>16/10/2004</t>
  </si>
  <si>
    <t>089204011793</t>
  </si>
  <si>
    <t>Lê Quốc Vinh</t>
  </si>
  <si>
    <t>22/02/2004</t>
  </si>
  <si>
    <t>066204007911</t>
  </si>
  <si>
    <t>Phan Văn Vinh</t>
  </si>
  <si>
    <t>28/08/2004</t>
  </si>
  <si>
    <t>089304019748</t>
  </si>
  <si>
    <t>Phan Trần Tường Vy</t>
  </si>
  <si>
    <t>22/04/2004</t>
  </si>
  <si>
    <t>087204004034</t>
  </si>
  <si>
    <t>Võ Quốc An</t>
  </si>
  <si>
    <t>07/04/2004</t>
  </si>
  <si>
    <t>040204002977</t>
  </si>
  <si>
    <t>Hoàng Tuấn Anh</t>
  </si>
  <si>
    <t>060204007558</t>
  </si>
  <si>
    <t>Trương Thanh Thế Bảo</t>
  </si>
  <si>
    <t>11/06/2004</t>
  </si>
  <si>
    <t>052204016166</t>
  </si>
  <si>
    <t>Huỳnh Lê Xuân Bình</t>
  </si>
  <si>
    <t>31/12/2004</t>
  </si>
  <si>
    <t>091204002446</t>
  </si>
  <si>
    <t>Danh Đình Chương</t>
  </si>
  <si>
    <t>Khơ me</t>
  </si>
  <si>
    <t>025204004764</t>
  </si>
  <si>
    <t>Nguyễn Chính Danh</t>
  </si>
  <si>
    <t>22/07/2004</t>
  </si>
  <si>
    <t>038203017604</t>
  </si>
  <si>
    <t>Nguyễn Hữu Đệ</t>
  </si>
  <si>
    <t>29/05/2003</t>
  </si>
  <si>
    <t>079204026219</t>
  </si>
  <si>
    <t>Đỗ Chí Dũng</t>
  </si>
  <si>
    <t>070204005432</t>
  </si>
  <si>
    <t>Nguyễn Trường Giang</t>
  </si>
  <si>
    <t>038204027631</t>
  </si>
  <si>
    <t>Trịnh Ngọc Giang</t>
  </si>
  <si>
    <t>077204000552</t>
  </si>
  <si>
    <t>Huỳnh Công Hải</t>
  </si>
  <si>
    <t>26/03/2004</t>
  </si>
  <si>
    <t>060204002054</t>
  </si>
  <si>
    <t>Nguyễn Trần Ngọc Hoài</t>
  </si>
  <si>
    <t>11/07/2004</t>
  </si>
  <si>
    <t>051204002904</t>
  </si>
  <si>
    <t>Phạm Minh Huy</t>
  </si>
  <si>
    <t>070204005421</t>
  </si>
  <si>
    <t>Phùng Ngọc Huy</t>
  </si>
  <si>
    <t>31/08/2004</t>
  </si>
  <si>
    <t>066098018670</t>
  </si>
  <si>
    <t>Lê Ngọc Khánh</t>
  </si>
  <si>
    <t>09/02/1998</t>
  </si>
  <si>
    <t>281366132</t>
  </si>
  <si>
    <t>Nguyễn Huỳnh Đăng Khoa</t>
  </si>
  <si>
    <t>070204005444</t>
  </si>
  <si>
    <t>Trần Hoàng Lâm</t>
  </si>
  <si>
    <t>16/02/2004</t>
  </si>
  <si>
    <t>089204000162</t>
  </si>
  <si>
    <t>28/07/2004</t>
  </si>
  <si>
    <t>079204003587</t>
  </si>
  <si>
    <t>Nguyễn Ngọc Hoàng Phúc</t>
  </si>
  <si>
    <t>087204017580</t>
  </si>
  <si>
    <t>Trần Nguyễn Trung Quân</t>
  </si>
  <si>
    <t>072204006431</t>
  </si>
  <si>
    <t>Nguyễn Thái Sơn</t>
  </si>
  <si>
    <t>077204006319</t>
  </si>
  <si>
    <t>Huỳnh Phúc Thọ</t>
  </si>
  <si>
    <t>04/03/2004</t>
  </si>
  <si>
    <t>095204001834</t>
  </si>
  <si>
    <t>Võ Ngô Hoàng Thống</t>
  </si>
  <si>
    <t>12/09/2004</t>
  </si>
  <si>
    <t>052204000912</t>
  </si>
  <si>
    <t>Đào Văn Tình</t>
  </si>
  <si>
    <t>11/05/2004</t>
  </si>
  <si>
    <t>082304004352</t>
  </si>
  <si>
    <t>Đặng Bảo Trân</t>
  </si>
  <si>
    <t>19/09/2004</t>
  </si>
  <si>
    <t>060204001665</t>
  </si>
  <si>
    <t>Nguyễn Sỹ Tuấn</t>
  </si>
  <si>
    <t>08/04/2004</t>
  </si>
  <si>
    <t>079204037007</t>
  </si>
  <si>
    <t>Lư Trọng Vinh</t>
  </si>
  <si>
    <t>096204009646</t>
  </si>
  <si>
    <t>Tô Phú Yên</t>
  </si>
  <si>
    <t>10/07/2004</t>
  </si>
  <si>
    <t>046204001277</t>
  </si>
  <si>
    <t>Ngô Đình Bảo</t>
  </si>
  <si>
    <t>075204002327</t>
  </si>
  <si>
    <t>Trần Huỳnh Gia Bảo</t>
  </si>
  <si>
    <t>074204002400</t>
  </si>
  <si>
    <t>Nguyễn Thành Danh</t>
  </si>
  <si>
    <t>082204002775</t>
  </si>
  <si>
    <t>Trần Phạm Bá Đạt</t>
  </si>
  <si>
    <t>06/07/2004</t>
  </si>
  <si>
    <t>095204002912</t>
  </si>
  <si>
    <t>Trịnh Vũ Duy</t>
  </si>
  <si>
    <t>03/06/2004</t>
  </si>
  <si>
    <t>060204000356</t>
  </si>
  <si>
    <t>Trần Thanh Hân</t>
  </si>
  <si>
    <t>03/08/2004</t>
  </si>
  <si>
    <t>066204001822</t>
  </si>
  <si>
    <t>Phạm Trung Hiếu</t>
  </si>
  <si>
    <t>25/07/2004</t>
  </si>
  <si>
    <t>080204000196</t>
  </si>
  <si>
    <t>Trần Nguyễn Trọng Hoài</t>
  </si>
  <si>
    <t>052204005151</t>
  </si>
  <si>
    <t>Nguyễn Phi Hùng</t>
  </si>
  <si>
    <t>052204011389</t>
  </si>
  <si>
    <t>Thái Phước Hưng</t>
  </si>
  <si>
    <t>01/05/2004</t>
  </si>
  <si>
    <t>052204001592</t>
  </si>
  <si>
    <t>Võ Nguyễn Hưng</t>
  </si>
  <si>
    <t>092204000611</t>
  </si>
  <si>
    <t>Ngô Nguyễn Hoàng Huy</t>
  </si>
  <si>
    <t>21/02/2004</t>
  </si>
  <si>
    <t>058304001889</t>
  </si>
  <si>
    <t>Phan Thị Huyền</t>
  </si>
  <si>
    <t>04/04/2004</t>
  </si>
  <si>
    <t>079204015083</t>
  </si>
  <si>
    <t>Lý Đức Long</t>
  </si>
  <si>
    <t>079204005544</t>
  </si>
  <si>
    <t>Vũ Nhật Minh</t>
  </si>
  <si>
    <t>22/03/2004</t>
  </si>
  <si>
    <t>281372376</t>
  </si>
  <si>
    <t>Vũ Phương Nam</t>
  </si>
  <si>
    <t>17/01/2003</t>
  </si>
  <si>
    <t>027304000265</t>
  </si>
  <si>
    <t>Chu Thị Kim Ngân</t>
  </si>
  <si>
    <t>03/01/2004</t>
  </si>
  <si>
    <t>051203000399</t>
  </si>
  <si>
    <t>Trần Hữu Nguyên</t>
  </si>
  <si>
    <t>31/08/2003</t>
  </si>
  <si>
    <t>052204007892</t>
  </si>
  <si>
    <t>Nguyễn Hoàng Phát</t>
  </si>
  <si>
    <t>21/06/2004</t>
  </si>
  <si>
    <t>066204012369</t>
  </si>
  <si>
    <t>Phan Văn Quốc</t>
  </si>
  <si>
    <t>02/06/2004</t>
  </si>
  <si>
    <t>066204017651</t>
  </si>
  <si>
    <t>Lê Trần Hoàng Sơn</t>
  </si>
  <si>
    <t>13/05/2004</t>
  </si>
  <si>
    <t>080204004423</t>
  </si>
  <si>
    <t>Ngô Thành Tâm</t>
  </si>
  <si>
    <t>11/03/2004</t>
  </si>
  <si>
    <t>077203000727</t>
  </si>
  <si>
    <t>28/07/2003</t>
  </si>
  <si>
    <t>054204008066</t>
  </si>
  <si>
    <t>Bùi Bảo Tín</t>
  </si>
  <si>
    <t>20/10/2004</t>
  </si>
  <si>
    <t>215629912</t>
  </si>
  <si>
    <t>Trần Minh Trọng</t>
  </si>
  <si>
    <t>080204003629</t>
  </si>
  <si>
    <t>Trần Thanh Trọng</t>
  </si>
  <si>
    <t>04/12/2004</t>
  </si>
  <si>
    <t>079204050656</t>
  </si>
  <si>
    <t>Nguyễn Huy Tuấn</t>
  </si>
  <si>
    <t>23/08/2004</t>
  </si>
  <si>
    <t>096304006800</t>
  </si>
  <si>
    <t>Tạ Như Ý</t>
  </si>
  <si>
    <t>09/09/2004</t>
  </si>
  <si>
    <t>051204014885</t>
  </si>
  <si>
    <t>Mai Thành An</t>
  </si>
  <si>
    <t>07/07/2004</t>
  </si>
  <si>
    <t>068204004107</t>
  </si>
  <si>
    <t>Nguyễn Quốc Anh</t>
  </si>
  <si>
    <t>26/02/2004</t>
  </si>
  <si>
    <t>122430149</t>
  </si>
  <si>
    <t>Phạm Văn Anh</t>
  </si>
  <si>
    <t>01/03/2004</t>
  </si>
  <si>
    <t>079204024640</t>
  </si>
  <si>
    <t>Trà Vũ Đức Anh</t>
  </si>
  <si>
    <t>25/11/2004</t>
  </si>
  <si>
    <t>052204004755</t>
  </si>
  <si>
    <t>Nguyễn Châu Bảo</t>
  </si>
  <si>
    <t>25/04/2004</t>
  </si>
  <si>
    <t>382078256</t>
  </si>
  <si>
    <t>Nguyễn Hoài Bảo</t>
  </si>
  <si>
    <t>070204002361</t>
  </si>
  <si>
    <t>Nguyễn Minh Bảo</t>
  </si>
  <si>
    <t>04/06/2004</t>
  </si>
  <si>
    <t>066204012735</t>
  </si>
  <si>
    <t>Trương Công Chung</t>
  </si>
  <si>
    <t>Mường</t>
  </si>
  <si>
    <t>052204006132</t>
  </si>
  <si>
    <t>Trương Đình Đăng</t>
  </si>
  <si>
    <t>10/11/2004</t>
  </si>
  <si>
    <t>056204003244</t>
  </si>
  <si>
    <t>Lê Tiến Đạt</t>
  </si>
  <si>
    <t>09/01/2004</t>
  </si>
  <si>
    <t>077204001379</t>
  </si>
  <si>
    <t>Lê Anh Dũng</t>
  </si>
  <si>
    <t>091204000164</t>
  </si>
  <si>
    <t>Đặng Trường Duy</t>
  </si>
  <si>
    <t>096204007454</t>
  </si>
  <si>
    <t>Phạm Trần Duy</t>
  </si>
  <si>
    <t>077204000977</t>
  </si>
  <si>
    <t>Nguyễn Thanh Hải</t>
  </si>
  <si>
    <t>096204013254</t>
  </si>
  <si>
    <t>Trương Phúc Hậu</t>
  </si>
  <si>
    <t>14/04/2004</t>
  </si>
  <si>
    <t>060304005973</t>
  </si>
  <si>
    <t>Lê Thị Thanh Hiếu</t>
  </si>
  <si>
    <t>04/11/2004</t>
  </si>
  <si>
    <t>215659972</t>
  </si>
  <si>
    <t>Lê PhưỚC HòA</t>
  </si>
  <si>
    <t>079204026502</t>
  </si>
  <si>
    <t>Ngô Đình Hưng</t>
  </si>
  <si>
    <t>23/07/2004</t>
  </si>
  <si>
    <t>312592594</t>
  </si>
  <si>
    <t>Lê Hoàng Huy</t>
  </si>
  <si>
    <t>19/11/2004</t>
  </si>
  <si>
    <t>038204028956</t>
  </si>
  <si>
    <t>Nguyễn Gia Huy</t>
  </si>
  <si>
    <t>15/11/2004</t>
  </si>
  <si>
    <t>054204010959</t>
  </si>
  <si>
    <t>Nguyễn Phúc Huy</t>
  </si>
  <si>
    <t>058204000458</t>
  </si>
  <si>
    <t>Nguyễn Thanh Huy</t>
  </si>
  <si>
    <t>23/09/2004</t>
  </si>
  <si>
    <t>075204014549</t>
  </si>
  <si>
    <t>Trần Gia Huy</t>
  </si>
  <si>
    <t>03/10/2004</t>
  </si>
  <si>
    <t>087204011223</t>
  </si>
  <si>
    <t>Cao Nguyễn An Khang</t>
  </si>
  <si>
    <t>01/11/2004</t>
  </si>
  <si>
    <t>312576905</t>
  </si>
  <si>
    <t>Võ Duy Khang</t>
  </si>
  <si>
    <t>08/05/2004</t>
  </si>
  <si>
    <t>079204010540</t>
  </si>
  <si>
    <t>Vũ Hoàng Minh Khang</t>
  </si>
  <si>
    <t>082204003205</t>
  </si>
  <si>
    <t>Văn Chí Khanh</t>
  </si>
  <si>
    <t>11/09/2004</t>
  </si>
  <si>
    <t>068204008246</t>
  </si>
  <si>
    <t>Đỗ Trần Đăng Khoa</t>
  </si>
  <si>
    <t>054204005215</t>
  </si>
  <si>
    <t>Nguyễn Tịnh Khôi</t>
  </si>
  <si>
    <t>16/09/2004</t>
  </si>
  <si>
    <t>080204012793</t>
  </si>
  <si>
    <t>Trần Nguyên Khôi</t>
  </si>
  <si>
    <t>03/07/2004</t>
  </si>
  <si>
    <t>079204005710</t>
  </si>
  <si>
    <t>Trần Nhật Lâm</t>
  </si>
  <si>
    <t>26/08/2004</t>
  </si>
  <si>
    <t>072204002004</t>
  </si>
  <si>
    <t>Huỳnh Thanh Liêm</t>
  </si>
  <si>
    <t>060204008575</t>
  </si>
  <si>
    <t>Võ Nhật Linh</t>
  </si>
  <si>
    <t>10/02/2004</t>
  </si>
  <si>
    <t>079204039016</t>
  </si>
  <si>
    <t>Nguyễn Lê Thành Lộc</t>
  </si>
  <si>
    <t>068204014130</t>
  </si>
  <si>
    <t>Nguyễn Bảo Long</t>
  </si>
  <si>
    <t>019204008219</t>
  </si>
  <si>
    <t>Hoàng Hải Nam</t>
  </si>
  <si>
    <t>18/01/2004</t>
  </si>
  <si>
    <t>077204003316</t>
  </si>
  <si>
    <t>Lê Hoài Nam</t>
  </si>
  <si>
    <t>02/11/2004</t>
  </si>
  <si>
    <t>080204012917</t>
  </si>
  <si>
    <t>Lê Hoàng Nam</t>
  </si>
  <si>
    <t>01/06/2004</t>
  </si>
  <si>
    <t>049204016201</t>
  </si>
  <si>
    <t>Lê Phương Nhật Nam</t>
  </si>
  <si>
    <t>01/12/2004</t>
  </si>
  <si>
    <t>068204004733</t>
  </si>
  <si>
    <t>Nguyễn Trịnh Hữu Nam</t>
  </si>
  <si>
    <t>05/02/2004</t>
  </si>
  <si>
    <t>052204013992</t>
  </si>
  <si>
    <t>Hồ Lê Phúc Nguyên</t>
  </si>
  <si>
    <t>07/01/2004</t>
  </si>
  <si>
    <t>066304013677</t>
  </si>
  <si>
    <t>054204005025</t>
  </si>
  <si>
    <t>Lê Tiến Phát</t>
  </si>
  <si>
    <t>05/12/2004</t>
  </si>
  <si>
    <t>052204001876</t>
  </si>
  <si>
    <t>Đặng Thế Phong</t>
  </si>
  <si>
    <t>042204009249</t>
  </si>
  <si>
    <t>Hoàng Trọng Thế Phong</t>
  </si>
  <si>
    <t>15/10/2004</t>
  </si>
  <si>
    <t>079204018209</t>
  </si>
  <si>
    <t>Ngô Vũ Thiên Phú</t>
  </si>
  <si>
    <t>342131629</t>
  </si>
  <si>
    <t>Vũ Trường Phú</t>
  </si>
  <si>
    <t>074204002266</t>
  </si>
  <si>
    <t>Phan Hoàng Phúc</t>
  </si>
  <si>
    <t>051204010031</t>
  </si>
  <si>
    <t>Nguyễn Đoàn Hải Quân</t>
  </si>
  <si>
    <t>06/03/2004</t>
  </si>
  <si>
    <t>079204005378</t>
  </si>
  <si>
    <t>Nguyễn Lương Từ Quy</t>
  </si>
  <si>
    <t>12/05/2004</t>
  </si>
  <si>
    <t>060204012149</t>
  </si>
  <si>
    <t>Nguyễn Trương Quyền</t>
  </si>
  <si>
    <t>10/01/2004</t>
  </si>
  <si>
    <t>068204014122</t>
  </si>
  <si>
    <t>Nguyễn Thiên Sơn</t>
  </si>
  <si>
    <t>060204001215</t>
  </si>
  <si>
    <t>Trần Võ Sướng</t>
  </si>
  <si>
    <t>26/11/2004</t>
  </si>
  <si>
    <t>058204001919</t>
  </si>
  <si>
    <t>Vũ Văn Tài</t>
  </si>
  <si>
    <t>197406953</t>
  </si>
  <si>
    <t>Dương Văn Tâm</t>
  </si>
  <si>
    <t>13/02/2003</t>
  </si>
  <si>
    <t>052204004621</t>
  </si>
  <si>
    <t>Lê Văn Thanh</t>
  </si>
  <si>
    <t>01/10/2004</t>
  </si>
  <si>
    <t>096204000690</t>
  </si>
  <si>
    <t>Mai Đức Thành</t>
  </si>
  <si>
    <t>14/09/2004</t>
  </si>
  <si>
    <t>276069895</t>
  </si>
  <si>
    <t>Trần Đức Thiện</t>
  </si>
  <si>
    <t>02/01/2004</t>
  </si>
  <si>
    <t>052204006465</t>
  </si>
  <si>
    <t>Hồ Duy Toàn</t>
  </si>
  <si>
    <t>21/08/2004</t>
  </si>
  <si>
    <t>083204001233</t>
  </si>
  <si>
    <t>Lý Hải Triều</t>
  </si>
  <si>
    <t>15/05/2004</t>
  </si>
  <si>
    <t>079304012630</t>
  </si>
  <si>
    <t>Lương Ngọc Trúc</t>
  </si>
  <si>
    <t>068203002803</t>
  </si>
  <si>
    <t>Ninh Xuân Trường</t>
  </si>
  <si>
    <t>12/06/2003</t>
  </si>
  <si>
    <t>074204001363</t>
  </si>
  <si>
    <t>Phạm Nhật Trường</t>
  </si>
  <si>
    <t>095204008532</t>
  </si>
  <si>
    <t>Võ Tấn Truyền</t>
  </si>
  <si>
    <t>26/05/2004</t>
  </si>
  <si>
    <t>372065906</t>
  </si>
  <si>
    <t>Phạm Minh Tú</t>
  </si>
  <si>
    <t>060204001183</t>
  </si>
  <si>
    <t>Phan Quốc Anh Tú</t>
  </si>
  <si>
    <t>079203018162</t>
  </si>
  <si>
    <t>Nguyễn Thế Vinh</t>
  </si>
  <si>
    <t>382025624</t>
  </si>
  <si>
    <t>Tôn Chí Vỹ</t>
  </si>
  <si>
    <t>29/04/2004</t>
  </si>
  <si>
    <t>064204012852</t>
  </si>
  <si>
    <t>Huỳnh Tấn Đạt</t>
  </si>
  <si>
    <t>25/03/2004</t>
  </si>
  <si>
    <t>064204007499</t>
  </si>
  <si>
    <t>Nguyễn Anh Dũng</t>
  </si>
  <si>
    <t>058204000922</t>
  </si>
  <si>
    <t>Nguyễn Hữu Hiệp</t>
  </si>
  <si>
    <t>038203017602</t>
  </si>
  <si>
    <t>Nguyễn Hữu Huynh</t>
  </si>
  <si>
    <t>056204006449</t>
  </si>
  <si>
    <t>Trần Hữu Lộc</t>
  </si>
  <si>
    <t>30/08/2004</t>
  </si>
  <si>
    <t>058204002621</t>
  </si>
  <si>
    <t>Trần Đặng Mạnh</t>
  </si>
  <si>
    <t>05/04/2004</t>
  </si>
  <si>
    <t>080304005791</t>
  </si>
  <si>
    <t>Phan Kim Ngọc</t>
  </si>
  <si>
    <t>01/09/2004</t>
  </si>
  <si>
    <t>094204005128</t>
  </si>
  <si>
    <t>Bùi Văn Phận</t>
  </si>
  <si>
    <t>23/01/2004</t>
  </si>
  <si>
    <t>083204000073</t>
  </si>
  <si>
    <t>Đỗ Minh Tâm</t>
  </si>
  <si>
    <t>074204005996</t>
  </si>
  <si>
    <t>Phan Minh Trí</t>
  </si>
  <si>
    <t>24/12/2004</t>
  </si>
  <si>
    <t>077204001729</t>
  </si>
  <si>
    <t>Nguyễn Hoàng Minh Trọng</t>
  </si>
  <si>
    <t>077204009898</t>
  </si>
  <si>
    <t>Châu Minh Tú</t>
  </si>
  <si>
    <t>Tin Lành</t>
  </si>
  <si>
    <t>052204010229</t>
  </si>
  <si>
    <t>Võ Anh Tuấn</t>
  </si>
  <si>
    <t>17/07/2004</t>
  </si>
  <si>
    <t>044304006735</t>
  </si>
  <si>
    <t>Nguyễn Thị Khánh An</t>
  </si>
  <si>
    <t>24/06/2004</t>
  </si>
  <si>
    <t>027304001938</t>
  </si>
  <si>
    <t>Hồ Ngọc Anh</t>
  </si>
  <si>
    <t>038304005391</t>
  </si>
  <si>
    <t>Lê Nhật Anh</t>
  </si>
  <si>
    <t>30/04/2004</t>
  </si>
  <si>
    <t>060304010124</t>
  </si>
  <si>
    <t>Lê Phạm Vân Anh</t>
  </si>
  <si>
    <t>074304003193</t>
  </si>
  <si>
    <t>Mai Thị ThúY Anh</t>
  </si>
  <si>
    <t>030304000282</t>
  </si>
  <si>
    <t>Nguyễn Thị Hồng Anh</t>
  </si>
  <si>
    <t>030304000281</t>
  </si>
  <si>
    <t>Nguyễn Thị Quỳnh Anh</t>
  </si>
  <si>
    <t>062304001412</t>
  </si>
  <si>
    <t>Phạm Minh Anh</t>
  </si>
  <si>
    <t>201871516</t>
  </si>
  <si>
    <t>Võ Thị Kim Anh</t>
  </si>
  <si>
    <t>052304010474</t>
  </si>
  <si>
    <t>Trương Thị Điệp</t>
  </si>
  <si>
    <t>01/02/2004</t>
  </si>
  <si>
    <t>087304004012</t>
  </si>
  <si>
    <t>Nguyễn Thị Ngọc Điều</t>
  </si>
  <si>
    <t>19/08/2004</t>
  </si>
  <si>
    <t>079304028424</t>
  </si>
  <si>
    <t>Nguyễn Ánh Đình</t>
  </si>
  <si>
    <t>056304005046</t>
  </si>
  <si>
    <t>Phạm Nguyễn Bích Dung</t>
  </si>
  <si>
    <t>19/06/2004</t>
  </si>
  <si>
    <t>084304007524</t>
  </si>
  <si>
    <t>Nguyễn Lê Thùy Dương</t>
  </si>
  <si>
    <t>30/09/2004</t>
  </si>
  <si>
    <t>272972193</t>
  </si>
  <si>
    <t>Lê Thị Xuân Duyên</t>
  </si>
  <si>
    <t>18/04/2004</t>
  </si>
  <si>
    <t>075304010473</t>
  </si>
  <si>
    <t>Bùi Thị Minh Hằng</t>
  </si>
  <si>
    <t>27/04/2004</t>
  </si>
  <si>
    <t>089304004942</t>
  </si>
  <si>
    <t>Nguyễn Thị Kim Hiếu</t>
  </si>
  <si>
    <t>23/03/2004</t>
  </si>
  <si>
    <t>091304011785</t>
  </si>
  <si>
    <t>Danh Thị Hồng</t>
  </si>
  <si>
    <t>231426540</t>
  </si>
  <si>
    <t>Mai Đào Cúc Huệ</t>
  </si>
  <si>
    <t>030304001864</t>
  </si>
  <si>
    <t>Nguyễn Thu Huyền</t>
  </si>
  <si>
    <t>091304016191</t>
  </si>
  <si>
    <t>Trần Thị Như Huỳnh</t>
  </si>
  <si>
    <t>12/02/2004</t>
  </si>
  <si>
    <t>080203001477</t>
  </si>
  <si>
    <t>Huỳnh Văn Kha</t>
  </si>
  <si>
    <t>01/03/2003</t>
  </si>
  <si>
    <t>001203000047</t>
  </si>
  <si>
    <t>Tiển Gia Khánh</t>
  </si>
  <si>
    <t>16/01/2003</t>
  </si>
  <si>
    <t>038304012000</t>
  </si>
  <si>
    <t>Đỗ Thị Mỹ Linh</t>
  </si>
  <si>
    <t>096204013495</t>
  </si>
  <si>
    <t>Nguyễn Nhựt Linh</t>
  </si>
  <si>
    <t>15/12/2004</t>
  </si>
  <si>
    <t>074303001468</t>
  </si>
  <si>
    <t>Phan Thị Hoài Linh</t>
  </si>
  <si>
    <t>16/11/2003</t>
  </si>
  <si>
    <t>052304009164</t>
  </si>
  <si>
    <t>Nguyễn Thị Thúy Loan</t>
  </si>
  <si>
    <t>058304001290</t>
  </si>
  <si>
    <t>Nguyễn Thị Mỹ Lợi</t>
  </si>
  <si>
    <t>080304015524</t>
  </si>
  <si>
    <t>Thi Xuân Mai</t>
  </si>
  <si>
    <t>23/05/2004</t>
  </si>
  <si>
    <t>038304007874</t>
  </si>
  <si>
    <t>Nguyễn Dương Trà My</t>
  </si>
  <si>
    <t>072303006239</t>
  </si>
  <si>
    <t>Nguyễn Thị Ngọc Ngà</t>
  </si>
  <si>
    <t>27/07/2003</t>
  </si>
  <si>
    <t>056304003226</t>
  </si>
  <si>
    <t>Trần Thị Bích Ngọc</t>
  </si>
  <si>
    <t>17/09/2004</t>
  </si>
  <si>
    <t>079304031809</t>
  </si>
  <si>
    <t>Nguyễn Đông Nhi</t>
  </si>
  <si>
    <t>29/12/2004</t>
  </si>
  <si>
    <t>272955963</t>
  </si>
  <si>
    <t>Nguyễn Ngọc Yến Nhi</t>
  </si>
  <si>
    <t>082304002673</t>
  </si>
  <si>
    <t>Nguyễn Thị Thiên Nhi</t>
  </si>
  <si>
    <t>075304002416</t>
  </si>
  <si>
    <t>Lương Thị Quỳnh Như</t>
  </si>
  <si>
    <t>079304016160</t>
  </si>
  <si>
    <t>Trần Hồ Minh Như</t>
  </si>
  <si>
    <t>20/08/2004</t>
  </si>
  <si>
    <t>301885353</t>
  </si>
  <si>
    <t>Trần Võ Khang Ni</t>
  </si>
  <si>
    <t>24/12/2003</t>
  </si>
  <si>
    <t>077204002719</t>
  </si>
  <si>
    <t>Võ Hoàng Pho</t>
  </si>
  <si>
    <t>052304013879</t>
  </si>
  <si>
    <t>Võ Thanh Phương</t>
  </si>
  <si>
    <t>05/06/2004</t>
  </si>
  <si>
    <t>051304000078</t>
  </si>
  <si>
    <t>Nguyễn Thanh Phượng</t>
  </si>
  <si>
    <t>28/01/2004</t>
  </si>
  <si>
    <t>079303033761</t>
  </si>
  <si>
    <t>Nguyễn Thị Hồng Phượng</t>
  </si>
  <si>
    <t>12/01/2003</t>
  </si>
  <si>
    <t>052304005753</t>
  </si>
  <si>
    <t>Triệu Thị Quý</t>
  </si>
  <si>
    <t>058304001653</t>
  </si>
  <si>
    <t>Nguyễn Thị Tuyết Quyên</t>
  </si>
  <si>
    <t>058304001996</t>
  </si>
  <si>
    <t>Lê Bình Phương Quỳnh</t>
  </si>
  <si>
    <t>24/07/2004</t>
  </si>
  <si>
    <t>052304014105</t>
  </si>
  <si>
    <t>Nguyễn Thị Tuyết Sương</t>
  </si>
  <si>
    <t>096204000091</t>
  </si>
  <si>
    <t>381892339</t>
  </si>
  <si>
    <t>Hữu Thị Hồng Thắm</t>
  </si>
  <si>
    <t>14/07/1999</t>
  </si>
  <si>
    <t>080303006182</t>
  </si>
  <si>
    <t>Võ Thị Hồng Thắm</t>
  </si>
  <si>
    <t>23/09/2003</t>
  </si>
  <si>
    <t>075304017947</t>
  </si>
  <si>
    <t>Nguyễn Hà Vy Thảo</t>
  </si>
  <si>
    <t>075304011366</t>
  </si>
  <si>
    <t>Vũ Thị Thanh Thảo</t>
  </si>
  <si>
    <t>30/07/2004</t>
  </si>
  <si>
    <t>040304000787</t>
  </si>
  <si>
    <t>Nguyễn Thị Thu</t>
  </si>
  <si>
    <t>06/10/2004</t>
  </si>
  <si>
    <t>079304021834</t>
  </si>
  <si>
    <t>082204003290</t>
  </si>
  <si>
    <t>Nguyễn Minh Thuận</t>
  </si>
  <si>
    <t>036304014368</t>
  </si>
  <si>
    <t>Phạm Phương Thuý</t>
  </si>
  <si>
    <t>037304005561</t>
  </si>
  <si>
    <t>Lê Thanh Thúy</t>
  </si>
  <si>
    <t>083304000945</t>
  </si>
  <si>
    <t>Huỳnh Ngọc Trâm</t>
  </si>
  <si>
    <t>058304002737</t>
  </si>
  <si>
    <t>Đồng Bảo Trân</t>
  </si>
  <si>
    <t>21/10/2004</t>
  </si>
  <si>
    <t>221543753</t>
  </si>
  <si>
    <t>Trần Ngọc Bảo Trân</t>
  </si>
  <si>
    <t>23/10/2004</t>
  </si>
  <si>
    <t>087204002140</t>
  </si>
  <si>
    <t>Nguyễn Phước Trí</t>
  </si>
  <si>
    <t>079204009431</t>
  </si>
  <si>
    <t>Lưu Quốc Trung</t>
  </si>
  <si>
    <t>083304001054</t>
  </si>
  <si>
    <t>Nguyễn Thị Cẩm Tú</t>
  </si>
  <si>
    <t>09/08/2004</t>
  </si>
  <si>
    <t>070304004642</t>
  </si>
  <si>
    <t>Chu Thị Kim Vy</t>
  </si>
  <si>
    <t>079304011574</t>
  </si>
  <si>
    <t>Trần Khánh Vy</t>
  </si>
  <si>
    <t>13/11/2004</t>
  </si>
  <si>
    <t>034304006697</t>
  </si>
  <si>
    <t>Đỗ Nhật Xuân</t>
  </si>
  <si>
    <t>07/06/2004</t>
  </si>
  <si>
    <t>079304014199</t>
  </si>
  <si>
    <t>Trần Ngọc Như Ý</t>
  </si>
  <si>
    <t>077304003336</t>
  </si>
  <si>
    <t>Nguyễn Trần Thị Hải Yến</t>
  </si>
  <si>
    <t>08/02/2004</t>
  </si>
  <si>
    <t>079304027323</t>
  </si>
  <si>
    <t>Cao Vân Anh</t>
  </si>
  <si>
    <t>31/01/2004</t>
  </si>
  <si>
    <t>096303015874</t>
  </si>
  <si>
    <t>Hà Kiều Anh</t>
  </si>
  <si>
    <t>29/12/2003</t>
  </si>
  <si>
    <t>058304001048</t>
  </si>
  <si>
    <t>Nguyễn Thị Phương Anh</t>
  </si>
  <si>
    <t>27/03/2004</t>
  </si>
  <si>
    <t>089304006024</t>
  </si>
  <si>
    <t>Trần Phương Anh</t>
  </si>
  <si>
    <t>18/09/2004</t>
  </si>
  <si>
    <t>054204001787</t>
  </si>
  <si>
    <t>Trần Kim Bách</t>
  </si>
  <si>
    <t>024204006908</t>
  </si>
  <si>
    <t>Nguyễn Duy Cảnh</t>
  </si>
  <si>
    <t>080304003924</t>
  </si>
  <si>
    <t>Trần Thị Minh Châu</t>
  </si>
  <si>
    <t>038304009339</t>
  </si>
  <si>
    <t>Nguyễn Phạm Xuyến Chi</t>
  </si>
  <si>
    <t>075203017649</t>
  </si>
  <si>
    <t>Ngô Đức Chiến</t>
  </si>
  <si>
    <t>04/04/2003</t>
  </si>
  <si>
    <t>052204014654</t>
  </si>
  <si>
    <t>Dương Hồ Song Đà</t>
  </si>
  <si>
    <t>28/04/2004</t>
  </si>
  <si>
    <t>084304000052</t>
  </si>
  <si>
    <t>Nguyễn Ngọc Linh Đan</t>
  </si>
  <si>
    <t>052304001988</t>
  </si>
  <si>
    <t>Trần Thị Đào</t>
  </si>
  <si>
    <t>29/02/2004</t>
  </si>
  <si>
    <t>037204000852</t>
  </si>
  <si>
    <t>Lê Duy Điệp</t>
  </si>
  <si>
    <t>052204001708</t>
  </si>
  <si>
    <t>Đào Duy Đức</t>
  </si>
  <si>
    <t>18/03/2004</t>
  </si>
  <si>
    <t>064204002859</t>
  </si>
  <si>
    <t>Dương Quang Đức</t>
  </si>
  <si>
    <t>064204003961</t>
  </si>
  <si>
    <t>Nguyễn Trần Đức</t>
  </si>
  <si>
    <t>215631756</t>
  </si>
  <si>
    <t>Nguyễn Kim Hoàng Dung</t>
  </si>
  <si>
    <t>077304002817</t>
  </si>
  <si>
    <t>Phạm Thị Kim Dung</t>
  </si>
  <si>
    <t>066204014277</t>
  </si>
  <si>
    <t>Trần Văn Dũng</t>
  </si>
  <si>
    <t>077204001773</t>
  </si>
  <si>
    <t>Đỗ Văn Hải</t>
  </si>
  <si>
    <t>16/12/2004</t>
  </si>
  <si>
    <t>068204007649</t>
  </si>
  <si>
    <t>Ka Să Ja Han</t>
  </si>
  <si>
    <t>Khác</t>
  </si>
  <si>
    <t>079304025180</t>
  </si>
  <si>
    <t>Lương Gia Hân</t>
  </si>
  <si>
    <t>079304027106</t>
  </si>
  <si>
    <t>Trịnh Lương Gia Hân</t>
  </si>
  <si>
    <t>04/02/2004</t>
  </si>
  <si>
    <t>068303006753</t>
  </si>
  <si>
    <t>Lương Thị Hằng</t>
  </si>
  <si>
    <t>22/11/2003</t>
  </si>
  <si>
    <t>054304005020</t>
  </si>
  <si>
    <t>Nguyễn Mỹ Hiệp</t>
  </si>
  <si>
    <t>23/12/2004</t>
  </si>
  <si>
    <t>064204013582</t>
  </si>
  <si>
    <t>Võ Quốc Hiếu</t>
  </si>
  <si>
    <t>068304011310</t>
  </si>
  <si>
    <t>Bùi Thị Thu Hoài</t>
  </si>
  <si>
    <t>052304013089</t>
  </si>
  <si>
    <t>Trần Thị Thu Hoài</t>
  </si>
  <si>
    <t>17/11/2004</t>
  </si>
  <si>
    <t>060204000430</t>
  </si>
  <si>
    <t>Trần Minh Hoàng</t>
  </si>
  <si>
    <t>07/11/2004</t>
  </si>
  <si>
    <t>052204011265</t>
  </si>
  <si>
    <t>11/10/2004</t>
  </si>
  <si>
    <t>052204006361</t>
  </si>
  <si>
    <t>Tô Thành Hưng</t>
  </si>
  <si>
    <t>068304005774</t>
  </si>
  <si>
    <t>Vũ Thị Thanh Hương</t>
  </si>
  <si>
    <t>080304002290</t>
  </si>
  <si>
    <t>Lữ Thị Diệp Khánh</t>
  </si>
  <si>
    <t>058204008514</t>
  </si>
  <si>
    <t>Nguyễn Dũng Tuấn Kiệt</t>
  </si>
  <si>
    <t>18/02/2004</t>
  </si>
  <si>
    <t>079204041464</t>
  </si>
  <si>
    <t>Trang Tuấn Kiệt</t>
  </si>
  <si>
    <t>052304011221</t>
  </si>
  <si>
    <t>Nguyễn Phạm Ý Kiều</t>
  </si>
  <si>
    <t>079204012190</t>
  </si>
  <si>
    <t>Nguyễn Phạm Thanh Lâm</t>
  </si>
  <si>
    <t>02/12/2004</t>
  </si>
  <si>
    <t>049304000217</t>
  </si>
  <si>
    <t>Nguyễn Thị Kim Lan</t>
  </si>
  <si>
    <t>058304001099</t>
  </si>
  <si>
    <t>Hoàng Thị Mỹ Linh</t>
  </si>
  <si>
    <t>10/12/2004</t>
  </si>
  <si>
    <t>058304001962</t>
  </si>
  <si>
    <t>Nguyễn Ngọc Mai Linh</t>
  </si>
  <si>
    <t>075304003218</t>
  </si>
  <si>
    <t>Trần Thị Thuỳ Linh</t>
  </si>
  <si>
    <t>15/06/2004</t>
  </si>
  <si>
    <t>064304015003</t>
  </si>
  <si>
    <t>Nông Thị Loan</t>
  </si>
  <si>
    <t>068304004858</t>
  </si>
  <si>
    <t>Hồ Thị Lựu</t>
  </si>
  <si>
    <t>21/07/2004</t>
  </si>
  <si>
    <t>052304004338</t>
  </si>
  <si>
    <t>Tô Thị Hằng Mai</t>
  </si>
  <si>
    <t>14/10/2004</t>
  </si>
  <si>
    <t>052304014693</t>
  </si>
  <si>
    <t>Phạm Thị Mến</t>
  </si>
  <si>
    <t>092304007862</t>
  </si>
  <si>
    <t>Trần Hà My</t>
  </si>
  <si>
    <t>26/07/2004</t>
  </si>
  <si>
    <t>060204007970</t>
  </si>
  <si>
    <t>Huỳnh Thanh Nam</t>
  </si>
  <si>
    <t>060304010700</t>
  </si>
  <si>
    <t>Bùi Hoàng Kim Ngân</t>
  </si>
  <si>
    <t>066304001326</t>
  </si>
  <si>
    <t>Nguyễn Trung Ngân</t>
  </si>
  <si>
    <t>05/08/2004</t>
  </si>
  <si>
    <t>087304000561</t>
  </si>
  <si>
    <t>Nguyễn Kim Ngọc</t>
  </si>
  <si>
    <t>03/04/2004</t>
  </si>
  <si>
    <t>083204000095</t>
  </si>
  <si>
    <t>Nguyễn Ngọc Thái Nguyên</t>
  </si>
  <si>
    <t>05/11/2004</t>
  </si>
  <si>
    <t>068204013864</t>
  </si>
  <si>
    <t>Trần Quang Nhật</t>
  </si>
  <si>
    <t>038304013645</t>
  </si>
  <si>
    <t>060304004238</t>
  </si>
  <si>
    <t>Nguyễn Ngọc Nhị</t>
  </si>
  <si>
    <t>091304002164</t>
  </si>
  <si>
    <t>Quách Ý Như</t>
  </si>
  <si>
    <t>16/05/2004</t>
  </si>
  <si>
    <t>060204003918</t>
  </si>
  <si>
    <t>Nguyễn Minh Nhựt</t>
  </si>
  <si>
    <t>087204002421</t>
  </si>
  <si>
    <t>Ngô Tấn Phát</t>
  </si>
  <si>
    <t>23/11/2004</t>
  </si>
  <si>
    <t>215626196</t>
  </si>
  <si>
    <t>Nguyễn Thị Phố</t>
  </si>
  <si>
    <t>052304001941</t>
  </si>
  <si>
    <t>Nguyễn Thị Hồng Phúc</t>
  </si>
  <si>
    <t>080304003252</t>
  </si>
  <si>
    <t>Dương Hoài Đông Phương</t>
  </si>
  <si>
    <t>10/10/2004</t>
  </si>
  <si>
    <t>091304002798</t>
  </si>
  <si>
    <t>Võ Thị Mỹ Phương</t>
  </si>
  <si>
    <t>17/05/2004</t>
  </si>
  <si>
    <t>052204012980</t>
  </si>
  <si>
    <t>Bùi Anh Quốc</t>
  </si>
  <si>
    <t>09/02/2004</t>
  </si>
  <si>
    <t>052304004198</t>
  </si>
  <si>
    <t>Lý Thị Ngọc Quý</t>
  </si>
  <si>
    <t>24/10/2004</t>
  </si>
  <si>
    <t>052304011040</t>
  </si>
  <si>
    <t>Lê Thị Lệ Quyên</t>
  </si>
  <si>
    <t>02/02/2004</t>
  </si>
  <si>
    <t>040304017953</t>
  </si>
  <si>
    <t>070304000863</t>
  </si>
  <si>
    <t>24/03/2004</t>
  </si>
  <si>
    <t>052304007631</t>
  </si>
  <si>
    <t>Trần Thị Như Quỳnh</t>
  </si>
  <si>
    <t>054204003261</t>
  </si>
  <si>
    <t>Nguyễn Mai Sỹ</t>
  </si>
  <si>
    <t>054204002415</t>
  </si>
  <si>
    <t>Huỳnh Đức Khắc Tâm</t>
  </si>
  <si>
    <t>079204021719</t>
  </si>
  <si>
    <t>Nguyễn Hoàng Thái</t>
  </si>
  <si>
    <t>054304002273</t>
  </si>
  <si>
    <t>Trần Thị Thanh Thảo</t>
  </si>
  <si>
    <t>058304006912</t>
  </si>
  <si>
    <t>Đinh Thị Cẩm Thi</t>
  </si>
  <si>
    <t>24/09/2004</t>
  </si>
  <si>
    <t>046304012646</t>
  </si>
  <si>
    <t>Nguyễn Diễm Thư</t>
  </si>
  <si>
    <t>075304003935</t>
  </si>
  <si>
    <t>Vũ Thị Anh Thư</t>
  </si>
  <si>
    <t>079304034292</t>
  </si>
  <si>
    <t>Lê Trần An Thuyên</t>
  </si>
  <si>
    <t>27/05/2004</t>
  </si>
  <si>
    <t>082304000399</t>
  </si>
  <si>
    <t>Trần Ngọc Thảo Thy</t>
  </si>
  <si>
    <t>066204005497</t>
  </si>
  <si>
    <t>Lê Đức Tiến</t>
  </si>
  <si>
    <t>24/02/2004</t>
  </si>
  <si>
    <t>066303009568</t>
  </si>
  <si>
    <t>Lê Thanh Trà</t>
  </si>
  <si>
    <t>29/11/2003</t>
  </si>
  <si>
    <t>075304019081</t>
  </si>
  <si>
    <t>Lầm Ngọc Mỹ Trâm</t>
  </si>
  <si>
    <t>25/12/2004</t>
  </si>
  <si>
    <t>052304007832</t>
  </si>
  <si>
    <t>Bùi Ngọc Bảo Trân</t>
  </si>
  <si>
    <t>087304004184</t>
  </si>
  <si>
    <t>Nguyễn Thị Thùy Trang</t>
  </si>
  <si>
    <t>079204036331</t>
  </si>
  <si>
    <t>Khâu Minh Trí</t>
  </si>
  <si>
    <t>095204006307</t>
  </si>
  <si>
    <t>Huỳnh Chí Trung</t>
  </si>
  <si>
    <t>079202001361</t>
  </si>
  <si>
    <t>Nguyễn Kim Tuấn</t>
  </si>
  <si>
    <t>093304008815</t>
  </si>
  <si>
    <t>Đinh Thị Bích Tuyền</t>
  </si>
  <si>
    <t>27/11/2004</t>
  </si>
  <si>
    <t>079304017429</t>
  </si>
  <si>
    <t>Trần Ngọc Thuỳ Uyên</t>
  </si>
  <si>
    <t>051304005750</t>
  </si>
  <si>
    <t>Lê Thị Bích Vân</t>
  </si>
  <si>
    <t>08/01/2004</t>
  </si>
  <si>
    <t>058304008638</t>
  </si>
  <si>
    <t>Nguyễn Thị Vy</t>
  </si>
  <si>
    <t>052304006600</t>
  </si>
  <si>
    <t>Đỗ Nguyễn Như Yến</t>
  </si>
  <si>
    <t>079304006327</t>
  </si>
  <si>
    <t>Nguyễn Phan Hải Yến</t>
  </si>
  <si>
    <t>070204000156</t>
  </si>
  <si>
    <t>Đào Quang Đức Anh</t>
  </si>
  <si>
    <t>09/03/2004</t>
  </si>
  <si>
    <t>066304001931</t>
  </si>
  <si>
    <t>Nguyễn Thị Mai Anh</t>
  </si>
  <si>
    <t>24/04/2004</t>
  </si>
  <si>
    <t>091304000058</t>
  </si>
  <si>
    <t>Phan Minh Tuyết Anh</t>
  </si>
  <si>
    <t>042304005436</t>
  </si>
  <si>
    <t>Nguyễn Minh Ánh</t>
  </si>
  <si>
    <t>054204006318</t>
  </si>
  <si>
    <t>Phạm Quốc Bảo</t>
  </si>
  <si>
    <t>092304005455</t>
  </si>
  <si>
    <t>Âu Thị Ngọc Châu</t>
  </si>
  <si>
    <t>054304001484</t>
  </si>
  <si>
    <t>Đoàn Thị Mỹ Chi</t>
  </si>
  <si>
    <t>077304002558</t>
  </si>
  <si>
    <t>Phạm Thị Kim Chi</t>
  </si>
  <si>
    <t>051304000646</t>
  </si>
  <si>
    <t>Đặng Thị Tâm Đan</t>
  </si>
  <si>
    <t>079204027797</t>
  </si>
  <si>
    <t>Nguyễn Tín Đạt</t>
  </si>
  <si>
    <t>079304005642</t>
  </si>
  <si>
    <t>Nguyễn Hoàng Diệp</t>
  </si>
  <si>
    <t>060304006797</t>
  </si>
  <si>
    <t>Huỳnh Thị Tâm Đoan</t>
  </si>
  <si>
    <t>14/03/2004</t>
  </si>
  <si>
    <t>087204017370</t>
  </si>
  <si>
    <t>Nguyễn Phan Tấn Đức</t>
  </si>
  <si>
    <t>26/06/2004</t>
  </si>
  <si>
    <t>079304012706</t>
  </si>
  <si>
    <t>Nguyễn Thụy Mỹ Dung</t>
  </si>
  <si>
    <t>04/09/2004</t>
  </si>
  <si>
    <t>048203002432</t>
  </si>
  <si>
    <t>Lê Bá Tiến Dũng</t>
  </si>
  <si>
    <t>02/12/2003</t>
  </si>
  <si>
    <t>001204044480</t>
  </si>
  <si>
    <t>Phạm Hoàng Dương</t>
  </si>
  <si>
    <t>05/10/2004</t>
  </si>
  <si>
    <t>075304002319</t>
  </si>
  <si>
    <t>Nguyễn Thị Ngân Hà</t>
  </si>
  <si>
    <t>038204013805</t>
  </si>
  <si>
    <t>Đoàn Đức Hải</t>
  </si>
  <si>
    <t>079304028494</t>
  </si>
  <si>
    <t>Chung Gia Hân</t>
  </si>
  <si>
    <t>077304002141</t>
  </si>
  <si>
    <t>Nguyễn Đinh Kiều Hân</t>
  </si>
  <si>
    <t>052304008006</t>
  </si>
  <si>
    <t>Trần Thị Mỹ Hậu</t>
  </si>
  <si>
    <t>23/02/2004</t>
  </si>
  <si>
    <t>087304004163</t>
  </si>
  <si>
    <t>Phạm Nguyễn Thị Diệu Hiền</t>
  </si>
  <si>
    <t>21/09/2004</t>
  </si>
  <si>
    <t>079204021252</t>
  </si>
  <si>
    <t>Hà Công Hiệp</t>
  </si>
  <si>
    <t>079304017918</t>
  </si>
  <si>
    <t>Trần Hoàng Thanh Hiếu</t>
  </si>
  <si>
    <t>077204006190</t>
  </si>
  <si>
    <t>Nguyễn Thới Hòa</t>
  </si>
  <si>
    <t>058304001246</t>
  </si>
  <si>
    <t>Nguyễn Thị Xuân Hoài</t>
  </si>
  <si>
    <t>058304001243</t>
  </si>
  <si>
    <t>Trần Nguyễn Khải Hoàn</t>
  </si>
  <si>
    <t>22/09/2004</t>
  </si>
  <si>
    <t>052304002279</t>
  </si>
  <si>
    <t>Huỳnh Thúy Huệ</t>
  </si>
  <si>
    <t>054304002733</t>
  </si>
  <si>
    <t>Nguyễn Thị Diệu Hương</t>
  </si>
  <si>
    <t>077304002815</t>
  </si>
  <si>
    <t>Mai Thu Huyền</t>
  </si>
  <si>
    <t>068204002470</t>
  </si>
  <si>
    <t>Mai Trần Nhật Khải</t>
  </si>
  <si>
    <t>042203000144</t>
  </si>
  <si>
    <t>13/12/2003</t>
  </si>
  <si>
    <t>052304014969</t>
  </si>
  <si>
    <t>Võ Thị Mỹ Lệ</t>
  </si>
  <si>
    <t>051304011316</t>
  </si>
  <si>
    <t>Huỳnh Thị Cẩm Linh</t>
  </si>
  <si>
    <t>056304005280</t>
  </si>
  <si>
    <t>Nguyễn Phương Nhật Linh</t>
  </si>
  <si>
    <t>24/08/2004</t>
  </si>
  <si>
    <t>215673049</t>
  </si>
  <si>
    <t>Nguyễn Thị Trúc Loan</t>
  </si>
  <si>
    <t>28/11/2004</t>
  </si>
  <si>
    <t>077204002978</t>
  </si>
  <si>
    <t>Nguyễn Hoàng Long</t>
  </si>
  <si>
    <t>019204001950</t>
  </si>
  <si>
    <t>Cù Xuân Mạnh</t>
  </si>
  <si>
    <t>054304007566</t>
  </si>
  <si>
    <t>Trần Ngọc Mi</t>
  </si>
  <si>
    <t>052204011303</t>
  </si>
  <si>
    <t>Đỗ Minh Nam</t>
  </si>
  <si>
    <t>054203007511</t>
  </si>
  <si>
    <t>Nguyễn Quốc Nam</t>
  </si>
  <si>
    <t>02/08/2003</t>
  </si>
  <si>
    <t>087304015938</t>
  </si>
  <si>
    <t>Huỳnh Thị Kim Ngân</t>
  </si>
  <si>
    <t>079304015961</t>
  </si>
  <si>
    <t>Lê Kim Ngọc</t>
  </si>
  <si>
    <t>086304002264</t>
  </si>
  <si>
    <t>Nguyễn Lê Thảo Nguyên</t>
  </si>
  <si>
    <t>031304004329</t>
  </si>
  <si>
    <t>Nguyễn Thị Thanh Nhàn</t>
  </si>
  <si>
    <t>075304016057</t>
  </si>
  <si>
    <t>Đỗ Nguyễn Hoài Nhi</t>
  </si>
  <si>
    <t>066304003710</t>
  </si>
  <si>
    <t>Lê Uyên Nhi</t>
  </si>
  <si>
    <t>079304024996</t>
  </si>
  <si>
    <t>Phan Thị Yến Nhi</t>
  </si>
  <si>
    <t>077304001617</t>
  </si>
  <si>
    <t>Dương Huỳnh Như</t>
  </si>
  <si>
    <t>079304009352</t>
  </si>
  <si>
    <t>Trần Thị Quỳnh Như</t>
  </si>
  <si>
    <t>052304000616</t>
  </si>
  <si>
    <t>Nguyễn Thị Mỹ Nữ</t>
  </si>
  <si>
    <t>06/08/2004</t>
  </si>
  <si>
    <t>092303005995</t>
  </si>
  <si>
    <t>Hồ Thị Thúy Oanh</t>
  </si>
  <si>
    <t>12/05/2003</t>
  </si>
  <si>
    <t>086203000156</t>
  </si>
  <si>
    <t>06/03/2003</t>
  </si>
  <si>
    <t>080204005744</t>
  </si>
  <si>
    <t>Nguyễn Thành Phố</t>
  </si>
  <si>
    <t>054304002455</t>
  </si>
  <si>
    <t>Nguyễn Thị Kim Phụng</t>
  </si>
  <si>
    <t>036304002551</t>
  </si>
  <si>
    <t>Nguyễn Thị Lan Phương</t>
  </si>
  <si>
    <t>079204025558</t>
  </si>
  <si>
    <t>Nguyễn Đức Dũng Quang</t>
  </si>
  <si>
    <t>079304010459</t>
  </si>
  <si>
    <t>Lê Thị Hoàng Quyên</t>
  </si>
  <si>
    <t>20/01/2004</t>
  </si>
  <si>
    <t>054304002561</t>
  </si>
  <si>
    <t>Hồ Thị Như Quỳnh</t>
  </si>
  <si>
    <t>060304002350</t>
  </si>
  <si>
    <t>Nguyễn Ngọc Diễm Quỳnh</t>
  </si>
  <si>
    <t>054304006911</t>
  </si>
  <si>
    <t>Trần Diễm Quỳnh</t>
  </si>
  <si>
    <t>070204003722</t>
  </si>
  <si>
    <t>Phạm Minh Sang</t>
  </si>
  <si>
    <t>042204014621</t>
  </si>
  <si>
    <t>Phạm Nguyên Thành</t>
  </si>
  <si>
    <t>25/08/2004</t>
  </si>
  <si>
    <t>070304001028</t>
  </si>
  <si>
    <t>Hoàng Thu Thảo</t>
  </si>
  <si>
    <t>072304010732</t>
  </si>
  <si>
    <t>Võ Ngọc Thảo</t>
  </si>
  <si>
    <t>095304004596</t>
  </si>
  <si>
    <t>Vũ Thị Anh Thơ</t>
  </si>
  <si>
    <t>079304010537</t>
  </si>
  <si>
    <t>Lê Nguyễn Anh Thư</t>
  </si>
  <si>
    <t>052304010807</t>
  </si>
  <si>
    <t>Phan Thị Thu Thương</t>
  </si>
  <si>
    <t>052204012797</t>
  </si>
  <si>
    <t>Hồ Thanh Tiến</t>
  </si>
  <si>
    <t>086204003837</t>
  </si>
  <si>
    <t>Trương Khánh Tính</t>
  </si>
  <si>
    <t>064304009436</t>
  </si>
  <si>
    <t>Trần Thị Hà Trâm</t>
  </si>
  <si>
    <t>052304002108</t>
  </si>
  <si>
    <t>Lê Ngọc Bảo Trân</t>
  </si>
  <si>
    <t>052304005534</t>
  </si>
  <si>
    <t>030304006830</t>
  </si>
  <si>
    <t>Phạm Thị Thùy Trang</t>
  </si>
  <si>
    <t>074204003591</t>
  </si>
  <si>
    <t>Nguyễn Thanh Nhật Triệu</t>
  </si>
  <si>
    <t>066304010980</t>
  </si>
  <si>
    <t>Phạm Thị Kiều Trinh</t>
  </si>
  <si>
    <t>09/05/2004</t>
  </si>
  <si>
    <t>086303000494</t>
  </si>
  <si>
    <t>Trần Kiều Trinh</t>
  </si>
  <si>
    <t>23/10/2003</t>
  </si>
  <si>
    <t>075304001684</t>
  </si>
  <si>
    <t>Lê Nguyễn Anh Trúc</t>
  </si>
  <si>
    <t>052204000593</t>
  </si>
  <si>
    <t>Nguyễn Xuân Tú</t>
  </si>
  <si>
    <t>083204005121</t>
  </si>
  <si>
    <t>Nguyễn Mạnh Tường</t>
  </si>
  <si>
    <t>058304007429</t>
  </si>
  <si>
    <t>Lê Thị Mỹ Tuyên</t>
  </si>
  <si>
    <t>077304001725</t>
  </si>
  <si>
    <t>Trần Nguyễn Phương Uyên</t>
  </si>
  <si>
    <t>087304015794</t>
  </si>
  <si>
    <t>Ngô Thị Tường Vi</t>
  </si>
  <si>
    <t>070304010720</t>
  </si>
  <si>
    <t>Nguyễn Thị Hoài Vy</t>
  </si>
  <si>
    <t>30/11/2004</t>
  </si>
  <si>
    <t>080304010899</t>
  </si>
  <si>
    <t>Nguyễn Hà Xuân</t>
  </si>
  <si>
    <t>079302009522</t>
  </si>
  <si>
    <t>Nguyễn Lê Bảo Yến</t>
  </si>
  <si>
    <t>25/01/2002</t>
  </si>
  <si>
    <t>035301000354</t>
  </si>
  <si>
    <t>Nguyễn Thị Hoàng Yến</t>
  </si>
  <si>
    <t>17/06/2001</t>
  </si>
  <si>
    <t>095204000304</t>
  </si>
  <si>
    <t>Nguyễn Hoàng Khang</t>
  </si>
  <si>
    <t>082304002916</t>
  </si>
  <si>
    <t>Võ Bích Khuê</t>
  </si>
  <si>
    <t>072304012362</t>
  </si>
  <si>
    <t>Nguyễn Hoàng Liên</t>
  </si>
  <si>
    <t>058304000877</t>
  </si>
  <si>
    <t>Phan Nhật Thảo Nguyên</t>
  </si>
  <si>
    <t>072304002357</t>
  </si>
  <si>
    <t>Phạm Thị Như Quỳnh</t>
  </si>
  <si>
    <t>086204000281</t>
  </si>
  <si>
    <t>Nguyễn Lý Bảo An</t>
  </si>
  <si>
    <t>285887562</t>
  </si>
  <si>
    <t>Lê Hải Anh</t>
  </si>
  <si>
    <t>372048421</t>
  </si>
  <si>
    <t>16/04/2003</t>
  </si>
  <si>
    <t>092301000378</t>
  </si>
  <si>
    <t>Trần Thị Phương Anh</t>
  </si>
  <si>
    <t>13/06/2001</t>
  </si>
  <si>
    <t>054304006192</t>
  </si>
  <si>
    <t>Phạm Thị Ngọc Ánh</t>
  </si>
  <si>
    <t>072304009417</t>
  </si>
  <si>
    <t>Lê Thị Trúc Đào</t>
  </si>
  <si>
    <t>Cao Đài</t>
  </si>
  <si>
    <t>052304008094</t>
  </si>
  <si>
    <t>Bùi Thị Hồng Diễm</t>
  </si>
  <si>
    <t>075204000168</t>
  </si>
  <si>
    <t>Bùi Trọng Đức</t>
  </si>
  <si>
    <t>052304000390</t>
  </si>
  <si>
    <t>Nguyễn Kỳ Duyên</t>
  </si>
  <si>
    <t>079304030759</t>
  </si>
  <si>
    <t>Nguyễn Thanh Hà</t>
  </si>
  <si>
    <t>042304003714</t>
  </si>
  <si>
    <t>Vũ Thị Thu Hằng</t>
  </si>
  <si>
    <t>052304007108</t>
  </si>
  <si>
    <t>Trần Thị Diệu Hiền</t>
  </si>
  <si>
    <t>038204007989</t>
  </si>
  <si>
    <t>Nguyễn Sỹ Hoàng</t>
  </si>
  <si>
    <t>276034841</t>
  </si>
  <si>
    <t>Trần Thanh Hoàng</t>
  </si>
  <si>
    <t>17/08/2003</t>
  </si>
  <si>
    <t>091304011852</t>
  </si>
  <si>
    <t>Lê Diễm Hương</t>
  </si>
  <si>
    <t>05/03/2004</t>
  </si>
  <si>
    <t>070304007100</t>
  </si>
  <si>
    <t>Trịnh Thị Mỹ Huyền</t>
  </si>
  <si>
    <t>215632361</t>
  </si>
  <si>
    <t>Trần Văn Gia Khánh</t>
  </si>
  <si>
    <t>079204035334</t>
  </si>
  <si>
    <t>Lê Minh Khương</t>
  </si>
  <si>
    <t>079204029759</t>
  </si>
  <si>
    <t>Võ Hoàng Lâm</t>
  </si>
  <si>
    <t>077304003149</t>
  </si>
  <si>
    <t>Nguyễn Thị Thu Lan</t>
  </si>
  <si>
    <t>312556347</t>
  </si>
  <si>
    <t>Nguyễn Thị Tuyết Mai</t>
  </si>
  <si>
    <t>082304000850</t>
  </si>
  <si>
    <t>Đàm Thị Thu Ngân</t>
  </si>
  <si>
    <t>079304008298</t>
  </si>
  <si>
    <t>Đỗ Kim Ngân</t>
  </si>
  <si>
    <t>079204016970</t>
  </si>
  <si>
    <t>Nguyễn Minh Nghĩa</t>
  </si>
  <si>
    <t>276030589</t>
  </si>
  <si>
    <t>Chu Bảo Ngọc</t>
  </si>
  <si>
    <t>096204001501</t>
  </si>
  <si>
    <t>Trịnh Gia Nguyễn</t>
  </si>
  <si>
    <t>079304015720</t>
  </si>
  <si>
    <t>Huỳnh Ngọc Nhi</t>
  </si>
  <si>
    <t>079304021073</t>
  </si>
  <si>
    <t>07/02/2004</t>
  </si>
  <si>
    <t>231405038</t>
  </si>
  <si>
    <t>Phạm Ngọc Nhi</t>
  </si>
  <si>
    <t>18/10/2003</t>
  </si>
  <si>
    <t>064304013851</t>
  </si>
  <si>
    <t>Nguyễn Hòa Nhiên</t>
  </si>
  <si>
    <t>079304015719</t>
  </si>
  <si>
    <t>Huỳnh Ngọc Như</t>
  </si>
  <si>
    <t>079304031660</t>
  </si>
  <si>
    <t>038304000015</t>
  </si>
  <si>
    <t>Hà Kiều Oanh</t>
  </si>
  <si>
    <t>215641588</t>
  </si>
  <si>
    <t>Võ Nguyễn Hoài Phong</t>
  </si>
  <si>
    <t>079204024650</t>
  </si>
  <si>
    <t>Lê Hoàng Phú</t>
  </si>
  <si>
    <t>072304006213</t>
  </si>
  <si>
    <t>Nguyễn Hạnh Phúc</t>
  </si>
  <si>
    <t>079204020729</t>
  </si>
  <si>
    <t>Nguyễn Hoàng Phước</t>
  </si>
  <si>
    <t>079304027405</t>
  </si>
  <si>
    <t>Nguyễn Thúy Anh Phương</t>
  </si>
  <si>
    <t>077304002580</t>
  </si>
  <si>
    <t>Nguyễn Thùy Thúy Phượng</t>
  </si>
  <si>
    <t>067304003374</t>
  </si>
  <si>
    <t>091303003160</t>
  </si>
  <si>
    <t>Lâm Như Quỳnh</t>
  </si>
  <si>
    <t>24/04/2003</t>
  </si>
  <si>
    <t>070304003049</t>
  </si>
  <si>
    <t>Nguyễn Ngọc Quỳnh</t>
  </si>
  <si>
    <t>28/10/2004</t>
  </si>
  <si>
    <t>079304024043</t>
  </si>
  <si>
    <t>Trần Như Quỳnh</t>
  </si>
  <si>
    <t>058304002485</t>
  </si>
  <si>
    <t>Trần Thị Bích Siêu</t>
  </si>
  <si>
    <t>079204011557</t>
  </si>
  <si>
    <t>Hà Minh Tâm</t>
  </si>
  <si>
    <t>064304018548</t>
  </si>
  <si>
    <t>Vũ Ngọc Dạ Thảo</t>
  </si>
  <si>
    <t>05/09/2004</t>
  </si>
  <si>
    <t>079304019103</t>
  </si>
  <si>
    <t>Lê Ngọc Minh Thư</t>
  </si>
  <si>
    <t>079304035585</t>
  </si>
  <si>
    <t>Nguyễn Ngọc Minh Thư</t>
  </si>
  <si>
    <t>20/09/2004</t>
  </si>
  <si>
    <t>079304015718</t>
  </si>
  <si>
    <t>Phùng Phạm Anh Thư</t>
  </si>
  <si>
    <t>036204007015</t>
  </si>
  <si>
    <t>Phạm Đức Thuận</t>
  </si>
  <si>
    <t>079304026385</t>
  </si>
  <si>
    <t>Lê Thị Thanh Thủy</t>
  </si>
  <si>
    <t>056304001981</t>
  </si>
  <si>
    <t>Phạm Khánh Thùy Trân</t>
  </si>
  <si>
    <t>31/03/2004</t>
  </si>
  <si>
    <t>064203002571</t>
  </si>
  <si>
    <t>Lê Nguyễn Tường</t>
  </si>
  <si>
    <t>29/08/2003</t>
  </si>
  <si>
    <t>067304006207</t>
  </si>
  <si>
    <t>Nguyễn Ngọc Uyên</t>
  </si>
  <si>
    <t>09/06/2004</t>
  </si>
  <si>
    <t>052304000509</t>
  </si>
  <si>
    <t>Lê Thị Tường Vy</t>
  </si>
  <si>
    <t>038304018873</t>
  </si>
  <si>
    <t>Phạm Thị Yến Vy</t>
  </si>
  <si>
    <t>060204002594</t>
  </si>
  <si>
    <t>Phạm Trọng Ân</t>
  </si>
  <si>
    <t>040204012980</t>
  </si>
  <si>
    <t>Bùi Thế Trung Bắc</t>
  </si>
  <si>
    <t>14/11/2004</t>
  </si>
  <si>
    <t>075204009277</t>
  </si>
  <si>
    <t>Võ Hoài Bảo</t>
  </si>
  <si>
    <t>079204036514</t>
  </si>
  <si>
    <t>Trần Phước Đức</t>
  </si>
  <si>
    <t>038204025596</t>
  </si>
  <si>
    <t>Nguyễn Ngọc Hà</t>
  </si>
  <si>
    <t>040203000220</t>
  </si>
  <si>
    <t>Nguyễn Xuân Trung Hiếu</t>
  </si>
  <si>
    <t>25/07/2003</t>
  </si>
  <si>
    <t>072204005744</t>
  </si>
  <si>
    <t>Nguyễn Lý Minh Khang</t>
  </si>
  <si>
    <t>082204015461</t>
  </si>
  <si>
    <t>Nguyễn Phúc An Khang</t>
  </si>
  <si>
    <t>03/09/2004</t>
  </si>
  <si>
    <t>060204002440</t>
  </si>
  <si>
    <t>Trương Ngọc Khang</t>
  </si>
  <si>
    <t>052204012189</t>
  </si>
  <si>
    <t>Kiều Văn Khanh</t>
  </si>
  <si>
    <t>054204006662</t>
  </si>
  <si>
    <t>079203031308</t>
  </si>
  <si>
    <t>079304014962</t>
  </si>
  <si>
    <t>Lê Thanh Ngân</t>
  </si>
  <si>
    <t>024204001250</t>
  </si>
  <si>
    <t>Trần Phong Nguyên</t>
  </si>
  <si>
    <t>25/06/2004</t>
  </si>
  <si>
    <t>052204010952</t>
  </si>
  <si>
    <t>Trần Phúc Nguyên</t>
  </si>
  <si>
    <t>095204006125</t>
  </si>
  <si>
    <t>Trần Việt Phiên</t>
  </si>
  <si>
    <t>20/02/2004</t>
  </si>
  <si>
    <t>087204014503</t>
  </si>
  <si>
    <t>Hồ Văn Hoàng Phúc</t>
  </si>
  <si>
    <t>075304018750</t>
  </si>
  <si>
    <t>Bùi Bích Phương</t>
  </si>
  <si>
    <t>212589785</t>
  </si>
  <si>
    <t>Nguyễn Ngọc Thắng</t>
  </si>
  <si>
    <t>08/08/2001</t>
  </si>
  <si>
    <t>036204000805</t>
  </si>
  <si>
    <t>Trần Văn Trường</t>
  </si>
  <si>
    <t>079204028426</t>
  </si>
  <si>
    <t>Nguyễn Nghiêm Hùng Anh</t>
  </si>
  <si>
    <t>29/10/2004</t>
  </si>
  <si>
    <t>066304019206</t>
  </si>
  <si>
    <t>Trần Ngọc Ánh</t>
  </si>
  <si>
    <t>040304000336</t>
  </si>
  <si>
    <t>Trần Thị Ngọc Ánh</t>
  </si>
  <si>
    <t>352786562</t>
  </si>
  <si>
    <t>Trương Gia Bảo</t>
  </si>
  <si>
    <t>082304000078</t>
  </si>
  <si>
    <t>Võ Ngọc Tú Chi</t>
  </si>
  <si>
    <t>054204001453</t>
  </si>
  <si>
    <t>Nguyễn Quốc Sông Đà</t>
  </si>
  <si>
    <t>385890682</t>
  </si>
  <si>
    <t>Huỳnh Thị Ngọc Diệp</t>
  </si>
  <si>
    <t>01/01/2003</t>
  </si>
  <si>
    <t>080204002404</t>
  </si>
  <si>
    <t>ĐoàN Dự</t>
  </si>
  <si>
    <t>16/04/2004</t>
  </si>
  <si>
    <t>058304006983</t>
  </si>
  <si>
    <t>09/04/2004</t>
  </si>
  <si>
    <t>064204011806</t>
  </si>
  <si>
    <t>Vũ Tiến Dũng</t>
  </si>
  <si>
    <t>25/09/2004</t>
  </si>
  <si>
    <t>038204013518</t>
  </si>
  <si>
    <t>Vũ Xuân Dũng</t>
  </si>
  <si>
    <t>052304004024</t>
  </si>
  <si>
    <t>Võ Thị Ngọc Giàu</t>
  </si>
  <si>
    <t>052304008685</t>
  </si>
  <si>
    <t>Nguyễn Lê Thu Hà</t>
  </si>
  <si>
    <t>054304003098</t>
  </si>
  <si>
    <t>Cao Thị Thanh Hảo</t>
  </si>
  <si>
    <t>17/02/2004</t>
  </si>
  <si>
    <t>056304010247</t>
  </si>
  <si>
    <t>Huỳnh Thị Ngọc Hiên</t>
  </si>
  <si>
    <t>040304016276</t>
  </si>
  <si>
    <t>Nguyễn Thị Thu Hiền</t>
  </si>
  <si>
    <t>077204006121</t>
  </si>
  <si>
    <t>Bùi Trung Hiếu</t>
  </si>
  <si>
    <t>079304016251</t>
  </si>
  <si>
    <t>Lê Thị Thanh Hoa</t>
  </si>
  <si>
    <t>070204002784</t>
  </si>
  <si>
    <t>Bùi Thiên Hoàng</t>
  </si>
  <si>
    <t>089204016366</t>
  </si>
  <si>
    <t>030304002815</t>
  </si>
  <si>
    <t>Lê Thị Huế</t>
  </si>
  <si>
    <t>052304000490</t>
  </si>
  <si>
    <t>Phạm Ngọc Kim Huệ</t>
  </si>
  <si>
    <t>064204007048</t>
  </si>
  <si>
    <t>Nguyễn Tiến Hùng</t>
  </si>
  <si>
    <t>29/11/2004</t>
  </si>
  <si>
    <t>054304000324</t>
  </si>
  <si>
    <t>Bùi Thị Thu Hương</t>
  </si>
  <si>
    <t>321823521</t>
  </si>
  <si>
    <t>Trần Quang Khánh</t>
  </si>
  <si>
    <t>02/05/2004</t>
  </si>
  <si>
    <t>082304000075</t>
  </si>
  <si>
    <t>Nguyễn Huỳnh Ngọc Lam</t>
  </si>
  <si>
    <t>051304001693</t>
  </si>
  <si>
    <t>Dương Thị Lễ</t>
  </si>
  <si>
    <t>052204005826</t>
  </si>
  <si>
    <t>Trương Văn Linh</t>
  </si>
  <si>
    <t>215618375</t>
  </si>
  <si>
    <t>Huỳnh Thị Tường Loan</t>
  </si>
  <si>
    <t>036204018771</t>
  </si>
  <si>
    <t>Vũ Hoàng Thành Long</t>
  </si>
  <si>
    <t>054304001564</t>
  </si>
  <si>
    <t>Đặng Thị Trúc Ly</t>
  </si>
  <si>
    <t>051304011867</t>
  </si>
  <si>
    <t>Huỳnh Đỗ Trúc Ly</t>
  </si>
  <si>
    <t>25/10/2004</t>
  </si>
  <si>
    <t>087304000387</t>
  </si>
  <si>
    <t>Lê Trúc Ly</t>
  </si>
  <si>
    <t>066304017669</t>
  </si>
  <si>
    <t>Hoàng Thị Mây</t>
  </si>
  <si>
    <t>079303017856</t>
  </si>
  <si>
    <t>Nguyễn Ánh Minh</t>
  </si>
  <si>
    <t>24/02/2003</t>
  </si>
  <si>
    <t>091304001155</t>
  </si>
  <si>
    <t>Nguyễn Huỳnh Cẩm My</t>
  </si>
  <si>
    <t>054304000167</t>
  </si>
  <si>
    <t>Nguyễn Thị Lâm Na</t>
  </si>
  <si>
    <t>051304011813</t>
  </si>
  <si>
    <t>Nguyễn Thị Thuý Nga</t>
  </si>
  <si>
    <t>096204008195</t>
  </si>
  <si>
    <t>Lê Nguyễn</t>
  </si>
  <si>
    <t>14/12/2004</t>
  </si>
  <si>
    <t>079204017817</t>
  </si>
  <si>
    <t>Nguyễn Thành Nhân</t>
  </si>
  <si>
    <t>087304007568</t>
  </si>
  <si>
    <t>Lê Thị Hồng Nhi</t>
  </si>
  <si>
    <t>096304004228</t>
  </si>
  <si>
    <t>Lê Thị Quỳnh Như</t>
  </si>
  <si>
    <t>070304002553</t>
  </si>
  <si>
    <t>Phạm Thị Như</t>
  </si>
  <si>
    <t>054304006211</t>
  </si>
  <si>
    <t>Nguyễn Thị Tuyết Nhung</t>
  </si>
  <si>
    <t>068204011817</t>
  </si>
  <si>
    <t>052304011717</t>
  </si>
  <si>
    <t>Đỗ Thị Thu Phương</t>
  </si>
  <si>
    <t>036304001840</t>
  </si>
  <si>
    <t>Vũ Quỳnh Phương</t>
  </si>
  <si>
    <t>079204001104</t>
  </si>
  <si>
    <t>Ngũ Cẩm Quang</t>
  </si>
  <si>
    <t>058304004583</t>
  </si>
  <si>
    <t>Võ Thị Thúy Quy</t>
  </si>
  <si>
    <t>091304017989</t>
  </si>
  <si>
    <t>Lê Thụy Hồng Quyên</t>
  </si>
  <si>
    <t>079304045605</t>
  </si>
  <si>
    <t>01/08/2004</t>
  </si>
  <si>
    <t>051304000659</t>
  </si>
  <si>
    <t>Phạm Lệ Quỳnh Sa</t>
  </si>
  <si>
    <t>080204009299</t>
  </si>
  <si>
    <t>Nguyễn Tấn Tài</t>
  </si>
  <si>
    <t>052304006747</t>
  </si>
  <si>
    <t>Đặng Thị Mỹ Tâm</t>
  </si>
  <si>
    <t>075204000030</t>
  </si>
  <si>
    <t>Nguyễn Đình Thành</t>
  </si>
  <si>
    <t>22/06/2004</t>
  </si>
  <si>
    <t>068204012392</t>
  </si>
  <si>
    <t>Nguyễn Trung Thành</t>
  </si>
  <si>
    <t>087304009325</t>
  </si>
  <si>
    <t>Lê Thị Hiếu Thảo</t>
  </si>
  <si>
    <t>064304008252</t>
  </si>
  <si>
    <t>Phan Phương Thảo</t>
  </si>
  <si>
    <t>062204001714</t>
  </si>
  <si>
    <t>Nguyễn Vĩnh Thế</t>
  </si>
  <si>
    <t>054204009259</t>
  </si>
  <si>
    <t>Huỳnh Ngọc Thiện</t>
  </si>
  <si>
    <t>087204011650</t>
  </si>
  <si>
    <t>Nguyễn Phước Ngọc Thiện</t>
  </si>
  <si>
    <t>054304003069</t>
  </si>
  <si>
    <t>Võ Thị Kim Thoa</t>
  </si>
  <si>
    <t>079303008840</t>
  </si>
  <si>
    <t>Hoàng Huỳnh Anh Thư</t>
  </si>
  <si>
    <t>08/09/2003</t>
  </si>
  <si>
    <t>045304007266</t>
  </si>
  <si>
    <t>28/12/2004</t>
  </si>
  <si>
    <t>079304033380</t>
  </si>
  <si>
    <t>Phùng Minh Thư</t>
  </si>
  <si>
    <t>075204002808</t>
  </si>
  <si>
    <t>036304000160</t>
  </si>
  <si>
    <t>Vũ Hà Thy</t>
  </si>
  <si>
    <t>079204008662</t>
  </si>
  <si>
    <t>Võ Duy Tiến</t>
  </si>
  <si>
    <t>14/02/2004</t>
  </si>
  <si>
    <t>064304010714</t>
  </si>
  <si>
    <t>Nguyễn Lê Bảo Trân</t>
  </si>
  <si>
    <t>366424574</t>
  </si>
  <si>
    <t>Phùng Thị Tuyết Trân</t>
  </si>
  <si>
    <t>10/05/2003</t>
  </si>
  <si>
    <t>080304015286</t>
  </si>
  <si>
    <t>Nguyễn Thị Hồng Trang</t>
  </si>
  <si>
    <t>091304016165</t>
  </si>
  <si>
    <t>Nguyễn Thị Huyền Trang</t>
  </si>
  <si>
    <t>060304001919</t>
  </si>
  <si>
    <t>Đẩu Phạm Ngọc Trinh</t>
  </si>
  <si>
    <t>06/11/2004</t>
  </si>
  <si>
    <t>086304000555</t>
  </si>
  <si>
    <t>Hồ Ngọc Trinh</t>
  </si>
  <si>
    <t>058304003040</t>
  </si>
  <si>
    <t>Lê Thị Uyên Trinh</t>
  </si>
  <si>
    <t>079304017903</t>
  </si>
  <si>
    <t>Nguyễn Thị Kim Trúc</t>
  </si>
  <si>
    <t>15/03/2004</t>
  </si>
  <si>
    <t>051204002789</t>
  </si>
  <si>
    <t>Nguyễn Anh Tuấn</t>
  </si>
  <si>
    <t>079204015184</t>
  </si>
  <si>
    <t>Trần Thanh Vũ</t>
  </si>
  <si>
    <t>054304002899</t>
  </si>
  <si>
    <t>Bùi Ngọc Lan Vy</t>
  </si>
  <si>
    <t>20/07/2004</t>
  </si>
  <si>
    <t>083304003336</t>
  </si>
  <si>
    <t>Trần Ngọc Phương Vy</t>
  </si>
  <si>
    <t>092302002106</t>
  </si>
  <si>
    <t>Trần Phạm Phương Vy</t>
  </si>
  <si>
    <t>083304012966</t>
  </si>
  <si>
    <t>Đoàn Thị Ngọc Xuyến</t>
  </si>
  <si>
    <t>033304005843</t>
  </si>
  <si>
    <t>Nguyễn Thị Ngọc Yến</t>
  </si>
  <si>
    <t>079304019730</t>
  </si>
  <si>
    <t>Lê Nguyễn Xuân An</t>
  </si>
  <si>
    <t>075304004619</t>
  </si>
  <si>
    <t>Lưu Thị Lan Anh</t>
  </si>
  <si>
    <t>040304003723</t>
  </si>
  <si>
    <t>Trần Thị Mai Anh</t>
  </si>
  <si>
    <t>034204009363</t>
  </si>
  <si>
    <t>Nguyễn Hải Bằng</t>
  </si>
  <si>
    <t>075204006642</t>
  </si>
  <si>
    <t>Hoàng Gia Bảo</t>
  </si>
  <si>
    <t>058204002207</t>
  </si>
  <si>
    <t>Nguyễn Quốc Bảo</t>
  </si>
  <si>
    <t>052204017056</t>
  </si>
  <si>
    <t>Trần Gia Bảo</t>
  </si>
  <si>
    <t>051204007389</t>
  </si>
  <si>
    <t>Lê Bông</t>
  </si>
  <si>
    <t>068201003251</t>
  </si>
  <si>
    <t>Nguyễn Văn Cao</t>
  </si>
  <si>
    <t>04/06/2001</t>
  </si>
  <si>
    <t>091204004398</t>
  </si>
  <si>
    <t>Trần Gia Chấn</t>
  </si>
  <si>
    <t>040304006464</t>
  </si>
  <si>
    <t>Hoàng Thị Hà Châu</t>
  </si>
  <si>
    <t>064303001900</t>
  </si>
  <si>
    <t>Trương Hoài Quỳnh Chi</t>
  </si>
  <si>
    <t>13/10/2003</t>
  </si>
  <si>
    <t>079204020264</t>
  </si>
  <si>
    <t>Nguyễn Phú Cường</t>
  </si>
  <si>
    <t>15/07/2004</t>
  </si>
  <si>
    <t>054204005438</t>
  </si>
  <si>
    <t>Đào Tấn Đạt</t>
  </si>
  <si>
    <t>066304003306</t>
  </si>
  <si>
    <t>Phạm Thanh Diệu</t>
  </si>
  <si>
    <t>056304000551</t>
  </si>
  <si>
    <t>Trương Thị Mỹ Dung</t>
  </si>
  <si>
    <t>27/07/2004</t>
  </si>
  <si>
    <t>064304004580</t>
  </si>
  <si>
    <t>Kiều Thị Thu Hạ</t>
  </si>
  <si>
    <t>045304002977</t>
  </si>
  <si>
    <t>Võ Thị Thu Hậu</t>
  </si>
  <si>
    <t>052304006381</t>
  </si>
  <si>
    <t>Cù Thị Hiền</t>
  </si>
  <si>
    <t>042304012213</t>
  </si>
  <si>
    <t>Đinh Thị Hiền</t>
  </si>
  <si>
    <t>036304004076</t>
  </si>
  <si>
    <t>Đỗ Thị Thu Hiền</t>
  </si>
  <si>
    <t>23/04/2004</t>
  </si>
  <si>
    <t>052304011744</t>
  </si>
  <si>
    <t>Nguyễn Thị Bích Hiền</t>
  </si>
  <si>
    <t>052304009830</t>
  </si>
  <si>
    <t>Nguyễn Thị Hiệp</t>
  </si>
  <si>
    <t>075204013625</t>
  </si>
  <si>
    <t>Nguyễn Trọng Hiếu</t>
  </si>
  <si>
    <t>067204004062</t>
  </si>
  <si>
    <t>Vũ Minh Hiếu</t>
  </si>
  <si>
    <t>054304004545</t>
  </si>
  <si>
    <t>Nguyễn Thị Thu Hoàng</t>
  </si>
  <si>
    <t>13/01/2004</t>
  </si>
  <si>
    <t>052304006238</t>
  </si>
  <si>
    <t>Đặng Thị Thúy Hồng</t>
  </si>
  <si>
    <t>052304013572</t>
  </si>
  <si>
    <t>Lê Thị Thanh Hồng</t>
  </si>
  <si>
    <t>054204007441</t>
  </si>
  <si>
    <t>077204003390</t>
  </si>
  <si>
    <t>Đường Hớn Khang</t>
  </si>
  <si>
    <t>074204002055</t>
  </si>
  <si>
    <t>091204010970</t>
  </si>
  <si>
    <t>Võ Đăng Khoa</t>
  </si>
  <si>
    <t>038204007913</t>
  </si>
  <si>
    <t>Lê Văn Lâm</t>
  </si>
  <si>
    <t>231408373</t>
  </si>
  <si>
    <t>Nguyễn Ngọc Linh</t>
  </si>
  <si>
    <t>07/01/2003</t>
  </si>
  <si>
    <t>066304008987</t>
  </si>
  <si>
    <t>Nguyễn Thị Thuỳ Linh</t>
  </si>
  <si>
    <t>079204010094</t>
  </si>
  <si>
    <t>Đỗ Quang Minh</t>
  </si>
  <si>
    <t>10/06/2004</t>
  </si>
  <si>
    <t>087204018124</t>
  </si>
  <si>
    <t>Nguyễn Nhựt Minh</t>
  </si>
  <si>
    <t>25/01/2004</t>
  </si>
  <si>
    <t>068204005313</t>
  </si>
  <si>
    <t>052304004426</t>
  </si>
  <si>
    <t>Trần Thị Mỹ Nga</t>
  </si>
  <si>
    <t>30/12/2004</t>
  </si>
  <si>
    <t>215595067</t>
  </si>
  <si>
    <t>Nguyễn Bảo Ngân</t>
  </si>
  <si>
    <t>11/08/2003</t>
  </si>
  <si>
    <t>091304008092</t>
  </si>
  <si>
    <t>Nguyễn Ngọc Thanh Ngân</t>
  </si>
  <si>
    <t>070304002795</t>
  </si>
  <si>
    <t>Bùi Thị Hoài Ngọc</t>
  </si>
  <si>
    <t>20/03/2004</t>
  </si>
  <si>
    <t>079304029238</t>
  </si>
  <si>
    <t>Đào Hải Ngọc</t>
  </si>
  <si>
    <t>066304001883</t>
  </si>
  <si>
    <t>Phạm Thị Thảo Nguyên</t>
  </si>
  <si>
    <t>058304006997</t>
  </si>
  <si>
    <t>Nguyễn Dương Phương Nhã</t>
  </si>
  <si>
    <t>066304003267</t>
  </si>
  <si>
    <t>Nguyễn Thị Khánh Nhi</t>
  </si>
  <si>
    <t>079204001794</t>
  </si>
  <si>
    <t>Trần Yến Nhi</t>
  </si>
  <si>
    <t>264585372</t>
  </si>
  <si>
    <t>095303000621</t>
  </si>
  <si>
    <t>Trương Thị Như</t>
  </si>
  <si>
    <t>079304024133</t>
  </si>
  <si>
    <t>Tăng Mỹ Phượng</t>
  </si>
  <si>
    <t>079204026674</t>
  </si>
  <si>
    <t>Trần Duy Quang</t>
  </si>
  <si>
    <t>045204006176</t>
  </si>
  <si>
    <t>Nguyễn Khắc Minh Sang</t>
  </si>
  <si>
    <t>052303014364</t>
  </si>
  <si>
    <t>Võ Thị Huỳnh Tâm</t>
  </si>
  <si>
    <t>08/12/2003</t>
  </si>
  <si>
    <t>079203030723</t>
  </si>
  <si>
    <t>Dương Hoàng Nhật Tân</t>
  </si>
  <si>
    <t>10/12/2003</t>
  </si>
  <si>
    <t>051204001620</t>
  </si>
  <si>
    <t>Nguyễn Đặng Đăng Thành</t>
  </si>
  <si>
    <t>079204004066</t>
  </si>
  <si>
    <t>Trần Tiến Thịnh</t>
  </si>
  <si>
    <t>079304021700</t>
  </si>
  <si>
    <t>09/07/2004</t>
  </si>
  <si>
    <t>096204009004</t>
  </si>
  <si>
    <t>Đặng Văn Thức</t>
  </si>
  <si>
    <t>075304003825</t>
  </si>
  <si>
    <t>Trần Thị Thu Thủy</t>
  </si>
  <si>
    <t>079304014825</t>
  </si>
  <si>
    <t>Bùi Thị Cẩm Tiên</t>
  </si>
  <si>
    <t>054304000857</t>
  </si>
  <si>
    <t>Phan Kim Thủy Tiên</t>
  </si>
  <si>
    <t>30/06/2004</t>
  </si>
  <si>
    <t>052304000628</t>
  </si>
  <si>
    <t>Nguyễn Thị Trâm</t>
  </si>
  <si>
    <t>02/03/2004</t>
  </si>
  <si>
    <t>079304019251</t>
  </si>
  <si>
    <t>Nguyễn Thị Ngọc Trâm</t>
  </si>
  <si>
    <t>079304003943</t>
  </si>
  <si>
    <t>052304006021</t>
  </si>
  <si>
    <t>Trần Quỳnh Trâm</t>
  </si>
  <si>
    <t>12/04/2004</t>
  </si>
  <si>
    <t>087304015143</t>
  </si>
  <si>
    <t>Phạm Thị Quế Trân</t>
  </si>
  <si>
    <t>079304020565</t>
  </si>
  <si>
    <t>Phan Nguyễn Tuệ Trân</t>
  </si>
  <si>
    <t>091304005716</t>
  </si>
  <si>
    <t>Tôn Nữ Ngọc Trân</t>
  </si>
  <si>
    <t>040304000554</t>
  </si>
  <si>
    <t>Đặng Thị Thu Trang</t>
  </si>
  <si>
    <t>075304007244</t>
  </si>
  <si>
    <t>Nguyễn Bảo Kim Trúc</t>
  </si>
  <si>
    <t>068304002766</t>
  </si>
  <si>
    <t>Nguyễn Vũ Thủy Trúc</t>
  </si>
  <si>
    <t>13/12/2004</t>
  </si>
  <si>
    <t>052304010672</t>
  </si>
  <si>
    <t>054304004122</t>
  </si>
  <si>
    <t>Lương Thị Phương Uyên</t>
  </si>
  <si>
    <t>082304003554</t>
  </si>
  <si>
    <t>Nguyễn Mộng Vàng</t>
  </si>
  <si>
    <t>072302005946</t>
  </si>
  <si>
    <t>Thạch Thị Như Ý</t>
  </si>
  <si>
    <t>079304011127</t>
  </si>
  <si>
    <t>Châu Ngọc Yến</t>
  </si>
  <si>
    <t>Phan Nhật Huy</t>
  </si>
  <si>
    <t>16/03/1999</t>
  </si>
  <si>
    <t>k63</t>
  </si>
  <si>
    <t>087203001451</t>
  </si>
  <si>
    <t>Phạm Nguyễn Minh Anh</t>
  </si>
  <si>
    <t>16/09/2021</t>
  </si>
  <si>
    <t>079303026345</t>
  </si>
  <si>
    <t>02/02/2003</t>
  </si>
  <si>
    <t>079303028480</t>
  </si>
  <si>
    <t>30/08/2003</t>
  </si>
  <si>
    <t>083203013606</t>
  </si>
  <si>
    <t>27/04/2003</t>
  </si>
  <si>
    <t>033303002533</t>
  </si>
  <si>
    <t>Nguyễn Thị Thu Uyên</t>
  </si>
  <si>
    <t>21/10/2003</t>
  </si>
  <si>
    <t>Phan Hiếu</t>
  </si>
  <si>
    <t>12/10/2003</t>
  </si>
  <si>
    <t>30/06/2003</t>
  </si>
  <si>
    <t>038203019412</t>
  </si>
  <si>
    <t>Nguyễn Văn An</t>
  </si>
  <si>
    <t>Hồ Tấn Anh</t>
  </si>
  <si>
    <t>13/09/2003</t>
  </si>
  <si>
    <t>052303000156</t>
  </si>
  <si>
    <t>Nguyễn Thị Mỹ Duyên</t>
  </si>
  <si>
    <t>096203009313</t>
  </si>
  <si>
    <t>27/12/2003</t>
  </si>
  <si>
    <t>040203001505</t>
  </si>
  <si>
    <t>Phùng Đình Hiếu</t>
  </si>
  <si>
    <t>19/06/2002</t>
  </si>
  <si>
    <t>02/10/2003</t>
  </si>
  <si>
    <t>Bùi Đức Thoại</t>
  </si>
  <si>
    <t>03/10/2003</t>
  </si>
  <si>
    <t>Lê Hoài Bảo</t>
  </si>
  <si>
    <t>07/11/2003</t>
  </si>
  <si>
    <t>089301000213</t>
  </si>
  <si>
    <t>16/06/2001</t>
  </si>
  <si>
    <t>Võ Lê Minh Thái</t>
  </si>
  <si>
    <t>24/11/2001</t>
  </si>
  <si>
    <t>079203026180</t>
  </si>
  <si>
    <t>Nguyễn Minh Khánh</t>
  </si>
  <si>
    <t>28/09/2003</t>
  </si>
  <si>
    <t>037203006054</t>
  </si>
  <si>
    <t>Bùi Ngọc Phương Nam</t>
  </si>
  <si>
    <t>29/10/2003</t>
  </si>
  <si>
    <t>Phan Ngọc Toàn</t>
  </si>
  <si>
    <t>21/03/2003</t>
  </si>
  <si>
    <t>060203003875</t>
  </si>
  <si>
    <t>09/01/2003</t>
  </si>
  <si>
    <t>Triệu Thanh Vũ</t>
  </si>
  <si>
    <t>21/05/2003</t>
  </si>
  <si>
    <t>096203004910</t>
  </si>
  <si>
    <t>Biện Hoàng Lil</t>
  </si>
  <si>
    <t>12/11/2003</t>
  </si>
  <si>
    <t>Nguyễn Bảo Trung</t>
  </si>
  <si>
    <t>27/09/2003</t>
  </si>
  <si>
    <t>079203009293</t>
  </si>
  <si>
    <t>038203002783</t>
  </si>
  <si>
    <t>Trần Đức Hùng</t>
  </si>
  <si>
    <t>26/01/2003</t>
  </si>
  <si>
    <t>046202000078</t>
  </si>
  <si>
    <t>Nguyễn Văn Tấn</t>
  </si>
  <si>
    <t>064203005133</t>
  </si>
  <si>
    <t>06/12/2003</t>
  </si>
  <si>
    <t>080202000401</t>
  </si>
  <si>
    <t>Vương Công Minh</t>
  </si>
  <si>
    <t>033203006920</t>
  </si>
  <si>
    <t>Quách Tuấn Anh</t>
  </si>
  <si>
    <t>01/02/2003</t>
  </si>
  <si>
    <t>054203001891</t>
  </si>
  <si>
    <t>11/11/2003</t>
  </si>
  <si>
    <t>075303003785</t>
  </si>
  <si>
    <t>Nguyễn Thị Ánh Nguyệt</t>
  </si>
  <si>
    <t>30/12/2003</t>
  </si>
  <si>
    <t>083203001623</t>
  </si>
  <si>
    <t>Lê Duy Anh</t>
  </si>
  <si>
    <t>Huỳnh Hoàng Khang</t>
  </si>
  <si>
    <t>15/08/2003</t>
  </si>
  <si>
    <t>Cao Thảo Chi</t>
  </si>
  <si>
    <t>23/06/2003</t>
  </si>
  <si>
    <t>066303001550</t>
  </si>
  <si>
    <t xml:space="preserve">Lê Thị Thuỳ Trang </t>
  </si>
  <si>
    <t>02/01/2003</t>
  </si>
  <si>
    <t>Lê Hữu Minh Khang</t>
  </si>
  <si>
    <t>09/06/2003</t>
  </si>
  <si>
    <t>087303002589</t>
  </si>
  <si>
    <t>Trần Thuý Lộc</t>
  </si>
  <si>
    <t>10/08/2003</t>
  </si>
  <si>
    <t>Vũ Thị Sương</t>
  </si>
  <si>
    <t>15/06/1996</t>
  </si>
  <si>
    <t>Trần Thị Như Ý</t>
  </si>
  <si>
    <t>12/07/2003</t>
  </si>
  <si>
    <t>079301028258</t>
  </si>
  <si>
    <t xml:space="preserve">Lê Thị Lệ Thúy </t>
  </si>
  <si>
    <t>30/10/2001</t>
  </si>
  <si>
    <t>034303006353</t>
  </si>
  <si>
    <t>Lại Thị Yến Nhi</t>
  </si>
  <si>
    <t>184238445</t>
  </si>
  <si>
    <t>05/02/1997</t>
  </si>
  <si>
    <t>068303008138</t>
  </si>
  <si>
    <t>Lưu Thị Thanh Thảo</t>
  </si>
  <si>
    <t>24/10/2003</t>
  </si>
  <si>
    <t>22/12/2003</t>
  </si>
  <si>
    <t>05/02/2003</t>
  </si>
  <si>
    <t>Tôn giáo</t>
  </si>
  <si>
    <t>13/03/1989</t>
  </si>
  <si>
    <t>Tp. Hồ Chí Minh</t>
  </si>
  <si>
    <t>01/07/1987</t>
  </si>
  <si>
    <t>Ngày sinh
(Hậu kiểm)</t>
  </si>
  <si>
    <t>Nơi sinh(Hậu kiểm)</t>
  </si>
  <si>
    <t>DANH SÁCH SINH VIÊN - Phân hiệu Miền Nam - K63</t>
  </si>
  <si>
    <t>Tên sinh viên</t>
  </si>
  <si>
    <t>Giới tính</t>
  </si>
  <si>
    <t>CMND</t>
  </si>
  <si>
    <t>Ngày cấp</t>
  </si>
  <si>
    <t>Nơi cấp</t>
  </si>
  <si>
    <t>Số điện thoại</t>
  </si>
  <si>
    <t>Địa chỉ liên hệ</t>
  </si>
  <si>
    <t>Họ tên bố</t>
  </si>
  <si>
    <t>Số điện thoại bố</t>
  </si>
  <si>
    <t>Họ tên mẹ</t>
  </si>
  <si>
    <t>Số điện thoại mẹ</t>
  </si>
  <si>
    <t>Khoa</t>
  </si>
  <si>
    <t>Quyết định</t>
  </si>
  <si>
    <t>Trạng thái</t>
  </si>
  <si>
    <t>Tỉnh Hòa Bình</t>
  </si>
  <si>
    <t>113818325</t>
  </si>
  <si>
    <t>0915915398</t>
  </si>
  <si>
    <t>1167</t>
  </si>
  <si>
    <t>Số nhà 2, Ngõ 97, Đường Phan Huy Chú, Tổ 4, Phường Đồng Tiến, Thành phố Hòa Bình, Tỉnh Hòa Bình</t>
  </si>
  <si>
    <t>Khoa Công trình</t>
  </si>
  <si>
    <t/>
  </si>
  <si>
    <t>0372497405</t>
  </si>
  <si>
    <t>Xã An Định , Huyện Mỏ Cày Nam , Tỉnh Bến Tre</t>
  </si>
  <si>
    <t>Lê Văn Trung</t>
  </si>
  <si>
    <t>Nguyễn Thị Ngọc Tuyết</t>
  </si>
  <si>
    <t>0836885707</t>
  </si>
  <si>
    <t>Lý văn lâm khóm 1- phường 1 TP Cà Mau</t>
  </si>
  <si>
    <t>Nguyễn Minh Đăng</t>
  </si>
  <si>
    <t>Tp.HCM</t>
  </si>
  <si>
    <t>079203013902</t>
  </si>
  <si>
    <t>0339314471</t>
  </si>
  <si>
    <t>86/7 Trịnh Đình Trọng, Phường Phú Trung, Quận Tân Phú, Thành phố Hồ Chí Minh</t>
  </si>
  <si>
    <t xml:space="preserve">Quyết định tam ngừng học - Ngày 04/10/2023; Quyết định quay trở lại trường - Ngày 27/08/2024; </t>
  </si>
  <si>
    <t>Quay trở lại</t>
  </si>
  <si>
    <t>372040647</t>
  </si>
  <si>
    <t>0347376878</t>
  </si>
  <si>
    <t>1375</t>
  </si>
  <si>
    <t>tổ 5, khu phố Sư Nam, thị trấn Hòn Đất, huyện Hòn Đất, tỉnh Kiên Giang</t>
  </si>
  <si>
    <t>Lê Ngọc Tuyên</t>
  </si>
  <si>
    <t>Nguyễn Thùy Trang</t>
  </si>
  <si>
    <t>272945950</t>
  </si>
  <si>
    <t>0932142518</t>
  </si>
  <si>
    <t>1376</t>
  </si>
  <si>
    <t>Viện thủy lợi môi trường, Số 2 Trường Sa, Phường 17, Quận Bình Thạnh, Thành phố Hồ Chí Minh</t>
  </si>
  <si>
    <t>Phạm Anh Tuấn</t>
  </si>
  <si>
    <t>Trịnh Bích Thuận</t>
  </si>
  <si>
    <t>215569635</t>
  </si>
  <si>
    <t>0397998028</t>
  </si>
  <si>
    <t>1170</t>
  </si>
  <si>
    <t>Thôn Lai Nghi, xã Bình Nghi, huyện Tây Sơn, tỉnh Bình Định</t>
  </si>
  <si>
    <t>Cù Trọng Nhặn</t>
  </si>
  <si>
    <t>Trần Thị Điểu</t>
  </si>
  <si>
    <t>Nguyễn Duy</t>
  </si>
  <si>
    <t>261657847</t>
  </si>
  <si>
    <t>0913931240</t>
  </si>
  <si>
    <t>1171</t>
  </si>
  <si>
    <t>23 Huỳnh Thị Khá, Phú Thủy, Phan Thiết, Bình Thuận</t>
  </si>
  <si>
    <t>Nguyễn Văn Dũng</t>
  </si>
  <si>
    <t>Trần Thị Xuân Lan</t>
  </si>
  <si>
    <t>Võ Kế Duy</t>
  </si>
  <si>
    <t>215589333</t>
  </si>
  <si>
    <t>0333861711</t>
  </si>
  <si>
    <t>1172</t>
  </si>
  <si>
    <t>Xóm 1, Phú An, Tây Xuân, Tây Sơn, Bình Định</t>
  </si>
  <si>
    <t>Võ Kế Vinh</t>
  </si>
  <si>
    <t>Đặng Thị Dung</t>
  </si>
  <si>
    <t>Đăk Lăk</t>
  </si>
  <si>
    <t>241978899</t>
  </si>
  <si>
    <t>0944526775</t>
  </si>
  <si>
    <t>1173</t>
  </si>
  <si>
    <t>109B/25 Mai Hắc Đế, tổ 6, khối 2, phường Tân Thành, thành phố Buôn Ma Thuột, tỉnh Đăk Lăk</t>
  </si>
  <si>
    <t>Phạm Đức Triển</t>
  </si>
  <si>
    <t>Trần Thị Ngoan</t>
  </si>
  <si>
    <t>Nguyễn Trung Hiếu</t>
  </si>
  <si>
    <t>321797749</t>
  </si>
  <si>
    <t>0365319901</t>
  </si>
  <si>
    <t>1174</t>
  </si>
  <si>
    <t>Ấp Quí Đức A, xã Qưới Điền, huyện Thạnh Phú, Tỉnh Bến Tre</t>
  </si>
  <si>
    <t>Nguyễn văn Út</t>
  </si>
  <si>
    <t>Nguyễn Thị Trang</t>
  </si>
  <si>
    <t>TP.Huế</t>
  </si>
  <si>
    <t>215575879</t>
  </si>
  <si>
    <t>0962361761</t>
  </si>
  <si>
    <t>1175</t>
  </si>
  <si>
    <t>11 Nguyễn Trung Trực , Phường Nguyễn Văn Cừ , Thành phố Quy Nhơn , Tỉnh Bình Định</t>
  </si>
  <si>
    <t>Trần Văn Thủy</t>
  </si>
  <si>
    <t>Lê Thị Dương</t>
  </si>
  <si>
    <t>Phan Châu Hoàng</t>
  </si>
  <si>
    <t>052203002533</t>
  </si>
  <si>
    <t>0964760729</t>
  </si>
  <si>
    <t>1176</t>
  </si>
  <si>
    <t>44 Lê Hồng Phong, Thị trấn Tăng Bạt Hổ, Huyện Hoài Ân, Tỉnh Bình Định</t>
  </si>
  <si>
    <t>Phan Đình Dũng</t>
  </si>
  <si>
    <t>Trần Thị Sương</t>
  </si>
  <si>
    <t xml:space="preserve">Quyết định quay trở lại trường - Ngày 29/08/2024; Quyết định tam ngừng học - Ngày 23/10/2024; Quyết định tam ngừng học - Ngày 27/12/2023; Quyết định quay trở lại trường - Ngày 20/01/2025; </t>
  </si>
  <si>
    <t>Tây Ninh</t>
  </si>
  <si>
    <t>072203003524</t>
  </si>
  <si>
    <t>0383478443</t>
  </si>
  <si>
    <t>1177</t>
  </si>
  <si>
    <t>Tổ 2, Ấp Bảo, Xã Long Giang, Huyện Bến Cầu, Tỉnh Tây Ninh</t>
  </si>
  <si>
    <t>Nguyễn Minh Phụng</t>
  </si>
  <si>
    <t>Bùi Ngọc Châu</t>
  </si>
  <si>
    <t>Nguyễn Đào Tuấn Hưng</t>
  </si>
  <si>
    <t>068203001079</t>
  </si>
  <si>
    <t>0971048051</t>
  </si>
  <si>
    <t>1178</t>
  </si>
  <si>
    <t>Tổ Dân Phố 12, Thị Trấn Cát Tiên, Tỉnh Lâm Đồng</t>
  </si>
  <si>
    <t>Nguyễn Thanh Sơn</t>
  </si>
  <si>
    <t>Đào Thị Vân Anh</t>
  </si>
  <si>
    <t xml:space="preserve">Quyết định quay trở lại trường - Ngày 30/08/2024; Quyết định tam ngừng học - Ngày 27/12/2023; </t>
  </si>
  <si>
    <t>Uông Phạm Nhật Hưng</t>
  </si>
  <si>
    <t>066203015598</t>
  </si>
  <si>
    <t>0961812979</t>
  </si>
  <si>
    <t>1179</t>
  </si>
  <si>
    <t>17 Thôn Xí Nghiệp Xã Đăk Liêng Huyện Lăk Tỉnh Đăk Lăk</t>
  </si>
  <si>
    <t>Uông Sỹ Đức</t>
  </si>
  <si>
    <t>Phạm Thị Hòa</t>
  </si>
  <si>
    <t>221482022</t>
  </si>
  <si>
    <t>0797929072</t>
  </si>
  <si>
    <t>Hòa Mỹ Đông huyện Tây Hòa tỉnh Phú Yên</t>
  </si>
  <si>
    <t>Phan Văn Hòa</t>
  </si>
  <si>
    <t>Võ Thị Thanh Thúy</t>
  </si>
  <si>
    <t>Lâm Hoàng Huy</t>
  </si>
  <si>
    <t>095203002948</t>
  </si>
  <si>
    <t>0911138820</t>
  </si>
  <si>
    <t>TRƯỜNG THPT LÊ VĂN ĐẨU</t>
  </si>
  <si>
    <t>Lâm Quan Hổ</t>
  </si>
  <si>
    <t>Từ Thị Hồng</t>
  </si>
  <si>
    <t>245421130</t>
  </si>
  <si>
    <t>0918997697</t>
  </si>
  <si>
    <t>382</t>
  </si>
  <si>
    <t>Thôn Đắk Xuân, Xã Nam Xuân, Huyện Krông Nô, Đắk Nông</t>
  </si>
  <si>
    <t>Đồng Văn Kiền</t>
  </si>
  <si>
    <t>Nguyễn Thị Hường</t>
  </si>
  <si>
    <t>Phan Thiết</t>
  </si>
  <si>
    <t>261554829</t>
  </si>
  <si>
    <t>0987744681</t>
  </si>
  <si>
    <t>Trường THPT Phan Chu Trinh, 163 Tuyên Quang - Phú Thủy - Phan Thiết - Bình Thuận</t>
  </si>
  <si>
    <t>Nguyễn Văn Đố</t>
  </si>
  <si>
    <t>Nguyễn Thị Thùy Linh</t>
  </si>
  <si>
    <t>Phạm Trung Kiên</t>
  </si>
  <si>
    <t>264584856</t>
  </si>
  <si>
    <t>0912462261</t>
  </si>
  <si>
    <t>1181</t>
  </si>
  <si>
    <t>Mỹ Nhơn,Bắc Phong,Thuận Bắc,Ninh Thuận</t>
  </si>
  <si>
    <t>Phạm Văn An</t>
  </si>
  <si>
    <t>Hồ Thị Tý</t>
  </si>
  <si>
    <t>096203001399</t>
  </si>
  <si>
    <t>0981665010</t>
  </si>
  <si>
    <t>1379</t>
  </si>
  <si>
    <t>Tổ 16, Khóm Thượng 2, thị trấn Thường Thới Tiền, huyện Hồng Ngự, tỉnh Đồng Tháp</t>
  </si>
  <si>
    <t>Nguyễn Văn MỘng</t>
  </si>
  <si>
    <t>Đoàn Thị Nhung</t>
  </si>
  <si>
    <t>Vũ Nguyễn Ngọc Lâm</t>
  </si>
  <si>
    <t>075203022449</t>
  </si>
  <si>
    <t>0785493928</t>
  </si>
  <si>
    <t>1380</t>
  </si>
  <si>
    <t>30 đường 10, khu phố 1, phường Bình Trưng Đông, TP. Thủ Đức.</t>
  </si>
  <si>
    <t>Vũ Ngọc Cường</t>
  </si>
  <si>
    <t>Nguyễn Thị Huyền Trâm</t>
  </si>
  <si>
    <t>NInh Thuận</t>
  </si>
  <si>
    <t>264582808</t>
  </si>
  <si>
    <t>0369045046</t>
  </si>
  <si>
    <t>Chăm</t>
  </si>
  <si>
    <t>KIỀU CÔNG LUẬN, Lớp 12A6, Trường THPT An Phước, Phước Dân, Ninh Phước, Ninh Thuận.</t>
  </si>
  <si>
    <t>Kiều Ngọc</t>
  </si>
  <si>
    <t>Lưu Thị Khánh Hòa</t>
  </si>
  <si>
    <t>079203017636</t>
  </si>
  <si>
    <t>0909792431</t>
  </si>
  <si>
    <t>331/45 Tôn Đản, Phường 15, Quận 4</t>
  </si>
  <si>
    <t>Nguyễn Tấn Tiếp</t>
  </si>
  <si>
    <t>Nguyễn Thị Thanh Loan</t>
  </si>
  <si>
    <t>Cù Trọng Nghĩa</t>
  </si>
  <si>
    <t>052203000862</t>
  </si>
  <si>
    <t>0377623052</t>
  </si>
  <si>
    <t>1185</t>
  </si>
  <si>
    <t>Cù Trọng Mai</t>
  </si>
  <si>
    <t>Nguyễn Thị Lệ Thủy</t>
  </si>
  <si>
    <t>261642121</t>
  </si>
  <si>
    <t>0868083416</t>
  </si>
  <si>
    <t>Trường THPT Hàm Thuận Bắc, số 437, đường Tám Tháng Tư (8/4), thị trấn Ma Lâm, Hàm Thuận Bắc, Bình Thuận</t>
  </si>
  <si>
    <t>Nguyễn văn Năm</t>
  </si>
  <si>
    <t>Lê Thị Hồng</t>
  </si>
  <si>
    <t>Bà rịa vũng tàu</t>
  </si>
  <si>
    <t>077303005355</t>
  </si>
  <si>
    <t>0565730647</t>
  </si>
  <si>
    <t>1186</t>
  </si>
  <si>
    <t>ấp Tân Hoà, xã Long Tân, Huyện Đất Đỏ, Tỉnh Bà Rịa Vũng Tàu</t>
  </si>
  <si>
    <t>Võ Hoài Tâm</t>
  </si>
  <si>
    <t>Nguyễn Thị Ngọc Thúy</t>
  </si>
  <si>
    <t>Phạm Việt Phát</t>
  </si>
  <si>
    <t>BV Sa Đéc, Đồng Tháp</t>
  </si>
  <si>
    <t>342121174</t>
  </si>
  <si>
    <t>0768812913</t>
  </si>
  <si>
    <t>1353</t>
  </si>
  <si>
    <t>229/Dd7/ktdc,Ấp Tân Lộc,Xã Tân Thành,Huyện Lai Vung,Tỉnh Đồng Tháp</t>
  </si>
  <si>
    <t>Phạm Anh Tuấn Huy</t>
  </si>
  <si>
    <t>Lý Lan Phương</t>
  </si>
  <si>
    <t xml:space="preserve">Quyết định quay trở lại trường - Ngày 16/01/2025; Quyết định tam ngừng học - Ngày 16/10/2024; </t>
  </si>
  <si>
    <t>Phạm Minh Quân</t>
  </si>
  <si>
    <t>Tỉnh Bà Rịa-Vũng Tàu</t>
  </si>
  <si>
    <t>077203001451</t>
  </si>
  <si>
    <t>CỤC TRƯỞNG CỤC CẢNH SÁT ĐKQL CƯ TRÚ VÀ DLQG VỀ DÂN CƯ</t>
  </si>
  <si>
    <t>0981696571</t>
  </si>
  <si>
    <t>1334/25/3 đường 30/4 phường 12</t>
  </si>
  <si>
    <t>Phạm Văn Quản</t>
  </si>
  <si>
    <t>0989950026</t>
  </si>
  <si>
    <t>Nguyễn Thị Nụ</t>
  </si>
  <si>
    <t>0966309565</t>
  </si>
  <si>
    <t>TT Y tế Củ Chi</t>
  </si>
  <si>
    <t>079203021851</t>
  </si>
  <si>
    <t>0346506856</t>
  </si>
  <si>
    <t>1188</t>
  </si>
  <si>
    <t>481, đường tỉnh lộ 7, ấp bình thượng 2, xã thái mỹ, huyện củ chi, thành phố hồ chí minh</t>
  </si>
  <si>
    <t>Nguyễn Hữu Lượng</t>
  </si>
  <si>
    <t>Trần Thị Thảo</t>
  </si>
  <si>
    <t>215565360</t>
  </si>
  <si>
    <t>0366052612</t>
  </si>
  <si>
    <t>1189</t>
  </si>
  <si>
    <t>Đội 4, thôn Gia Đức, Xã Ân Đức, Huyện Hoài Ân, Tỉnh Bình Định</t>
  </si>
  <si>
    <t>Cao Ngọc Thạch</t>
  </si>
  <si>
    <t>Nguyễn Thị Gái</t>
  </si>
  <si>
    <t>Đặng Đức Thế Tài</t>
  </si>
  <si>
    <t>382039333</t>
  </si>
  <si>
    <t>0947297061</t>
  </si>
  <si>
    <t>1190</t>
  </si>
  <si>
    <t>Ấp 1, Xã Hàng Vịnh, Huyện Năm Căn, Cà Mau</t>
  </si>
  <si>
    <t>Đặng Văn Lợi</t>
  </si>
  <si>
    <t>Trần Thị Thúy</t>
  </si>
  <si>
    <t>187667551</t>
  </si>
  <si>
    <t>0363073650</t>
  </si>
  <si>
    <t>65 Đường D11, Khu dân Cư An Thiên Lý, Phường Phước Long B, Quận 9, Thành phố Hồ Chí Minh</t>
  </si>
  <si>
    <t>Trần Bá BÌnh</t>
  </si>
  <si>
    <t>Nguyễn Thị Mai</t>
  </si>
  <si>
    <t>312602671</t>
  </si>
  <si>
    <t>0967816044</t>
  </si>
  <si>
    <t>Nguyễn Thành Lệ Uyên, 0979188377, Số 93 Phùng Há, Ấp Bình Tạo, Xã Trung An, Thành phố Mỹ Tho - Tiền Giang</t>
  </si>
  <si>
    <t>Đặng Hữu Hùng</t>
  </si>
  <si>
    <t>Nguyễn Thành Lệ Uyên</t>
  </si>
  <si>
    <t>066203016300</t>
  </si>
  <si>
    <t>0949344749</t>
  </si>
  <si>
    <t>1192</t>
  </si>
  <si>
    <t>62 Chế Lan Viên, Phường Tân Lợi, Thành Phố Buôn Ma Thuột, Tỉnh Đắk Lắk</t>
  </si>
  <si>
    <t>Nguyễn Trung Hưng</t>
  </si>
  <si>
    <t>Bùi Thị Vân</t>
  </si>
  <si>
    <t>Nguyễn Linh Đăng Vương</t>
  </si>
  <si>
    <t>225631865</t>
  </si>
  <si>
    <t>0357667266</t>
  </si>
  <si>
    <t>1194</t>
  </si>
  <si>
    <t>Xã Vạn Lương huyện Vạn Ninh tỉnh Khánh Hòa</t>
  </si>
  <si>
    <t>Nguyễn Linh Vũ</t>
  </si>
  <si>
    <t>Nguyễn Thị Sa</t>
  </si>
  <si>
    <t>Lê Tấn Vương</t>
  </si>
  <si>
    <t>261423204</t>
  </si>
  <si>
    <t>0843892354</t>
  </si>
  <si>
    <t>Trường THPT Hòa Đa</t>
  </si>
  <si>
    <t>Lê Ngọc Tiết</t>
  </si>
  <si>
    <t>215578929</t>
  </si>
  <si>
    <t>0587098366</t>
  </si>
  <si>
    <t>Nam Tượng 2 - Xã Nhơn Tân - Thị xã An Nhơn - Bình Định</t>
  </si>
  <si>
    <t>Phan Hòa Thuận</t>
  </si>
  <si>
    <t>Nguyễn Lý Thiên Trang</t>
  </si>
  <si>
    <t>087202014713</t>
  </si>
  <si>
    <t>0924224119</t>
  </si>
  <si>
    <t>1218</t>
  </si>
  <si>
    <t>Khóm 2, Thị trấn Tràm Chim, Tam Nông, Đồng Tháp</t>
  </si>
  <si>
    <t>Lê Hồng Thu</t>
  </si>
  <si>
    <t>Khoa Công nghệ thông tin</t>
  </si>
  <si>
    <t>Đinh Tuấn Anh</t>
  </si>
  <si>
    <t>BV đa khoa Thủ đức</t>
  </si>
  <si>
    <t>040203025231</t>
  </si>
  <si>
    <t>Cục cảnh sát về QLHC và TTXH</t>
  </si>
  <si>
    <t>0375130751</t>
  </si>
  <si>
    <t>Đinh Tuấn Anh, 39/10 Phường Đông Hòa, Tp Dĩ An, Tỉnh Bình Dương</t>
  </si>
  <si>
    <t>Đinh Hữu Dũng</t>
  </si>
  <si>
    <t>TTYtế Thanh Bình, Đồng Tháp</t>
  </si>
  <si>
    <t>0706573922</t>
  </si>
  <si>
    <t>Ấp Tân Hoà B xã Tân Phú huyện Thanh Bình tỉnh Đồng Tháp</t>
  </si>
  <si>
    <t>Phạm Minh Chuyễn</t>
  </si>
  <si>
    <t>Nguyễn Kiều Phương</t>
  </si>
  <si>
    <t>038203017579</t>
  </si>
  <si>
    <t>0336776023</t>
  </si>
  <si>
    <t>Đông Phú, Hoa Lộc, Huyện Hậu Lộc, Thanh Hoá</t>
  </si>
  <si>
    <t>Vũ Tiến Thành</t>
  </si>
  <si>
    <t>Nguễn Thị Thủy</t>
  </si>
  <si>
    <t>Chung Gia Bảo</t>
  </si>
  <si>
    <t>TT Ytế Cam Ranh</t>
  </si>
  <si>
    <t>056203000071</t>
  </si>
  <si>
    <t>0793419121</t>
  </si>
  <si>
    <t>1222</t>
  </si>
  <si>
    <t>143 Chung cư 2, Bàu Cát, Phường 14, Quận Tân Bình, Thành phố Hồ Chí Minh</t>
  </si>
  <si>
    <t>Chung Quang Thành</t>
  </si>
  <si>
    <t>Lê Thị Thu HIền</t>
  </si>
  <si>
    <t>Nguyễn Ngọc Bình</t>
  </si>
  <si>
    <t>215611694</t>
  </si>
  <si>
    <t>0346705761</t>
  </si>
  <si>
    <t>1251</t>
  </si>
  <si>
    <t>An Kiều-Thị trấn Ngô Mây-Phù Cát-Bình Định</t>
  </si>
  <si>
    <t>Nguyễn Ngọc Thành</t>
  </si>
  <si>
    <t>Nguyễn Thị Bạch Tuyết</t>
  </si>
  <si>
    <t>Võ Văn Cần</t>
  </si>
  <si>
    <t>215598801</t>
  </si>
  <si>
    <t>0866769149</t>
  </si>
  <si>
    <t>Lớp 12AB3- Trường THPT Nguyễn Trân- Hoài Nhơn- Bình Định</t>
  </si>
  <si>
    <t>Võ Đình Phúc</t>
  </si>
  <si>
    <t>Trương Thị Thu</t>
  </si>
  <si>
    <t xml:space="preserve">Quyết định quay trở lại trường - Ngày 26/08/2024; Quyết định tam ngừng học - Ngày 01/11/2022; Quyết định quay trở lại trường - Ngày 22/04/2023; Quyết định tam ngừng học - Ngày 17/10/2023; </t>
  </si>
  <si>
    <t>Nguyễn Minh Chánh</t>
  </si>
  <si>
    <t>342166449</t>
  </si>
  <si>
    <t>0354230728</t>
  </si>
  <si>
    <t>ấp Bình Chánh, Bình Thành, Huyện Thanh Bình - Đồng Tháp</t>
  </si>
  <si>
    <t>Lê Đức Tài</t>
  </si>
  <si>
    <t xml:space="preserve">Quyết định tam ngừng học - Ngày 18/10/2023; Quyết định quay trở lại trường - Ngày 05/08/2024; </t>
  </si>
  <si>
    <t>BVND Gia Định, Tp.HCM</t>
  </si>
  <si>
    <t>079203008498</t>
  </si>
  <si>
    <t>0347465122</t>
  </si>
  <si>
    <t>TT.GDNN-GDTX Q9, Đường Đình Phong Phú, P.Tăng Nhơn Phú B, TP.Thủ Đức</t>
  </si>
  <si>
    <t>Lê Văn Đệ</t>
  </si>
  <si>
    <t>Nguyễn Thị Hồng Vân</t>
  </si>
  <si>
    <t>079303010539</t>
  </si>
  <si>
    <t>0938371994</t>
  </si>
  <si>
    <t>257</t>
  </si>
  <si>
    <t>69/4/55-Đường Trục p13, Quận Bình Thạnh - Tp. Hồ Chí Minh</t>
  </si>
  <si>
    <t>Đặng Thành Công</t>
  </si>
  <si>
    <t>Trần Thị Kim Hồng</t>
  </si>
  <si>
    <t>Võ Lê Hậu</t>
  </si>
  <si>
    <t>05220301108</t>
  </si>
  <si>
    <t>0329925667</t>
  </si>
  <si>
    <t>1405</t>
  </si>
  <si>
    <t>Bồng Sơn, Hoài Nhơn, Bình Định</t>
  </si>
  <si>
    <t>Võ Duy Anh</t>
  </si>
  <si>
    <t>Lê Thị Hồng Phượng</t>
  </si>
  <si>
    <t>Nguyễn Lê Hoài Hiếu</t>
  </si>
  <si>
    <t>054203002272</t>
  </si>
  <si>
    <t>0348134940</t>
  </si>
  <si>
    <t>Thôn Hảo Danh, Xã Xuân Thọ 2, Thị xã Sông Cầu, Tỉnh Phú Yên</t>
  </si>
  <si>
    <t>Nguyễn Hoài Trung</t>
  </si>
  <si>
    <t>BV Cà Mau</t>
  </si>
  <si>
    <t>096203000926</t>
  </si>
  <si>
    <t>0949831519</t>
  </si>
  <si>
    <t>1266</t>
  </si>
  <si>
    <t>36 Lý Thường Kiệt, khóm 5, phường 6, thành phố Cà Mau, tỉnh Cà Mau</t>
  </si>
  <si>
    <t>Đỗ Công Khanh</t>
  </si>
  <si>
    <t>Võ Thị Thanh Thủy</t>
  </si>
  <si>
    <t>Nguyễn Đức Quốc Huy</t>
  </si>
  <si>
    <t>TpHCM</t>
  </si>
  <si>
    <t>079203010999</t>
  </si>
  <si>
    <t>cục trưởng cục cảnh sát quản lí hành chánh về trật tự xã hội</t>
  </si>
  <si>
    <t>0923512252</t>
  </si>
  <si>
    <t>241/6 Đường số 1, Phường 11, Gò Vấp</t>
  </si>
  <si>
    <t xml:space="preserve">Quyết định quay trở lại trường - Ngày 17/04/2023; Quyết định tam ngừng học - Ngày 01/11/2022; </t>
  </si>
  <si>
    <t>Võ Đại Huy</t>
  </si>
  <si>
    <t>225772099</t>
  </si>
  <si>
    <t>0348636958</t>
  </si>
  <si>
    <t>Cam Phước Tây- Cam Lâm - Khánh Hoà</t>
  </si>
  <si>
    <t>Võ Đại Hoàng</t>
  </si>
  <si>
    <t>Đỗ Thị Thoa</t>
  </si>
  <si>
    <t xml:space="preserve">Quyết định quay trở lại trường - Ngày 30/08/2025; Quyết định nghỉ học tạm thời - Ngày 26/07/2024; </t>
  </si>
  <si>
    <t>060203000542</t>
  </si>
  <si>
    <t>0868913631</t>
  </si>
  <si>
    <t>427, Trần Hưng Đạo, P. Bình Hưng, TP. Phan Thiết, Tỉnh Bình Thuận</t>
  </si>
  <si>
    <t>Nguyễn Văn Bảo</t>
  </si>
  <si>
    <t>Huỳnh Thị Út</t>
  </si>
  <si>
    <t>Châu Phúc Kháng</t>
  </si>
  <si>
    <t>Sóc Trăng</t>
  </si>
  <si>
    <t>366364156</t>
  </si>
  <si>
    <t>0976223736</t>
  </si>
  <si>
    <t>1427</t>
  </si>
  <si>
    <t>Ấp Phước Lợi B, Xã Mỹ Phước, Huyện Mỹ Tú, Tỉnh Sóc Trăng</t>
  </si>
  <si>
    <t>Châu Văn Nghĩa</t>
  </si>
  <si>
    <t>Bùi Thị Đẹp</t>
  </si>
  <si>
    <t>Cao Nguyễn Đăng Khoa</t>
  </si>
  <si>
    <t>301827327</t>
  </si>
  <si>
    <t>0767478321</t>
  </si>
  <si>
    <t>1409</t>
  </si>
  <si>
    <t>Ấp Phước Thới, xã Phước Lại, huyện Cần Giuộc, tỉnh Long An</t>
  </si>
  <si>
    <t>Cao Văn Mười</t>
  </si>
  <si>
    <t>Nguyễn Thị Chính</t>
  </si>
  <si>
    <t>Võ Hoàn Lạc</t>
  </si>
  <si>
    <t>231455074</t>
  </si>
  <si>
    <t>0817107335</t>
  </si>
  <si>
    <t>1227</t>
  </si>
  <si>
    <t>Lô 26 Võ Thị Sáu, Tổ 6, Phường Đoàn Kết, Thị xã AyunPa, Gia Lai</t>
  </si>
  <si>
    <t>Võ Văn Quy</t>
  </si>
  <si>
    <t>Hồ Thị Ngọc Tuyết</t>
  </si>
  <si>
    <t>Đinh Văn Nghĩa</t>
  </si>
  <si>
    <t>075203002489</t>
  </si>
  <si>
    <t>0329082052</t>
  </si>
  <si>
    <t>281/58 khu phố 8A, phường Long Bình, thành phố Biên Hoà, tỉnh Đồng Nai</t>
  </si>
  <si>
    <t>Đinh văn Kế</t>
  </si>
  <si>
    <t>Bùi Thị Thoa</t>
  </si>
  <si>
    <t xml:space="preserve">Quyết định tam ngừng học - Ngày 31/10/2024; Quyết định quay trở lại trường - Ngày 25/02/2025; </t>
  </si>
  <si>
    <t>0392395457</t>
  </si>
  <si>
    <t>Thôn cảnh phước, xã hoà tân đông, huyện đông hoà , tỉnh phú yên</t>
  </si>
  <si>
    <t>Ngô Tùng Phấn</t>
  </si>
  <si>
    <t>Lê Thị Thì</t>
  </si>
  <si>
    <t>Võ Thành Nhân</t>
  </si>
  <si>
    <t>215578173</t>
  </si>
  <si>
    <t>0899934075</t>
  </si>
  <si>
    <t>Võ Thành Nhân, lớp 12A6 trường THPT Nguyễn Đình Chiểu, Bình Định</t>
  </si>
  <si>
    <t>Võ Văn Quý</t>
  </si>
  <si>
    <t>Trần Thị Bích Vân</t>
  </si>
  <si>
    <t>Võ Tấn Phát</t>
  </si>
  <si>
    <t>075203016605</t>
  </si>
  <si>
    <t>0394299925</t>
  </si>
  <si>
    <t>Võ Tấn Phát, lớp 12A4, trường THPT Xuân Hưng, huyện Xuân Lộc, tỉnh Đồng Nai</t>
  </si>
  <si>
    <t>Võ Tấn Phước</t>
  </si>
  <si>
    <t>Phạm Thị Bình</t>
  </si>
  <si>
    <t>Nguyễn Hoàng Phú</t>
  </si>
  <si>
    <t>060203003301</t>
  </si>
  <si>
    <t>0339232578</t>
  </si>
  <si>
    <t>1236</t>
  </si>
  <si>
    <t>Khu phố 13, hẻm 487, 45/36 phường phú Thủy, Thành phố Phan Thiết, tỉnh Bình Thuận</t>
  </si>
  <si>
    <t>Nguyễn Văn Đoàn</t>
  </si>
  <si>
    <t>Huỳnh Thị Tám</t>
  </si>
  <si>
    <t>079203026968</t>
  </si>
  <si>
    <t>0859635832</t>
  </si>
  <si>
    <t>14-09 lo j khoi d chung cu 17,3, Phường An Phú, Tp.Thủ Đức (Q2), Thành phố TP. Hồ Chí Minh</t>
  </si>
  <si>
    <t>Hàng Thanh Tùng</t>
  </si>
  <si>
    <t>Đặng Thị Hoàng Oanh</t>
  </si>
  <si>
    <t>083203003229</t>
  </si>
  <si>
    <t>0947385944</t>
  </si>
  <si>
    <t>52/1 ấp Thạnh Mỹ, Xã Mỹ Hưng, Huyện Thạnh Phú - Bến Tre</t>
  </si>
  <si>
    <t>Giang Văn Thu</t>
  </si>
  <si>
    <t>Nguyễn Thị Huệ</t>
  </si>
  <si>
    <t>Trương Đức Thịnh</t>
  </si>
  <si>
    <t>052203009673</t>
  </si>
  <si>
    <t>0338070629</t>
  </si>
  <si>
    <t>89 Lê Hồng Phong, P.Bình Định, TX An Nhơn, Tỉnh Bình Định</t>
  </si>
  <si>
    <t>Trương Hùng Cường</t>
  </si>
  <si>
    <t>Ung Thị Minh Tâm</t>
  </si>
  <si>
    <t>Nguyễn Bảo Thịnh</t>
  </si>
  <si>
    <t>079203010481</t>
  </si>
  <si>
    <t>0903844683</t>
  </si>
  <si>
    <t>1242</t>
  </si>
  <si>
    <t>50/39 Lê Văn Duyệt, Phường 1, Quận Bình Thạnh, Thành phố Hồ Chí Minh</t>
  </si>
  <si>
    <t>Nguyễn Bảo Hưng</t>
  </si>
  <si>
    <t>Trương Thị Kiều Thơ</t>
  </si>
  <si>
    <t>035203001026</t>
  </si>
  <si>
    <t>0707189816</t>
  </si>
  <si>
    <t>35A Đặng Thúc Vịnh, Huyện Hóc Môn TP.HCM</t>
  </si>
  <si>
    <t>Nguyễn Văn Giáp</t>
  </si>
  <si>
    <t>Nguyễn Thị Thúy</t>
  </si>
  <si>
    <t>Kom Tum</t>
  </si>
  <si>
    <t>233325057</t>
  </si>
  <si>
    <t>0962913209</t>
  </si>
  <si>
    <t>Nguyễn Văn An, Tổ 3, Phường Ngô Mây, TP Kon Tum, tỉnh Kon Tum</t>
  </si>
  <si>
    <t>Nguyễn Văn Ninh</t>
  </si>
  <si>
    <t>Trần Thị HIền</t>
  </si>
  <si>
    <t>342113999</t>
  </si>
  <si>
    <t>0762121239</t>
  </si>
  <si>
    <t>1220</t>
  </si>
  <si>
    <t>tổ 12, ấp Bình Hòa Thượng, xã Thường Thới Hậu A, huyện Hồng Ngự, tỉnh Đồng Tháp</t>
  </si>
  <si>
    <t>Hồ Minh Sang</t>
  </si>
  <si>
    <t>Trần Tuyết Hạnh</t>
  </si>
  <si>
    <t>Nguyễn Xuân Bách</t>
  </si>
  <si>
    <t>044203006339</t>
  </si>
  <si>
    <t>0849024612</t>
  </si>
  <si>
    <t>TDP Cầu, Phường Quảng Thuận, Thị xã Ba Đồn - Quảng Bình</t>
  </si>
  <si>
    <t>Nguyễn Đức Tùng</t>
  </si>
  <si>
    <t>Đoàn Thị Thái</t>
  </si>
  <si>
    <t>Lê Văn Bảo</t>
  </si>
  <si>
    <t>251317612</t>
  </si>
  <si>
    <t>0363859458</t>
  </si>
  <si>
    <t>62/28 Tố Hữu , Phường Lộc Sơn, Thành phố Bảo Lộc, Lâm Đồng</t>
  </si>
  <si>
    <t>Lê Văn Bồng</t>
  </si>
  <si>
    <t>Nguyễn Thị Xuân</t>
  </si>
  <si>
    <t>Đặng Khánh Duy</t>
  </si>
  <si>
    <t>074203006573</t>
  </si>
  <si>
    <t>0908566842</t>
  </si>
  <si>
    <t>Đặng Khánh Duy - SĐT: 0568018898 - 10/6 kp Đông A, Phường Đông Hoà, Tp Dĩ An, tỉnh Bình Dương</t>
  </si>
  <si>
    <t>ĐẶng Quang Vinh</t>
  </si>
  <si>
    <t>Lý Ngọc HƯơng</t>
  </si>
  <si>
    <t>Thái Văn Hiếu</t>
  </si>
  <si>
    <t>066203008444</t>
  </si>
  <si>
    <t>0358379635</t>
  </si>
  <si>
    <t>Trường THPT Buôn Đôn - Buôn Đôn - Đắk Lắk</t>
  </si>
  <si>
    <t>Thái Văn Đức</t>
  </si>
  <si>
    <t>Vũ Thị Tám</t>
  </si>
  <si>
    <t>Phan Công Hiếu</t>
  </si>
  <si>
    <t>Hà Tĩnh</t>
  </si>
  <si>
    <t>042203005726</t>
  </si>
  <si>
    <t>0352472966</t>
  </si>
  <si>
    <t>Nguyễn Thị Hồng Thắm, Thôn Đông Dũng, xã An Dũng, huyện Đức Thọ, tỉnh Hà Tĩnh</t>
  </si>
  <si>
    <t>Phan Viết Trung</t>
  </si>
  <si>
    <t>Nguyễn Thị Hồng Thắm</t>
  </si>
  <si>
    <t>Đặng Nguyễn Minh Hoàng</t>
  </si>
  <si>
    <t>022203000021</t>
  </si>
  <si>
    <t>Cục trưởng cục cảnh sát quản lý về trật tự xã hội</t>
  </si>
  <si>
    <t>0389687167</t>
  </si>
  <si>
    <t>1406</t>
  </si>
  <si>
    <t>70/5 đường 339, tổ 4, khu phố 5, phường Phước Long B, thành phố Thủ Đức, thành phố Hồ Chí Minh</t>
  </si>
  <si>
    <t>Đặng Minh Thuyên</t>
  </si>
  <si>
    <t>Nguyễn Thu HIền</t>
  </si>
  <si>
    <t>Đổng Tháp</t>
  </si>
  <si>
    <t>087203001477</t>
  </si>
  <si>
    <t>0765944488</t>
  </si>
  <si>
    <t>Nguyễn Thanh Tùng</t>
  </si>
  <si>
    <t>Phạm Thị Bích Ngọc</t>
  </si>
  <si>
    <t>051203001683</t>
  </si>
  <si>
    <t>0913713531</t>
  </si>
  <si>
    <t>Nguyễn Chấn Hưng, 0913713531, Hẻm 06/02 Quang Trung, TP Quảng Ngãi, Tỉnh Quảng Ngãi</t>
  </si>
  <si>
    <t>Nguyễn Duy Nhất</t>
  </si>
  <si>
    <t>Phạm Thị Kim Thức</t>
  </si>
  <si>
    <t>Lê Tấn Hưng</t>
  </si>
  <si>
    <t>079203022691</t>
  </si>
  <si>
    <t>0338700741</t>
  </si>
  <si>
    <t>400</t>
  </si>
  <si>
    <t>31a/16 ĐƯỜNG SỐ 3A Phường Bình Hưng Hoà A quận bình tân tphcm</t>
  </si>
  <si>
    <t>Lê Tấn Thuận</t>
  </si>
  <si>
    <t>Nguyễn Thị Thu Trinh</t>
  </si>
  <si>
    <t xml:space="preserve">Quyết định quay trở lại trường - Ngày 09/04/2024; Quyết định tam ngừng học - Ngày 15/05/2024; Quyết định quay trở lại trường - Ngày 14/01/2025; Quyết định tam ngừng học - Ngày 19/09/2023; </t>
  </si>
  <si>
    <t>Đak Nông</t>
  </si>
  <si>
    <t>245467124</t>
  </si>
  <si>
    <t>0944220767</t>
  </si>
  <si>
    <t>Nguyễn Công Huy, Tổ 4, Nghĩa Đức, Gia Nghĩa, Đăk Nông</t>
  </si>
  <si>
    <t>Nguyễn Công Lương</t>
  </si>
  <si>
    <t>Nguyễn Thị Hiếu</t>
  </si>
  <si>
    <t>Võ Trần Luân</t>
  </si>
  <si>
    <t>072203002752</t>
  </si>
  <si>
    <t>0373672045</t>
  </si>
  <si>
    <t>Võ Trần Luân, SĐT  0373627045, ĐC  237/94 Phạm Văn Chiêu, Phường 14,, Quận Gò Vấp - Tp. Hồ Chí Minh</t>
  </si>
  <si>
    <t>Võ Văn Phước</t>
  </si>
  <si>
    <t>Trần Thị Uyên</t>
  </si>
  <si>
    <t>079303013104</t>
  </si>
  <si>
    <t>0789758065</t>
  </si>
  <si>
    <t>998/32 Quang Trung, P8, Gò Vấp</t>
  </si>
  <si>
    <t>Trương Công Tùng</t>
  </si>
  <si>
    <t>Nguyễn Thị Ngọc Hạnh</t>
  </si>
  <si>
    <t>Huỳnh Hữu Mừng</t>
  </si>
  <si>
    <t>382005083</t>
  </si>
  <si>
    <t>0916660683</t>
  </si>
  <si>
    <t>1230</t>
  </si>
  <si>
    <t>huyện Năm Căn, tỉnh Cà Mau</t>
  </si>
  <si>
    <t>Huỳnh Hữu Sum</t>
  </si>
  <si>
    <t>Trần Thùy Trang</t>
  </si>
  <si>
    <t>091203002300</t>
  </si>
  <si>
    <t>0338053890</t>
  </si>
  <si>
    <t>Nguyễn Trường Nghĩa - 0338053890 - Số 2/8, tổ 10, Khu phố Thạch Động, P. Mỹ Đức, Tp. Hà Tiên, Kiên Giang</t>
  </si>
  <si>
    <t>Nguyễn Văn HIệp</t>
  </si>
  <si>
    <t>Nguyễn Thu Mỹ</t>
  </si>
  <si>
    <t>Nguyễn Kiều Duy Ngọc</t>
  </si>
  <si>
    <t>034203010715</t>
  </si>
  <si>
    <t>0965186079</t>
  </si>
  <si>
    <t>1232</t>
  </si>
  <si>
    <t>632 Phạm Văn Bạch, Phường 12, Q Gò Vấp, TP HCM</t>
  </si>
  <si>
    <t>Nguyễn Duy Ngọ</t>
  </si>
  <si>
    <t>Kiều Hồng Nhung</t>
  </si>
  <si>
    <t>Nguyễn Nam Nhân</t>
  </si>
  <si>
    <t>221537100</t>
  </si>
  <si>
    <t>0937587762</t>
  </si>
  <si>
    <t>Nguyễn Nam Nhân, 0937587762, 242/2 Nguyễn Thiện Thuật, Phường 3, Quận 3, Tp.Hồ Chí Minh</t>
  </si>
  <si>
    <t>Nguyễn Hữu Ngân</t>
  </si>
  <si>
    <t>Nguyễn Thị Thanh Huyền</t>
  </si>
  <si>
    <t>Phạm Lê Minh Phúc</t>
  </si>
  <si>
    <t>089202011697</t>
  </si>
  <si>
    <t>0944266429</t>
  </si>
  <si>
    <t>Phật giáo Hoà Hảo</t>
  </si>
  <si>
    <t>458 tổ 9 ấp long thạnh 2 xã Long hoà huyện phú tân tỉnh an giang</t>
  </si>
  <si>
    <t>Phạm Văn Quới</t>
  </si>
  <si>
    <t>094 574 77 64</t>
  </si>
  <si>
    <t>Lê Thị Diệu Thúy</t>
  </si>
  <si>
    <t>Phan Minh Quân</t>
  </si>
  <si>
    <t>Tp.Vũng Tàu</t>
  </si>
  <si>
    <t>077203007573</t>
  </si>
  <si>
    <t>0372214268</t>
  </si>
  <si>
    <t>855/F6 Bình Giã - Phường 10, Thành phố Vũng Tàu - Bà Rịa-Vũng Tàu</t>
  </si>
  <si>
    <t>Phan Văn Hùng</t>
  </si>
  <si>
    <t>Nguyễn Thị Thu Hà</t>
  </si>
  <si>
    <t>Tăng Phước Sang</t>
  </si>
  <si>
    <t>070203003401</t>
  </si>
  <si>
    <t>Cục cảnh sát</t>
  </si>
  <si>
    <t>0963734484</t>
  </si>
  <si>
    <t>1239</t>
  </si>
  <si>
    <t>Khu Phố Bình Giang 1 Phường Sơn Giang Thị Xã Phước Long Tỉnh Bình Phước</t>
  </si>
  <si>
    <t>Tăng Phước Giàu</t>
  </si>
  <si>
    <t>Huỳnh Thị Diệp</t>
  </si>
  <si>
    <t>079203012598</t>
  </si>
  <si>
    <t>0967045703</t>
  </si>
  <si>
    <t>NGUYỄN HẢI SƠN - địa chỉ:  101 Ấp Bàu Tre 1- Xã Tân An Hội, Ấp Bàu Tre 1, Xã Tân An Hội, H.Củ Chi, TP.HCM</t>
  </si>
  <si>
    <t>Ngueyẽn Hải Bình</t>
  </si>
  <si>
    <t>Bùi Thị Lư</t>
  </si>
  <si>
    <t>Nguyễn Hồng Sơn</t>
  </si>
  <si>
    <t>096203000014</t>
  </si>
  <si>
    <t>0937190568</t>
  </si>
  <si>
    <t>Bình Tân</t>
  </si>
  <si>
    <t>Nguyễn Văn Quyên</t>
  </si>
  <si>
    <t>Dương Thị Hương</t>
  </si>
  <si>
    <t>Vũ Đức Thiện</t>
  </si>
  <si>
    <t>034202007751</t>
  </si>
  <si>
    <t>0399062400</t>
  </si>
  <si>
    <t>1241</t>
  </si>
  <si>
    <t>37/32/9/11 Lâm Thị Hố,Phường Tân Chánh Hiệp, Quận 12, Thành phố Hồ Chí Minh</t>
  </si>
  <si>
    <t>Vũ Văn Long</t>
  </si>
  <si>
    <t>Phạm Thị Mão</t>
  </si>
  <si>
    <t>Lưu Anh Thơ</t>
  </si>
  <si>
    <t>221524094</t>
  </si>
  <si>
    <t>0865777208</t>
  </si>
  <si>
    <t>Khu phố 5, Phường Phú Lâm, TP Tuy Hòa, Phú Yên</t>
  </si>
  <si>
    <t>Lưu Anh Hào</t>
  </si>
  <si>
    <t>NguyễnThị Thu Thi</t>
  </si>
  <si>
    <t>BÌnh Định</t>
  </si>
  <si>
    <t>215578179</t>
  </si>
  <si>
    <t>0975259312</t>
  </si>
  <si>
    <t>Phạm Văn Trọng</t>
  </si>
  <si>
    <t>Trà Thị Hiếu</t>
  </si>
  <si>
    <t>Lê Huy Thông</t>
  </si>
  <si>
    <t>042203001902</t>
  </si>
  <si>
    <t>0896512445</t>
  </si>
  <si>
    <t>1243</t>
  </si>
  <si>
    <t>ngõ 108,đường liên xã trung hạ -xóm đông đoài -xã thạch hạ -thành phố hà tĩnh - tỉnh hà tĩnh</t>
  </si>
  <si>
    <t>Lê Ngọc</t>
  </si>
  <si>
    <t>Võ Thị Thủy</t>
  </si>
  <si>
    <t>066203008536</t>
  </si>
  <si>
    <t>0968166276</t>
  </si>
  <si>
    <t>1244</t>
  </si>
  <si>
    <t>Buôn trang Eablang buôn hồ đắk lắk</t>
  </si>
  <si>
    <t>Nguyễn Văn Thiên</t>
  </si>
  <si>
    <t>Lê Thị Thu</t>
  </si>
  <si>
    <t>Đặng Cao Trí</t>
  </si>
  <si>
    <t>079202005033</t>
  </si>
  <si>
    <t>0896458675</t>
  </si>
  <si>
    <t>1418</t>
  </si>
  <si>
    <t>1013B,Nguyễn Duy Trinh,Tổ 1,Khu Phố 1,Phường Phú Hữu,Quận 9</t>
  </si>
  <si>
    <t>Đặng Văn Tâm</t>
  </si>
  <si>
    <t>Võ Thị Thúy Hằng</t>
  </si>
  <si>
    <t>Nguyễn Viết Xuân</t>
  </si>
  <si>
    <t>066203003193</t>
  </si>
  <si>
    <t>0941222916</t>
  </si>
  <si>
    <t>Thôn 7 - Xã Hòa Lễ - Huyện Krông Bông - Đắk Lắk</t>
  </si>
  <si>
    <t>Nguyễn Viết Minh</t>
  </si>
  <si>
    <t>Nguyễn Thị Thúy Dung</t>
  </si>
  <si>
    <t>BV Khánh Hòa</t>
  </si>
  <si>
    <t>056203003903</t>
  </si>
  <si>
    <t>0384747739</t>
  </si>
  <si>
    <t>Thôn Tây Nam 1, Xã Đại Lãnh, Huyện Vạn Ninh, Tỉnh Khánh Hoà</t>
  </si>
  <si>
    <t>Hồ Tấn Đức</t>
  </si>
  <si>
    <t>Nguyễn Thị Kim Thanh</t>
  </si>
  <si>
    <t xml:space="preserve">Quyết định chuyển Khóa - Ngành - Lớp - Ngày 07/01/2022; Quyết định tam ngừng học - Ngày 23/05/2024; Quyết định quay trở lại trường - Ngày 22/08/2025; Quyết định tam ngừng học - Ngày 26/03/2025; </t>
  </si>
  <si>
    <t>Dương An Bình</t>
  </si>
  <si>
    <t>BV Từ Dũ, Tp.HCM</t>
  </si>
  <si>
    <t>079202032796</t>
  </si>
  <si>
    <t>cục trưởng cục cảnh sát quản lí hành chính về trật tự xã hội</t>
  </si>
  <si>
    <t>0906645397</t>
  </si>
  <si>
    <t>115D Trần Quốc Thảo, Phường 7, Quận 3, TP.HCM</t>
  </si>
  <si>
    <t>Dương Vĩnh Huê</t>
  </si>
  <si>
    <t>Nguyễn Thị Châu Huyền</t>
  </si>
  <si>
    <t xml:space="preserve">Quyết định quay trở lại trường - Ngày 16/04/2024; Quyết định tam ngừng học - Ngày 16/03/2023; Quyết định tam ngừng học - Ngày 27/12/2023; Quyết định quay trở lại trường - Ngày 27/12/2024; Quyết định nghỉ học tạm thời - Ngày 15/05/2024; Quyết định quay trở lại trường - Ngày 17/10/2023; Quyết định chuyển Khóa - Ngành - Lớp - Ngày 07/01/2022; </t>
  </si>
  <si>
    <t>Lê Thành Công</t>
  </si>
  <si>
    <t>225967889</t>
  </si>
  <si>
    <t>0702506667</t>
  </si>
  <si>
    <t>1374</t>
  </si>
  <si>
    <t>Thôn Ngọc Sơn xã Ninh An thị xã Ninh Hoà tỉnh Khánh Hoà</t>
  </si>
  <si>
    <t>Lê Công Thành</t>
  </si>
  <si>
    <t>Hồ Thị Ngọc Anh</t>
  </si>
  <si>
    <t>Quyết định chuyển Khóa - Ngành - Lớp - Ngày 07/01/2022</t>
  </si>
  <si>
    <t>0989298349</t>
  </si>
  <si>
    <t>22 đường 3 phước thiện phường long bình q9</t>
  </si>
  <si>
    <t>Nguyễn Văn Chung</t>
  </si>
  <si>
    <t>BV Hùng Vương, Tp.HCM</t>
  </si>
  <si>
    <t>079203036501</t>
  </si>
  <si>
    <t>0796975293</t>
  </si>
  <si>
    <t>A18/3A đường 1A, xã Vĩnh Lộc B, huyện Bình Chánh, Tp. Hồ Chí Minh</t>
  </si>
  <si>
    <t>Võ Công Minh</t>
  </si>
  <si>
    <t>HUỳnh Kim Ngọc</t>
  </si>
  <si>
    <t>Nguyễn Châu Minh Nghĩa</t>
  </si>
  <si>
    <t>MI0200655370</t>
  </si>
  <si>
    <t>0856663379</t>
  </si>
  <si>
    <t>563A Nguyễn Trãi, P. 7, Q. 5</t>
  </si>
  <si>
    <t>Châu Thị Bích Liễu</t>
  </si>
  <si>
    <t>Biện Thành Nghĩa</t>
  </si>
  <si>
    <t>072203008717</t>
  </si>
  <si>
    <t>0332319363</t>
  </si>
  <si>
    <t>1184</t>
  </si>
  <si>
    <t>Số 8 - Hẻm 57 - ĐS.20 - Bời Lời - Khu Phố Ninh Trung, Phường Ninh Sơn, TP. Tây Ninh</t>
  </si>
  <si>
    <t xml:space="preserve">Quyết định quay trở lại trường - Ngày 03/01/2024; Quyết định nghỉ học tạm thời - Ngày 23/10/2024; Quyết định quay trở lại trường - Ngày 05/08/2024; Quyết định tam ngừng học - Ngày 21/05/2024; Quyết định nghỉ học tạm thời - Ngày 19/09/2023; Quyết định chuyển Khóa - Ngành - Lớp - Ngày 07/01/2022; Quyết định quay trở lại trường - Ngày 25/02/2025; </t>
  </si>
  <si>
    <t>0836212100</t>
  </si>
  <si>
    <t>Nhà số 2 đường 32, thôn 3 , Vũ Hòa , Đức Linh , Bình Thuận</t>
  </si>
  <si>
    <t>Khiếu Xuân Vượng</t>
  </si>
  <si>
    <t>Phạm Thị Nội</t>
  </si>
  <si>
    <t>Trịnh Trường Thịnh</t>
  </si>
  <si>
    <t>BV ĐK Tây Ninh</t>
  </si>
  <si>
    <t>072203005977</t>
  </si>
  <si>
    <t>0914381235</t>
  </si>
  <si>
    <t>Trịnh Trường Thịnh, Lớp 12C4 Trường THPT Tân Hưng, Ấp Tân Tây, xã Tân Hưng, huyện Tân Châu , tỉnh Tây Ninh</t>
  </si>
  <si>
    <t>Trịnh Văn Dũng</t>
  </si>
  <si>
    <t>Nguyễn Thị Mỹ Linh</t>
  </si>
  <si>
    <t xml:space="preserve">Quyết định quay trở lại trường - Ngày 21/02/2025; Quyết định tam ngừng học - Ngày 25/09/2024; Quyết định tam ngừng học - Ngày 01/11/2023; Quyết định chuyển Khóa - Ngành - Lớp - Ngày 07/01/2022; Quyết định quay trở lại trường - Ngày 22/08/2024; </t>
  </si>
  <si>
    <t>Huỳnh Trí Tôn</t>
  </si>
  <si>
    <t>087203000715</t>
  </si>
  <si>
    <t>0378425570</t>
  </si>
  <si>
    <t>Huỳnh Trí Tôn, 0378425570, số 240B, ấp 1, xã An Hòa, Huyện Tam Nông - Đồng Tháp</t>
  </si>
  <si>
    <t>Huỳnh Trí Tính</t>
  </si>
  <si>
    <t>0359723122</t>
  </si>
  <si>
    <t>Huỳnh Thị Vân</t>
  </si>
  <si>
    <t>0869686423</t>
  </si>
  <si>
    <t xml:space="preserve">Quyết định quay trở lại trường - Ngày 17/02/2025; Quyết định chuyển Khóa - Ngành - Lớp - Ngày 07/01/2022; Quyết định quay trở lại trường - Ngày 22/01/2024; Quyết định tam ngừng học - Ngày 26/09/2024; Quyết định tam ngừng học - Ngày 04/10/2023; </t>
  </si>
  <si>
    <t>034203011728</t>
  </si>
  <si>
    <t>0389237130</t>
  </si>
  <si>
    <t>909 Tạ Quang Bửu Phường 5 Quận 8 Tp. Hồ Chí Minh</t>
  </si>
  <si>
    <t>Nguyễn Quang Trung</t>
  </si>
  <si>
    <t>Trần Thị Lên</t>
  </si>
  <si>
    <t>Khoa Kỹ thuật tài nguyên nước</t>
  </si>
  <si>
    <t>Nguyễn Thành Đạt</t>
  </si>
  <si>
    <t>261657224</t>
  </si>
  <si>
    <t>0942179328</t>
  </si>
  <si>
    <t>Trường THCS&amp;THPT Lê Lợi, 111, Nguyễn Hội, Phường Phú Trinh, Tp. Phan Thiết, tỉnh Bình Thuận</t>
  </si>
  <si>
    <t>Nguyễn Thành Chương</t>
  </si>
  <si>
    <t>Nguyễn MInh Thủy</t>
  </si>
  <si>
    <t>Quy Nhơn</t>
  </si>
  <si>
    <t>215587574</t>
  </si>
  <si>
    <t>0396144830</t>
  </si>
  <si>
    <t>12/32 Trần Thị Kỷ, Quy Nhơn, Bình Định</t>
  </si>
  <si>
    <t>Nguyễn Đây</t>
  </si>
  <si>
    <t>Diệp Thị Xuân Diệu</t>
  </si>
  <si>
    <t>187737211</t>
  </si>
  <si>
    <t>0969954935</t>
  </si>
  <si>
    <t>1378</t>
  </si>
  <si>
    <t>Xóm 7 diễn nguyên diễn châu nghệ an</t>
  </si>
  <si>
    <t>Nguyễn Xuân Huệ</t>
  </si>
  <si>
    <t>Đào Thị Lan</t>
  </si>
  <si>
    <t>225834507</t>
  </si>
  <si>
    <t>0869209430</t>
  </si>
  <si>
    <t>Phú Thịnh-Cam Phú-Cam Ranh-Khánh Hòa</t>
  </si>
  <si>
    <t>Võ Long Thuận</t>
  </si>
  <si>
    <t>Võ Thị Mới</t>
  </si>
  <si>
    <t>Lê Nguyễn Tấn Lộc</t>
  </si>
  <si>
    <t>079203029229</t>
  </si>
  <si>
    <t>0906763764</t>
  </si>
  <si>
    <t>1182</t>
  </si>
  <si>
    <t>191 tổ 8 , ấp Lương Ngãi , xã Mỹ Lương , huyện Cái Bè , tỉnh Tiền Giang</t>
  </si>
  <si>
    <t>Lê Tấn Tài</t>
  </si>
  <si>
    <t xml:space="preserve">Quyết định quay trở lại trường - Ngày 26/08/2024; Quyết định chuyển Khóa - Ngành - Lớp - Ngày 07/01/2022; Quyết định tam ngừng học - Ngày 01/11/2023; </t>
  </si>
  <si>
    <t>272982312</t>
  </si>
  <si>
    <t>0988029094</t>
  </si>
  <si>
    <t>1381</t>
  </si>
  <si>
    <t>15 đường số 3, xã Xuân Định, huyện Xuân Lộc, tỉnh Đồng Nai</t>
  </si>
  <si>
    <t>Trần Minh Khôi</t>
  </si>
  <si>
    <t>Lâm Thị Hồng Vân</t>
  </si>
  <si>
    <t>321634052</t>
  </si>
  <si>
    <t>0379425350</t>
  </si>
  <si>
    <t>357</t>
  </si>
  <si>
    <t>122A ấp Hòa Chánh, Xã Sơn Hòa, Huyện Châu Thành, Bến Tre</t>
  </si>
  <si>
    <t>Nguyễn Thị Mỹ Chi</t>
  </si>
  <si>
    <t>0934351151</t>
  </si>
  <si>
    <t>129/6/46 tl15 phường Thạnh Lộc. Quận 12.tphcm</t>
  </si>
  <si>
    <t>Hồ Văn Hồng Khanh</t>
  </si>
  <si>
    <t>Lê Thị Bạch Tuyết</t>
  </si>
  <si>
    <t>Vũ Đức Thông</t>
  </si>
  <si>
    <t>272953800</t>
  </si>
  <si>
    <t>0973259140</t>
  </si>
  <si>
    <t>1384</t>
  </si>
  <si>
    <t>443/2 Gia Yên, Xã Gia Tân 3, Huyện Thống Nhất, Tỉnh Đồng Nai</t>
  </si>
  <si>
    <t>Vũ Công Đình</t>
  </si>
  <si>
    <t>Nguyễn Thị Thanh Thu</t>
  </si>
  <si>
    <t>064203000862</t>
  </si>
  <si>
    <t>0901920510</t>
  </si>
  <si>
    <t>Nguyễn Quốc Toàn, 0901920510, 93A Phạm Hồng Thái, Ayun Pa, Gia Lai</t>
  </si>
  <si>
    <t>Nguyễn Quỳnh Tân</t>
  </si>
  <si>
    <t>Trần Thị Lệ Duyên</t>
  </si>
  <si>
    <t>Đăk Nông</t>
  </si>
  <si>
    <t>245438693</t>
  </si>
  <si>
    <t>0366689875</t>
  </si>
  <si>
    <t>Hồ Minh Trí, 0366689875, Xuyên Hải, Xã Đức Xuyên - Huyện Krông Nô - Đăk Nông</t>
  </si>
  <si>
    <t>Hồ Quốc Sử</t>
  </si>
  <si>
    <t>Trương Thị Dạ Thu</t>
  </si>
  <si>
    <t>261594917</t>
  </si>
  <si>
    <t>0925099640</t>
  </si>
  <si>
    <t>Nguyễn Tuấn Trúc</t>
  </si>
  <si>
    <t>Lê Thị Hương</t>
  </si>
  <si>
    <t>072203004028</t>
  </si>
  <si>
    <t>0964267957</t>
  </si>
  <si>
    <t>NGUYỄN THẾ VINH, LỚP 12C7, TRƯỜNG THPT LÊ QUÝ ĐÔN, 412 LẠC LONG QUÂN, KHU PHỐ 4, PHƯỜNG 4, THÀNH PHỐ TÂY NINH, TỈNH TÂY NINH</t>
  </si>
  <si>
    <t>Nguyễn văn Thắng</t>
  </si>
  <si>
    <t>Phan CẩmVân</t>
  </si>
  <si>
    <t xml:space="preserve">Quyết định tam ngừng học - Ngày 23/11/2023; Quyết định quay trở lại trường - Ngày 22/10/2024; Quyết định chuyển Khóa - Ngành - Lớp - Ngày 07/01/2022; Quyết định tam ngừng học - Ngày 10/05/2024; Quyết định quay trở lại trường - Ngày 17/04/2024; </t>
  </si>
  <si>
    <t>Đoàn Trường Vũ</t>
  </si>
  <si>
    <t>079203035217</t>
  </si>
  <si>
    <t>0768762264</t>
  </si>
  <si>
    <t>38 Hà Bá Tường - Phường 12 - Quận Tân Bình - Thành phố Hồ Chí Minh</t>
  </si>
  <si>
    <t>074203006994</t>
  </si>
  <si>
    <t>0366464596</t>
  </si>
  <si>
    <t>1387</t>
  </si>
  <si>
    <t>139/2 khu phố Thạnh Hòa B phường An Thạnh thành phố Thuận An tỉnh Bình Dương</t>
  </si>
  <si>
    <t>070203007700</t>
  </si>
  <si>
    <t>0968259843</t>
  </si>
  <si>
    <t>Ấp 7 xã Đắc Lua huyện Tân Phú tỉnh Đồng Nai</t>
  </si>
  <si>
    <t>184477706</t>
  </si>
  <si>
    <t>0891740999</t>
  </si>
  <si>
    <t>1388</t>
  </si>
  <si>
    <t>176A Nguyễn Du, thành phố Hà Tĩnh, Hà Tĩnh</t>
  </si>
  <si>
    <t>Đinh Việt Dũng</t>
  </si>
  <si>
    <t>Kiều Thị Mai HƯơng</t>
  </si>
  <si>
    <t>095303000241</t>
  </si>
  <si>
    <t>0843073529</t>
  </si>
  <si>
    <t>Giá Tiểu, Hưng Hội, Huyện Vĩnh Lợi, Bạc Liêu</t>
  </si>
  <si>
    <t>038203011991</t>
  </si>
  <si>
    <t>0902078097</t>
  </si>
  <si>
    <t>Thôn 5, Xã Văn Sơn, Huyện Triệu Sơn, Thanh Hoá</t>
  </si>
  <si>
    <t>Lê Thị Duyên</t>
  </si>
  <si>
    <t>0333020442</t>
  </si>
  <si>
    <t>78/3 ấp Xương Thạnh A, xã Thới Thạnh, huyện Thạnh Phú, tỉnh Bến Tre</t>
  </si>
  <si>
    <t>Nguyễn Văn Hoàng</t>
  </si>
  <si>
    <t>Lê Ngọc Ảnh</t>
  </si>
  <si>
    <t>251345383</t>
  </si>
  <si>
    <t>0388591101</t>
  </si>
  <si>
    <t>Mạc Thiên Chương, Diom B, Xã Lạc Xuân - Huyện Đơn Dương - Lâm Đồng</t>
  </si>
  <si>
    <t>Mạc Duy Phương</t>
  </si>
  <si>
    <t>Phạm Thị Ngọc Lý</t>
  </si>
  <si>
    <t>060203003231</t>
  </si>
  <si>
    <t>008745011</t>
  </si>
  <si>
    <t>1389</t>
  </si>
  <si>
    <t>2/10 Khu phố Phú Hoà, thị trấn Phú Long, Hàm Thuận Bắc, Bình Thuận</t>
  </si>
  <si>
    <t>Châu Mạnh Hùng</t>
  </si>
  <si>
    <t>087203009827</t>
  </si>
  <si>
    <t>0379563625</t>
  </si>
  <si>
    <t>Nguyễn Cao Minh Đạt, 0379563625, 47 đường Trần Tế Xương,  Xã Hòa An, Thành phố Cao Lãnh, Đồng Tháp</t>
  </si>
  <si>
    <t>Cao Thị Minh Thy</t>
  </si>
  <si>
    <t>241947060</t>
  </si>
  <si>
    <t>0946085579</t>
  </si>
  <si>
    <t>40/3 Trần Văn Phụ, P. Tân Lợi, Tp Buôn Ma Thuột, Đắk Lắk</t>
  </si>
  <si>
    <t>Phạm Ngọc Thành</t>
  </si>
  <si>
    <t>Nguyễn Thị Tấm</t>
  </si>
  <si>
    <t>Võ Lê Anh Dương</t>
  </si>
  <si>
    <t>212903918</t>
  </si>
  <si>
    <t>0963222255</t>
  </si>
  <si>
    <t>VÕ LÊ ANH DƯƠNG,0387551525, KDC 11, Thôn 3, Đức Tân, Huyện Mộ Đức - Quảng Ngãi</t>
  </si>
  <si>
    <t>Võ Văn Lươm</t>
  </si>
  <si>
    <t>Lê Thị Thường</t>
  </si>
  <si>
    <t>082203000663</t>
  </si>
  <si>
    <t>0939667429</t>
  </si>
  <si>
    <t>1196</t>
  </si>
  <si>
    <t>Ấp Phú An xã An Phú Thuận huyện Châu Thành tỉnh Đồng Tháp</t>
  </si>
  <si>
    <t>Lê Văn Sĩ</t>
  </si>
  <si>
    <t>Trương Thị Trúc Giang</t>
  </si>
  <si>
    <t>Bùi Khắc Hiếu</t>
  </si>
  <si>
    <t>070203001365</t>
  </si>
  <si>
    <t>0967995137</t>
  </si>
  <si>
    <t>1391</t>
  </si>
  <si>
    <t>ấp6 xã Tân Thành thành phố Đồng Xoài tỉnh Binh Phước</t>
  </si>
  <si>
    <t>Bùi Khắc Quang</t>
  </si>
  <si>
    <t>Kiều Thị Nhài</t>
  </si>
  <si>
    <t>231367844</t>
  </si>
  <si>
    <t>0975535557</t>
  </si>
  <si>
    <t>1198</t>
  </si>
  <si>
    <t>14/10 Phạm Hồng Thái</t>
  </si>
  <si>
    <t>Đặng Xuân Thu</t>
  </si>
  <si>
    <t>Trịnh Thị Huyền</t>
  </si>
  <si>
    <t>215619916</t>
  </si>
  <si>
    <t>0389760974</t>
  </si>
  <si>
    <t>1199</t>
  </si>
  <si>
    <t>Xóm Bắc, Thuận Hoà, Bình Tân, Tây Sơn, Bình Định</t>
  </si>
  <si>
    <t>Hồ Đức Sò</t>
  </si>
  <si>
    <t>Ngô Thị Thanh Hà</t>
  </si>
  <si>
    <t>075203014511</t>
  </si>
  <si>
    <t>0325904155</t>
  </si>
  <si>
    <t>1392</t>
  </si>
  <si>
    <t>tổ 2 ấp bầu cối xuân bắ xuân lộc đồng nai</t>
  </si>
  <si>
    <t>Lê Đắc Đoan</t>
  </si>
  <si>
    <t>Đoàn Thị Hạnh</t>
  </si>
  <si>
    <t>281329426</t>
  </si>
  <si>
    <t>0964560935</t>
  </si>
  <si>
    <t>1394</t>
  </si>
  <si>
    <t>306/1A, Khu phố Thanh Bình, P. An Thạnh, Tp. Thuận An, tỉnh Bình Dương</t>
  </si>
  <si>
    <t>Nguyễn Hữu Định</t>
  </si>
  <si>
    <t>Hà Thu Bửu</t>
  </si>
  <si>
    <t>0326747514</t>
  </si>
  <si>
    <t>Thôn 2 xã yang bắc huyện Đak pơ</t>
  </si>
  <si>
    <t>Phạm Quốc Khải</t>
  </si>
  <si>
    <t>083203005473</t>
  </si>
  <si>
    <t>0328246173</t>
  </si>
  <si>
    <t>1395</t>
  </si>
  <si>
    <t>Ấp 8, xã Thạnh Hải, huyện Thạnh Phú, tỉnh Bến Tre</t>
  </si>
  <si>
    <t>Phạm Quốc Hùng</t>
  </si>
  <si>
    <t>Lưu Thị Trinh</t>
  </si>
  <si>
    <t>Lê Nhựt Khang</t>
  </si>
  <si>
    <t>083203002669</t>
  </si>
  <si>
    <t>0889843770</t>
  </si>
  <si>
    <t>1200</t>
  </si>
  <si>
    <t>83/9 ấp Thạnh Trị Thượng, Mỹ Hưng, Thạnh Phú, Bến Tre</t>
  </si>
  <si>
    <t>Lê Văn Dưỡng</t>
  </si>
  <si>
    <t>Đặng Thị Ngọc Bích</t>
  </si>
  <si>
    <t xml:space="preserve">Quyết định quay trở lại trường - Ngày 16/04/2024; Quyết định tam ngừng học - Ngày 19/10/2023; </t>
  </si>
  <si>
    <t>Huỳnh Khanh</t>
  </si>
  <si>
    <t>352741431</t>
  </si>
  <si>
    <t>0915539812</t>
  </si>
  <si>
    <t>12D, PT Thực hành Sư phạm, số 25, Võ Thị Sáu, Đông Xuyên, Long Xuyên, An Giang</t>
  </si>
  <si>
    <t>Huỳnh Ngọc BÌnh</t>
  </si>
  <si>
    <t>Lê Thị Thơm</t>
  </si>
  <si>
    <t xml:space="preserve">Quyết định quay trở lại trường - Ngày 16/01/2025; Quyết định tam ngừng học - Ngày 29/03/2024; </t>
  </si>
  <si>
    <t>Phạm Nhật Khiêm</t>
  </si>
  <si>
    <t>225826375</t>
  </si>
  <si>
    <t>0967150103</t>
  </si>
  <si>
    <t>1202</t>
  </si>
  <si>
    <t>Lộc Trường , Cam Lộc , Cam Ranh , Khánh Hòa</t>
  </si>
  <si>
    <t>Phạm Hoàng Kha</t>
  </si>
  <si>
    <t>Nguyễn Thị Thu Hoa</t>
  </si>
  <si>
    <t>079203038194</t>
  </si>
  <si>
    <t>0933993207</t>
  </si>
  <si>
    <t>Nguyễn Anh Khoa, 25/2 A Nguyễn Đôn Tiết khu phố 2, Phường Cát Lái,Tp.Thủ Đức (Q2),Thành phố Hồ Chí Minh</t>
  </si>
  <si>
    <t>Nguyễn Văn Lên</t>
  </si>
  <si>
    <t>Phạm Hồng Em</t>
  </si>
  <si>
    <t>Phạm Xuân Khuê</t>
  </si>
  <si>
    <t>044202005294</t>
  </si>
  <si>
    <t>0812745585</t>
  </si>
  <si>
    <t>1203</t>
  </si>
  <si>
    <t>tổ dân phố 2, thị trấn lệ ninh, huyện lệ thủy, tỉnh quảng bình</t>
  </si>
  <si>
    <t>Phạm Văn Diện</t>
  </si>
  <si>
    <t>Nguyễn Thị Lệ</t>
  </si>
  <si>
    <t>382017710</t>
  </si>
  <si>
    <t>0399708757</t>
  </si>
  <si>
    <t>Nguyễn Trung Kiên, 0399708757, 22/7 đường số 4 phường Bình An, Tp. Thủ Đức, Tp. HCM</t>
  </si>
  <si>
    <t>Nguyễn Văn Cường</t>
  </si>
  <si>
    <t>Nguyễn Thị Thủy</t>
  </si>
  <si>
    <t>096203001528</t>
  </si>
  <si>
    <t>0944450418</t>
  </si>
  <si>
    <t>Cô Phan Hồng Thiểu, Trường THPT Võ Thị Hồng, Đá Bạc, Khánh Bình Tây, Trần Văn Thời, Cà Mau. SĐT 0942246424</t>
  </si>
  <si>
    <t>Huỳnh Hoài Phương</t>
  </si>
  <si>
    <t>Triệu Bé Ngoan</t>
  </si>
  <si>
    <t>Trương Hoàng Lâm</t>
  </si>
  <si>
    <t>MI0200640908</t>
  </si>
  <si>
    <t>0934728191</t>
  </si>
  <si>
    <t>55 đường 6, Kp2, Hiệp Bình Chánh, Quận Thủ Đức - Tp. Hồ Chí Minh</t>
  </si>
  <si>
    <t>Trương Quang Thọ</t>
  </si>
  <si>
    <t xml:space="preserve">Quyết định tam ngừng học - Ngày 19/10/2023; Quyết định quay trở lại trường - Ngày 16/04/2024; </t>
  </si>
  <si>
    <t>Nguyễn Tấn Lợi</t>
  </si>
  <si>
    <t>052203001739</t>
  </si>
  <si>
    <t>0365809084</t>
  </si>
  <si>
    <t>1205</t>
  </si>
  <si>
    <t>Bình Hòa, Tây Sơn, Bình Định</t>
  </si>
  <si>
    <t>Nguyễn Văn Tiếp</t>
  </si>
  <si>
    <t>Tô Thị Thu Sa</t>
  </si>
  <si>
    <t>Bùi Thái Long</t>
  </si>
  <si>
    <t>212887394</t>
  </si>
  <si>
    <t>0942850432</t>
  </si>
  <si>
    <t>1206</t>
  </si>
  <si>
    <t>Đội 4, Thôn 1, Xã nghĩa Dõng, Tp Quảng Ngãi</t>
  </si>
  <si>
    <t>Bùi Thanh Thái</t>
  </si>
  <si>
    <t>Đinh Thị Thảo Tiên</t>
  </si>
  <si>
    <t>Hậu Giang</t>
  </si>
  <si>
    <t>364186606</t>
  </si>
  <si>
    <t>0867445222</t>
  </si>
  <si>
    <t>1207</t>
  </si>
  <si>
    <t>859 Tân Kỳ Tân Quý, Bình Tân, Hồ Chí Minh</t>
  </si>
  <si>
    <t>Hồ Phước Thanh</t>
  </si>
  <si>
    <t>Trịnh Thị Thu</t>
  </si>
  <si>
    <t>Nguyễn Hoàng Minh</t>
  </si>
  <si>
    <t>072203005257</t>
  </si>
  <si>
    <t>Cục Trưởng Cục Cảnh Sát Quản Lý Hành Chính Về Trật Tự Xã Hội</t>
  </si>
  <si>
    <t>0981141352</t>
  </si>
  <si>
    <t>Nguyễn Văn Lanh ( 0983859856) Ấp B2 xã Phước Minh huyện Dương Minh Châu,Tây Ninh</t>
  </si>
  <si>
    <t>Nguyễn Văn Lanh</t>
  </si>
  <si>
    <t>0983859856</t>
  </si>
  <si>
    <t>Nguyễn Thị Mai Duyên</t>
  </si>
  <si>
    <t>0987422622</t>
  </si>
  <si>
    <t>087203006781</t>
  </si>
  <si>
    <t>0849537889</t>
  </si>
  <si>
    <t>1350</t>
  </si>
  <si>
    <t>508 tổ 14 ,ấp Hòa Lợi, xã Hòa An, Tp. Cao Lãnh,  Đồng Tháp</t>
  </si>
  <si>
    <t>Nguyễn Thành Tài</t>
  </si>
  <si>
    <t>Trần Thị Lời</t>
  </si>
  <si>
    <t>Hoàng Quốc Trung Nguyên</t>
  </si>
  <si>
    <t>035202002370</t>
  </si>
  <si>
    <t>0908493724</t>
  </si>
  <si>
    <t>Quận Tân Bình - Tp. Hồ Chí Minh</t>
  </si>
  <si>
    <t>Hoàng Văn Diễn</t>
  </si>
  <si>
    <t>Hoàng Thị Thủy</t>
  </si>
  <si>
    <t>215569867</t>
  </si>
  <si>
    <t>0398425935</t>
  </si>
  <si>
    <t>Đỗ Thành Nhân , Lớp 12A5, Thôn Mỹ An, Xã Tây Bình, Huyện Tây Sơn, Tỉnh Bình Định</t>
  </si>
  <si>
    <t>Đỗ Thành Công</t>
  </si>
  <si>
    <t>Nguyễn Thị Vũ</t>
  </si>
  <si>
    <t>Trần Tấn Phát</t>
  </si>
  <si>
    <t>Vĩnh Long</t>
  </si>
  <si>
    <t>086203010139</t>
  </si>
  <si>
    <t>0939370210</t>
  </si>
  <si>
    <t>1398</t>
  </si>
  <si>
    <t>112/26/E41 Nguyễn Chí Thanh, Khóm 1, Phường 5, Thành phố Vĩnh Long, Tỉnh Vĩnh Long</t>
  </si>
  <si>
    <t>Trần Thanh Liêm</t>
  </si>
  <si>
    <t>Đỗ Hồng Nhung</t>
  </si>
  <si>
    <t>Bà Rịa Vũng tàu</t>
  </si>
  <si>
    <t>077203007194</t>
  </si>
  <si>
    <t>0334950317</t>
  </si>
  <si>
    <t>56 Đường số 16A - Phường Bình Hưng Hòa A - Quận Bình Tân - Thành phố Hồ Chí Minh</t>
  </si>
  <si>
    <t>Giang Văn Bé</t>
  </si>
  <si>
    <t>Huỳnh Thị Nhơn</t>
  </si>
  <si>
    <t>Huỳnh Thanh Phong</t>
  </si>
  <si>
    <t>079203004753</t>
  </si>
  <si>
    <t>0934251762</t>
  </si>
  <si>
    <t>213/11A/14 Lê Đình Cẩn, P Tân Tạo, Q Bình Tân</t>
  </si>
  <si>
    <t>HUỳnh Phú Cường</t>
  </si>
  <si>
    <t>Nguyễn Thị Thanh</t>
  </si>
  <si>
    <t>Nguyễn Chung Minh Phú</t>
  </si>
  <si>
    <t>079200015942</t>
  </si>
  <si>
    <t>0934154059</t>
  </si>
  <si>
    <t>1210</t>
  </si>
  <si>
    <t>91/2 Năm Châu, Phường 11, Quận Tân Bình, Thành phố Hồ Chí Minh</t>
  </si>
  <si>
    <t>Nguyễn Thắng</t>
  </si>
  <si>
    <t>Võ Thị MInh Nhân</t>
  </si>
  <si>
    <t>Nguyễn Minh Phúc</t>
  </si>
  <si>
    <t>079203032449</t>
  </si>
  <si>
    <t>0902607792</t>
  </si>
  <si>
    <t>1806/100/5 Tt. Nhà Bè</t>
  </si>
  <si>
    <t>Nguyễn Lăng Chiến</t>
  </si>
  <si>
    <t>Nguyễn Lại Kim Ngân</t>
  </si>
  <si>
    <t>051203002465</t>
  </si>
  <si>
    <t>0399199530</t>
  </si>
  <si>
    <t>1211</t>
  </si>
  <si>
    <t>KDC 15, TDP 3, thị trấn Mộ Đức, huyện Mộ Đức, tỉnh Quảng Ngãi</t>
  </si>
  <si>
    <t>Nguyễn Tấn Hồng</t>
  </si>
  <si>
    <t>Nguyễn Thị Hồng Thúy</t>
  </si>
  <si>
    <t>Lê Khắc Quế</t>
  </si>
  <si>
    <t>042203002333</t>
  </si>
  <si>
    <t>0869579013</t>
  </si>
  <si>
    <t>Lê Khắc Quế, Thôn Toàn Thắng, xã Thạch Trị, Huyện Thạch Hà - Hà Tĩnh</t>
  </si>
  <si>
    <t>Lê Khắc Sỵ</t>
  </si>
  <si>
    <t>Nguyễn Thị Hương</t>
  </si>
  <si>
    <t>187917625</t>
  </si>
  <si>
    <t>0812898601</t>
  </si>
  <si>
    <t>E13/23M Ấp 5 Vla Hbc</t>
  </si>
  <si>
    <t>Cao Văn Tường</t>
  </si>
  <si>
    <t>Nguyễn Thị Giang</t>
  </si>
  <si>
    <t>083203008751</t>
  </si>
  <si>
    <t>0325383106</t>
  </si>
  <si>
    <t>1212</t>
  </si>
  <si>
    <t>Dương Văn Son</t>
  </si>
  <si>
    <t>Nguyễn Thị Mai Thùy</t>
  </si>
  <si>
    <t>044203003763</t>
  </si>
  <si>
    <t>0973207726</t>
  </si>
  <si>
    <t>1213</t>
  </si>
  <si>
    <t>Thanh Thủy, Lệ Thủy, Quảng Bình</t>
  </si>
  <si>
    <t>Lê Xuân Sửu</t>
  </si>
  <si>
    <t>Dương Thị HIến</t>
  </si>
  <si>
    <t>MI4000701396</t>
  </si>
  <si>
    <t>0984301154</t>
  </si>
  <si>
    <t>Ngô Hữu Hòa</t>
  </si>
  <si>
    <t>Phan Thị Hồng</t>
  </si>
  <si>
    <t>Nguyễn Hoàng Tâm</t>
  </si>
  <si>
    <t>079203011929</t>
  </si>
  <si>
    <t>0973845387</t>
  </si>
  <si>
    <t>1215</t>
  </si>
  <si>
    <t>35/138 Xô Viết Nghệ Tĩnh, Phường 17, Quận Bình Thạnh</t>
  </si>
  <si>
    <t>Nguyễn Hoàng Linh</t>
  </si>
  <si>
    <t>Lê Thị ánh Tuyết</t>
  </si>
  <si>
    <t>Nguyễn Minh Tấn</t>
  </si>
  <si>
    <t>087203000254</t>
  </si>
  <si>
    <t>0349380995</t>
  </si>
  <si>
    <t>182/25 Lê Đức Thọ, Phường 6, Q. Gò Vấp, TP. Hồ Chí Minh</t>
  </si>
  <si>
    <t>Nguyễn Đắc Tài</t>
  </si>
  <si>
    <t>Võ Thị Mỹ Phượng</t>
  </si>
  <si>
    <t xml:space="preserve">Quyết định tam ngừng học - Ngày 10/10/2023; Quyết định quay trở lại trường - Ngày 09/04/2024; </t>
  </si>
  <si>
    <t>261611003</t>
  </si>
  <si>
    <t>0396104344</t>
  </si>
  <si>
    <t>1359</t>
  </si>
  <si>
    <t>Hàm Phú, Hàm Thuận Bắc, Bình Thuận</t>
  </si>
  <si>
    <t>Nguyễn Duy Thành</t>
  </si>
  <si>
    <t>079203025172</t>
  </si>
  <si>
    <t>0562219677</t>
  </si>
  <si>
    <t>744/6g, nguyễn kiệm, phường 4, quận phú nhuận, thành phố Hồ Chí Minh</t>
  </si>
  <si>
    <t>Nhữ Thị Bích Thảo</t>
  </si>
  <si>
    <t>060303000237</t>
  </si>
  <si>
    <t>0829399927</t>
  </si>
  <si>
    <t>Nhữ Công Sỹ</t>
  </si>
  <si>
    <t xml:space="preserve">Quyết định tam ngừng học - Ngày 15/05/2024; Quyết định quay trở lại trường - Ngày 16/04/2024; Quyết định tam ngừng học - Ngày 28/11/2023; Quyết định quay trở lại trường - Ngày 22/10/2024; </t>
  </si>
  <si>
    <t>070203002384</t>
  </si>
  <si>
    <t>0984265743</t>
  </si>
  <si>
    <t>Nguyễn Ngọc Minh Tiến, Lớp 12A2 trường THPT TX Phước Long, đường CMT8 P.Long Thuỷ Tx.Phước Long, Bình Phước</t>
  </si>
  <si>
    <t>Nguyễn Văn Tài</t>
  </si>
  <si>
    <t>Lê Ngọc HUyền</t>
  </si>
  <si>
    <t>Phạm Đình Toản</t>
  </si>
  <si>
    <t>079203023888</t>
  </si>
  <si>
    <t>0933728263</t>
  </si>
  <si>
    <t>1216</t>
  </si>
  <si>
    <t>28/21 Huỳnh Khương An, P5, Q.Gò Vấp,TP.HCM</t>
  </si>
  <si>
    <t>Tô Thị Ngà</t>
  </si>
  <si>
    <t>Đặng Quốc Việt</t>
  </si>
  <si>
    <t>BÌnh Thuận</t>
  </si>
  <si>
    <t>060203001395</t>
  </si>
  <si>
    <t>0703141402</t>
  </si>
  <si>
    <t>Đặng Ngọc Quốc</t>
  </si>
  <si>
    <t>Thông Thị Thu Thủy</t>
  </si>
  <si>
    <t>052203001269</t>
  </si>
  <si>
    <t>0986647821</t>
  </si>
  <si>
    <t>Nguyễn Văn Xí, xóm 6, thôn Hoà Sơn, xã Bình Tường, Huyện Tây Sơn - Bình Định</t>
  </si>
  <si>
    <t>Nguyễn Văn Xi</t>
  </si>
  <si>
    <t>Ngô Thị Bích Vân</t>
  </si>
  <si>
    <t>261644176</t>
  </si>
  <si>
    <t>0333856160</t>
  </si>
  <si>
    <t>Trần Ngọc Yến Vy, lớp 12A2 Trường THPT Quang Trung, Đức Linh, Bình Thuận</t>
  </si>
  <si>
    <t>Trần Kim Quân</t>
  </si>
  <si>
    <t>Võ Thị Bé Châu</t>
  </si>
  <si>
    <t>Nguyễn Hoàng Trâm Anh</t>
  </si>
  <si>
    <t>201823376</t>
  </si>
  <si>
    <t>0353580425</t>
  </si>
  <si>
    <t>253</t>
  </si>
  <si>
    <t>68/4 Phạm Văn Chiêu Phường 14 Quận Gò Vấp, Tp.HCM</t>
  </si>
  <si>
    <t>Khoa Kế toán và Kinh doanh</t>
  </si>
  <si>
    <t>Phan Ngọc Ánh</t>
  </si>
  <si>
    <t>381887919</t>
  </si>
  <si>
    <t>0383927127</t>
  </si>
  <si>
    <t>1420</t>
  </si>
  <si>
    <t>212/12 phạm hồng thám, khóm 2, phường 4 ,tp cà mau</t>
  </si>
  <si>
    <t>Phan Thanh Tùng</t>
  </si>
  <si>
    <t>Ngô Thị Nga</t>
  </si>
  <si>
    <t>079303016503</t>
  </si>
  <si>
    <t>0398991043</t>
  </si>
  <si>
    <t>1317</t>
  </si>
  <si>
    <t>266 Bùi Hữu Nghĩa, Phường 2, Quận Bình Thạnh, Thành phố Hồ Chí Minh</t>
  </si>
  <si>
    <t>Bùi Xuân Dân</t>
  </si>
  <si>
    <t>Lê Thị Xuân Phương</t>
  </si>
  <si>
    <t>Lưu Ngọc Cẩm</t>
  </si>
  <si>
    <t>321792508</t>
  </si>
  <si>
    <t>0984379979</t>
  </si>
  <si>
    <t>1318</t>
  </si>
  <si>
    <t>Ấp Đại Thôn, Xã Thạnh Phong, Huyện Thạnh Phú, Tỉnh Bến Tre</t>
  </si>
  <si>
    <t>Lưu Tấn Phát</t>
  </si>
  <si>
    <t>Nguyễn Thị Kim Ánh</t>
  </si>
  <si>
    <t>Nguyễn Thùy Dương</t>
  </si>
  <si>
    <t>079303028010</t>
  </si>
  <si>
    <t>0778264660</t>
  </si>
  <si>
    <t>260</t>
  </si>
  <si>
    <t>Nguyễn Thùy Dương, 25/5X Ấp Tam Đông Xã Thới Tam Thôn Huyện Hóc Môn,Thành phố Hồ Chí Minh</t>
  </si>
  <si>
    <t>Nguyễn Thị Như Trâm</t>
  </si>
  <si>
    <t>079303012075</t>
  </si>
  <si>
    <t>0937802402</t>
  </si>
  <si>
    <t>265</t>
  </si>
  <si>
    <t>67/144 Bùi Đình Túy p12 Bình Thạnh</t>
  </si>
  <si>
    <t>Hoàng Hữu HIền</t>
  </si>
  <si>
    <t>Nguyễn Thị Ngọc</t>
  </si>
  <si>
    <t>Tỉnh Trà Vinh</t>
  </si>
  <si>
    <t>079303003494</t>
  </si>
  <si>
    <t>Cục Cảnh Sát</t>
  </si>
  <si>
    <t>0764254927</t>
  </si>
  <si>
    <t>20A đường số 1 khu phố 4 phường An Phú Tp.Thủ Đức Tp.Hồ Chí Minh</t>
  </si>
  <si>
    <t>Nguyễn Văn Hiện</t>
  </si>
  <si>
    <t>0909260590</t>
  </si>
  <si>
    <t>Nguyễn Thị Năng</t>
  </si>
  <si>
    <t>0932695306</t>
  </si>
  <si>
    <t>Lê Thị Thu Hiền</t>
  </si>
  <si>
    <t>079303029182</t>
  </si>
  <si>
    <t>0966933331</t>
  </si>
  <si>
    <t>266</t>
  </si>
  <si>
    <t>Lê Thị Thu Hiền,163 Trương Vĩnh Ký, phường Tân Thành, quận Tân Phú</t>
  </si>
  <si>
    <t>Lê Quang Định</t>
  </si>
  <si>
    <t>Võ Thị Thanh Huyền</t>
  </si>
  <si>
    <t>261674012</t>
  </si>
  <si>
    <t>0845011406</t>
  </si>
  <si>
    <t>267</t>
  </si>
  <si>
    <t>Trường THPT Đức Linh, huyện Đức Linh, tỉnh Bình Thuận</t>
  </si>
  <si>
    <t>Lâm Xuân Dũng</t>
  </si>
  <si>
    <t>Huỳnh Thị Trang</t>
  </si>
  <si>
    <t>072303000710</t>
  </si>
  <si>
    <t>0963543847</t>
  </si>
  <si>
    <t>1320</t>
  </si>
  <si>
    <t>Tổ 12, Ấp 2, Suối Ngô, Tân Châu, Tây Ninh</t>
  </si>
  <si>
    <t>Đinh Thành Trung</t>
  </si>
  <si>
    <t>Vũ Thị Thúy</t>
  </si>
  <si>
    <t>Hà Khánh Huyền</t>
  </si>
  <si>
    <t>Tuy Hòa</t>
  </si>
  <si>
    <t>221549026</t>
  </si>
  <si>
    <t>0339340541</t>
  </si>
  <si>
    <t>1464</t>
  </si>
  <si>
    <t>Thôn Mỹ Thạnh Trung 2 Xã Hòa Phong Huyện Tây Hòa Tỉnh Phú Yên</t>
  </si>
  <si>
    <t>Hà Tấn Long</t>
  </si>
  <si>
    <t>Nguyễn Thị Giỏi</t>
  </si>
  <si>
    <t>Phan Ngọc Lam</t>
  </si>
  <si>
    <t>Cam Ranh</t>
  </si>
  <si>
    <t>225827598</t>
  </si>
  <si>
    <t>0935642284</t>
  </si>
  <si>
    <t>269</t>
  </si>
  <si>
    <t>Lam Sơn, Ba Ngòi, CR-KH</t>
  </si>
  <si>
    <t>Phan Văn Cho</t>
  </si>
  <si>
    <t>Đỗ Thị Mộng Thu</t>
  </si>
  <si>
    <t>241919800</t>
  </si>
  <si>
    <t>0868900135</t>
  </si>
  <si>
    <t>1321</t>
  </si>
  <si>
    <t>Thôn 14- xã Tân Hòa- huyện Buôn Đôn- Tỉnh Đak Lak</t>
  </si>
  <si>
    <t>Lê Văn Quý</t>
  </si>
  <si>
    <t>Trần Thị Hảo</t>
  </si>
  <si>
    <t>285892916</t>
  </si>
  <si>
    <t>0372770711</t>
  </si>
  <si>
    <t>270</t>
  </si>
  <si>
    <t>Lớp 12 A5, trường THPT Lê Quý Đôn, thôn 2, xã Đức Liễu, huyện Bù Đăng, tỉnh Bình Phước</t>
  </si>
  <si>
    <t>Lê Giáp Cường</t>
  </si>
  <si>
    <t>Lý Thị Mai</t>
  </si>
  <si>
    <t>Trương Quốc Minh</t>
  </si>
  <si>
    <t>079203010462</t>
  </si>
  <si>
    <t>0908589412</t>
  </si>
  <si>
    <t>271</t>
  </si>
  <si>
    <t>551 PHẠM VĂN ĐỒNG, P13, BÌNH THẠNH</t>
  </si>
  <si>
    <t>Trương Kim Long</t>
  </si>
  <si>
    <t>Nguyễn Thị Xuân Hòa</t>
  </si>
  <si>
    <t>Nguyễn Thị Thảo My</t>
  </si>
  <si>
    <t>Đồng Hới</t>
  </si>
  <si>
    <t>044303007000</t>
  </si>
  <si>
    <t>0916497162</t>
  </si>
  <si>
    <t>1465</t>
  </si>
  <si>
    <t>Tiểu khu 4 -Thị trấn Đồng Lê - Huyện Tuyên Hoá - Tỉnh Quảng Bình</t>
  </si>
  <si>
    <t>Nguyễn Duy Trang</t>
  </si>
  <si>
    <t>Nguyễn Thị Tố Loan</t>
  </si>
  <si>
    <t>BRVT</t>
  </si>
  <si>
    <t>077303000212</t>
  </si>
  <si>
    <t>0901998265</t>
  </si>
  <si>
    <t>273</t>
  </si>
  <si>
    <t>Bùi Thị Thu Nga - 0865153460, trường THPT Võ Thị Sáu, khu phố Hiệp Hòa, thị trấn Đất Đỏ, huyện Đất Đỏ, tỉnh Bà Rịa - Vũng Tàu.</t>
  </si>
  <si>
    <t>Bùi Sơn Giới</t>
  </si>
  <si>
    <t>Dương Thị Lo</t>
  </si>
  <si>
    <t>212872348</t>
  </si>
  <si>
    <t>0329224407</t>
  </si>
  <si>
    <t>274</t>
  </si>
  <si>
    <t>Bà Võ Thị Bé Thủy, 0329224407, xóm 1, thôn Nam Phước, xã Nghĩa Thuận, Huyện Tư Nghĩa- Quảng Ngãi</t>
  </si>
  <si>
    <t>Hồ Ngọc Bốn</t>
  </si>
  <si>
    <t>Võ Thị Bé Thủy</t>
  </si>
  <si>
    <t>Tô Thị Tuyết Ngọc</t>
  </si>
  <si>
    <t>079303031664</t>
  </si>
  <si>
    <t>0834967832</t>
  </si>
  <si>
    <t>279</t>
  </si>
  <si>
    <t>17/12/5B đường số 1, P. 17, Q. Gò Vấp, TP. Hồ Chí Minh</t>
  </si>
  <si>
    <t>Tô Văn Hiếu</t>
  </si>
  <si>
    <t>Trần Thị Tuyết Xuân</t>
  </si>
  <si>
    <t>Hoàng Thị Ngọc</t>
  </si>
  <si>
    <t>034303002289</t>
  </si>
  <si>
    <t>0563783176</t>
  </si>
  <si>
    <t>1466</t>
  </si>
  <si>
    <t>Xóm 8 thôn công bình xã bình định huyện kiến xương tỉnh thái bình</t>
  </si>
  <si>
    <t>Hoàng Văn Tùng</t>
  </si>
  <si>
    <t>Nguyễn Thị My</t>
  </si>
  <si>
    <t>Vũng Tàu</t>
  </si>
  <si>
    <t>077303001120</t>
  </si>
  <si>
    <t>0353864771</t>
  </si>
  <si>
    <t>1467</t>
  </si>
  <si>
    <t>888/9/4/12 Đường 30/4, Phường 11, Thành phố Vũng Tàu, Bà Rịa - Vũng Tàu</t>
  </si>
  <si>
    <t>Bùi Thị Đường</t>
  </si>
  <si>
    <t>Nguyễn Thị Minh Nguyệt</t>
  </si>
  <si>
    <t>083303000554</t>
  </si>
  <si>
    <t>0385454450</t>
  </si>
  <si>
    <t>280</t>
  </si>
  <si>
    <t>Nguyễn Thị Minh Nguyệt, 0385454450, số 652, ấp 3, Xã Bình Thành, Huyện Giồng Trôm, Bến Tre</t>
  </si>
  <si>
    <t>Nguyễn Văn Tự</t>
  </si>
  <si>
    <t>Phan Thị Thúy Hằng</t>
  </si>
  <si>
    <t>225833605</t>
  </si>
  <si>
    <t>0935938098</t>
  </si>
  <si>
    <t>1324</t>
  </si>
  <si>
    <t>TDP Lợi Thịnh , phường Cam Lợi , tp Cam Ranh , tỉnh Khánh Hòa</t>
  </si>
  <si>
    <t>Lê Kim Hùng</t>
  </si>
  <si>
    <t>Lê Thị Hồng Vân</t>
  </si>
  <si>
    <t>187799641</t>
  </si>
  <si>
    <t>0867115736</t>
  </si>
  <si>
    <t>Xóm Liên Đồng, xã Thanh Liên, huyện Thanh Chương, tỉnh Nghệ An</t>
  </si>
  <si>
    <t>Nguyễn Phùng Minh</t>
  </si>
  <si>
    <t>Lê Thị Bình</t>
  </si>
  <si>
    <t>Hà Thị Mai Phương</t>
  </si>
  <si>
    <t>272939330</t>
  </si>
  <si>
    <t>0372073589</t>
  </si>
  <si>
    <t>286</t>
  </si>
  <si>
    <t>41/4D tổ 1 Kp1, phường Tân hiệp, Thành phố Biên Hòa - Đồng Nai</t>
  </si>
  <si>
    <t>Hà Văn Giới</t>
  </si>
  <si>
    <t>Vũ Thị Hồng</t>
  </si>
  <si>
    <t>Trần Thị Mỹ Quyên</t>
  </si>
  <si>
    <t>052303001401</t>
  </si>
  <si>
    <t>0392143046</t>
  </si>
  <si>
    <t>1325</t>
  </si>
  <si>
    <t>Thôn Phú Hòa, xã Tây Xuân, huyện Tây Sơn, tỉnh Bình Định</t>
  </si>
  <si>
    <t>Trần Văn Chung</t>
  </si>
  <si>
    <t>Phạm Thị Hồng Loan</t>
  </si>
  <si>
    <t xml:space="preserve">Quyết định quay trở lại trường - Ngày 19/04/2024; Quyết định nghỉ học tạm thời - Ngày 04/10/2023; Quyết định tam ngừng học - Ngày 10/05/2024; Quyết định quay trở lại trường - Ngày 22/10/2024; </t>
  </si>
  <si>
    <t>264577611</t>
  </si>
  <si>
    <t>0326094554</t>
  </si>
  <si>
    <t>1291</t>
  </si>
  <si>
    <t>20/63/5B đường Thống Nhất, khu phố 3, phường Đài Sơn, TPPR Tháp Chàm, Ninh Thuận</t>
  </si>
  <si>
    <t>Nguyễn Trung Việt</t>
  </si>
  <si>
    <t>Nguyễn Phùng MInh Hường</t>
  </si>
  <si>
    <t>Dương Thị Thanh Thảo</t>
  </si>
  <si>
    <t>083303002137</t>
  </si>
  <si>
    <t>0372678547</t>
  </si>
  <si>
    <t>1469</t>
  </si>
  <si>
    <t>ấp 6, xã lộc thuận, huyện bình đại, tỉnh bến tre</t>
  </si>
  <si>
    <t>Dương Văn Tiên</t>
  </si>
  <si>
    <t>Nguyễn Thị Thắm</t>
  </si>
  <si>
    <t>070303004727</t>
  </si>
  <si>
    <t>0974653919</t>
  </si>
  <si>
    <t>1328</t>
  </si>
  <si>
    <t>Xã Long Tân Huyện Phú Riềng Tỉnh Bình Phước</t>
  </si>
  <si>
    <t>Lê Văn Trang</t>
  </si>
  <si>
    <t>Nguyễn Thị Ngà</t>
  </si>
  <si>
    <t>Lê Nguyễn Phương Thảo</t>
  </si>
  <si>
    <t>281326831</t>
  </si>
  <si>
    <t>0374602404</t>
  </si>
  <si>
    <t>289</t>
  </si>
  <si>
    <t>Trung tâm GDNN-GDTX Dĩ An, Kp Thắng Lợi 2, Thành phố Dĩ An, tỉnh Bình Dương</t>
  </si>
  <si>
    <t>Lê Văn Hạnh</t>
  </si>
  <si>
    <t>Nguyễn Thị Lý</t>
  </si>
  <si>
    <t>035303004598</t>
  </si>
  <si>
    <t>0935240103</t>
  </si>
  <si>
    <t>1362</t>
  </si>
  <si>
    <t>33/11A1 Đường 475, Phước Long B, TP.Thủ Đức, TP.HCM</t>
  </si>
  <si>
    <t>Trần Quốc Hưng</t>
  </si>
  <si>
    <t>Bùi Thị Kim Oanh</t>
  </si>
  <si>
    <t>0362622744</t>
  </si>
  <si>
    <t>Thôn Tân Thôn, Xã Phú Nam An, H.Chương Mỹ, TP.Hà Nội</t>
  </si>
  <si>
    <t>Trần Đình Xuân</t>
  </si>
  <si>
    <t>Mai Thị Tuyết</t>
  </si>
  <si>
    <t xml:space="preserve">Quyết định quay trở lại trường - Ngày 30/09/2025; Quyết định nghỉ học tạm thời - Ngày 10/06/2025; </t>
  </si>
  <si>
    <t>079303031181</t>
  </si>
  <si>
    <t>0947122496</t>
  </si>
  <si>
    <t>295</t>
  </si>
  <si>
    <t>66 Đường 10 - Phường Bình Hưng Hoà A - Quận Bình Tân - Thành phố Hồ Chí Minh</t>
  </si>
  <si>
    <t>Nguyễn Văn Trí</t>
  </si>
  <si>
    <t>Nguyễn Thị Kim HIền</t>
  </si>
  <si>
    <t>Phạm Thị Thu Thủy</t>
  </si>
  <si>
    <t>070303003627</t>
  </si>
  <si>
    <t>Cục trưởng cục cảnh sát quản lý hành chính về trật tự xã hội</t>
  </si>
  <si>
    <t>0399695691</t>
  </si>
  <si>
    <t>293</t>
  </si>
  <si>
    <t>Phạm Thị Thu Thủy, 0342830493, 12C, Trường THPT Trường Chinh, huyện Đắk R'lấp, tỉnh Đắk Nông</t>
  </si>
  <si>
    <t>Phạm Văn Ngoãn</t>
  </si>
  <si>
    <t>Phạm Thị Liên</t>
  </si>
  <si>
    <t>Lê Quý Toàn</t>
  </si>
  <si>
    <t>079303010548</t>
  </si>
  <si>
    <t>0913949013</t>
  </si>
  <si>
    <t>298</t>
  </si>
  <si>
    <t>91/1 Bình Lợi, P. 13, Q. Bình Thạnh, TP. Hồ Chí Minh</t>
  </si>
  <si>
    <t>Nguyễn Hương Trà</t>
  </si>
  <si>
    <t>Tp.Hà Nội</t>
  </si>
  <si>
    <t>001303035251</t>
  </si>
  <si>
    <t>0936373118</t>
  </si>
  <si>
    <t>299</t>
  </si>
  <si>
    <t>584/8 đường phạm văn chiêu phường 16 ,quận gò vấp tp hcm</t>
  </si>
  <si>
    <t>Nguyễn Hữu Tuấn</t>
  </si>
  <si>
    <t>Vũ Thu Hương</t>
  </si>
  <si>
    <t xml:space="preserve">Quyết định quay trở lại trường - Ngày 16/04/2024; Quyết định quay trở lại trường - Ngày 22/10/2024; Quyết định tam ngừng học - Ngày 09/10/2023; Quyết định tam ngừng học - Ngày 10/05/2024; </t>
  </si>
  <si>
    <t>Đỗ Nguyễn Thảo Trâm</t>
  </si>
  <si>
    <t>Đà Nẵng</t>
  </si>
  <si>
    <t>058303000063</t>
  </si>
  <si>
    <t>0933866809</t>
  </si>
  <si>
    <t>1331</t>
  </si>
  <si>
    <t>41/5/27 Đường 48, Khu phố 6, Hiệp Bình Chánh, Thủ Đức, Tp. Hồ Chí Minh</t>
  </si>
  <si>
    <t>Đỗ Thi</t>
  </si>
  <si>
    <t>Nguyễn Thị Hồng Hải</t>
  </si>
  <si>
    <t>049303000248</t>
  </si>
  <si>
    <t>0896567423</t>
  </si>
  <si>
    <t>302</t>
  </si>
  <si>
    <t>Nguyễn Thị Thùy Trang, số nhà 48/13, đường Miếu Gò Xoài phường BHHA quận Bình Tân</t>
  </si>
  <si>
    <t>Nguyễn Văn Tán</t>
  </si>
  <si>
    <t>Thiều Thị Mót</t>
  </si>
  <si>
    <t>079303023999</t>
  </si>
  <si>
    <t>0774437753</t>
  </si>
  <si>
    <t>303</t>
  </si>
  <si>
    <t>3/2 Đỗ Thừa Luông, phường Tân Qúy, quận Tân Phú, TP.HCM</t>
  </si>
  <si>
    <t>Nguyễn Ngọc Mai</t>
  </si>
  <si>
    <t>Trần Thị Kim Thoa</t>
  </si>
  <si>
    <t>072303006389</t>
  </si>
  <si>
    <t>0364983492</t>
  </si>
  <si>
    <t>Phước Bình, Trảng Bàng , Tây Ninh</t>
  </si>
  <si>
    <t>Nguyễn Văn Sang</t>
  </si>
  <si>
    <t>Nguyễn Duy Tuấn</t>
  </si>
  <si>
    <t>285683054</t>
  </si>
  <si>
    <t>0398133215</t>
  </si>
  <si>
    <t>1333</t>
  </si>
  <si>
    <t>860/60x/25 Xô Viết Nghệ Tĩnh, Phường 25, Bình Thạnh, Thành phố Hồ Chí Minh</t>
  </si>
  <si>
    <t>Nguyễn Duy Tuân</t>
  </si>
  <si>
    <t>Nguyễn Thị Huyền</t>
  </si>
  <si>
    <t>Nguyễn Bích Tuyền</t>
  </si>
  <si>
    <t>372034179</t>
  </si>
  <si>
    <t>0967600541</t>
  </si>
  <si>
    <t>1335</t>
  </si>
  <si>
    <t>Hồng Thị Tú Cầu, UBND Xã Vĩnh Hòa Hiệp, Châu Thành, Kiên Giang</t>
  </si>
  <si>
    <t>Hồng Thị Tú Trân</t>
  </si>
  <si>
    <t>Đặng Lê Thúy Vi</t>
  </si>
  <si>
    <t>132488591</t>
  </si>
  <si>
    <t>0773165977</t>
  </si>
  <si>
    <t>1471</t>
  </si>
  <si>
    <t>27 đường Hiệp Bình, phường Hiệp Bình Phước, thành phố Thủ Đức, thành phố Hồ Chí Minh</t>
  </si>
  <si>
    <t>Đặng Quốc Hùng</t>
  </si>
  <si>
    <t>Lê Thị Thúy</t>
  </si>
  <si>
    <t xml:space="preserve">Quyết định tam ngừng học - Ngày 26/10/2023; Quyết định quay trở lại trường - Ngày 22/10/2024; Quyết định quay trở lại trường - Ngày 23/05/2024; Quyết định tam ngừng học - Ngày 30/05/2024; </t>
  </si>
  <si>
    <t>052303001848</t>
  </si>
  <si>
    <t>0868207730</t>
  </si>
  <si>
    <t>1336</t>
  </si>
  <si>
    <t>thôn hòa bình, thị trấn nhơn hòa, huyện chư pưh, tỉnh gia lai</t>
  </si>
  <si>
    <t>Nguyễn Văn Quang</t>
  </si>
  <si>
    <t>Đặng Thị Hồng Thúy</t>
  </si>
  <si>
    <t>Phan Thị Thúy Vinh</t>
  </si>
  <si>
    <t>Thành phố Hồ Chí Minh</t>
  </si>
  <si>
    <t>079302006714</t>
  </si>
  <si>
    <t>Cục Cảnh sát quản lý hành chính về trật xã hội</t>
  </si>
  <si>
    <t>0866331841</t>
  </si>
  <si>
    <t>240 Hoàng Hoa Thám, phường 05, quận Bình Thạnh, TP.Hcm</t>
  </si>
  <si>
    <t>Nguyễn Thị Thuỷ</t>
  </si>
  <si>
    <t>Dương Nguyễn Thế Anh</t>
  </si>
  <si>
    <t>080203007918</t>
  </si>
  <si>
    <t>0976499772</t>
  </si>
  <si>
    <t>1339</t>
  </si>
  <si>
    <t>362/27 Nguyễn Đình Chiểu , phường 4 , quận 3 , tp HCM</t>
  </si>
  <si>
    <t>Dương Văn Cường</t>
  </si>
  <si>
    <t>Nguyễn Thị Ánh NGa</t>
  </si>
  <si>
    <t>Khoa Kinh tế và Quản lý</t>
  </si>
  <si>
    <t>276048349</t>
  </si>
  <si>
    <t>0349661695</t>
  </si>
  <si>
    <t>349</t>
  </si>
  <si>
    <t>Trường THPT Lê Qúy Đôn- Long Bình Tân, Số 1 đường 6 A, KCN Biên Hòa 2, Biên Hòa, Đồng Nai.</t>
  </si>
  <si>
    <t>Nguyễn Đức Kiên</t>
  </si>
  <si>
    <t>Phạm Thị Xuân</t>
  </si>
  <si>
    <t>215596280</t>
  </si>
  <si>
    <t>0343606232</t>
  </si>
  <si>
    <t>361</t>
  </si>
  <si>
    <t>lê đinh ánh, đội 15 thôn luật bình, xã phước quang, tuy phước, bình định</t>
  </si>
  <si>
    <t>Lê Thanh Tòng</t>
  </si>
  <si>
    <t>Đinh Thị Tuyết Hoa</t>
  </si>
  <si>
    <t>Ngô Nguyên Bình</t>
  </si>
  <si>
    <t>080203001295</t>
  </si>
  <si>
    <t>0944292249</t>
  </si>
  <si>
    <t>375</t>
  </si>
  <si>
    <t>Ngô Nguyên Bình, 0845259697, Lớp 12A3 Trường THPT Tân Trụ huyện Tân Trụ tỉnh Long An</t>
  </si>
  <si>
    <t>Ngô Hoàng Thận</t>
  </si>
  <si>
    <t>Huỳnh Thj Mai Liên</t>
  </si>
  <si>
    <t>Trần Ngọc Hân</t>
  </si>
  <si>
    <t>BVĐK khu vực Thủ Đức, Tp.HCM</t>
  </si>
  <si>
    <t>276038756</t>
  </si>
  <si>
    <t>0707624088</t>
  </si>
  <si>
    <t>393</t>
  </si>
  <si>
    <t>Trần Ngọc Hân, 275,Lê Văn Thịnh Phường Cát Lái,Tp.Thủ Đức (Q2),Thành phố Hồ Chí Minh</t>
  </si>
  <si>
    <t>TRần Văn Phong</t>
  </si>
  <si>
    <t>Công Thúy Kiều</t>
  </si>
  <si>
    <t xml:space="preserve">Quyết định quay trở lại trường - Ngày 17/04/2024; Quyết định tam ngừng học - Ngày 27/10/2023; </t>
  </si>
  <si>
    <t>Trương Bá Vương Hào</t>
  </si>
  <si>
    <t>BVĐK Quảng Ngãi</t>
  </si>
  <si>
    <t>051203000738</t>
  </si>
  <si>
    <t>0795624714</t>
  </si>
  <si>
    <t>1342</t>
  </si>
  <si>
    <t>Trương Bá Vương Hào, 132 Phan Đình Phùng, TP Quảng Ngãi, Tỉnh Quảng Ngãi</t>
  </si>
  <si>
    <t>Trương Quang Lê Bình</t>
  </si>
  <si>
    <t>Nguyễn Thị Mỹ Hạnh</t>
  </si>
  <si>
    <t xml:space="preserve">Quyết định tam ngừng học - Ngày 28/03/2024; Quyết định quay trở lại trường - Ngày 14/01/2025; </t>
  </si>
  <si>
    <t>Đào Minh Lâm</t>
  </si>
  <si>
    <t>079203003027</t>
  </si>
  <si>
    <t>0707188189</t>
  </si>
  <si>
    <t>315</t>
  </si>
  <si>
    <t>24/4 Trường Chinh, Phường Tân Thới Nhất, Quận 12, Tp.Hồ Chí Minh</t>
  </si>
  <si>
    <t>Đào Minh Châu</t>
  </si>
  <si>
    <t>Bùi Thị Kim Loan</t>
  </si>
  <si>
    <t>215639676</t>
  </si>
  <si>
    <t>0988513657</t>
  </si>
  <si>
    <t>379</t>
  </si>
  <si>
    <t>Trường THPT Nguyễn Trung Trực- thị trấn Phù Mỹ-Bình Định</t>
  </si>
  <si>
    <t>Đỗ Thị Thanh Thủy</t>
  </si>
  <si>
    <t>Vũ Thị Miền</t>
  </si>
  <si>
    <t>Kon Tum</t>
  </si>
  <si>
    <t>233354105</t>
  </si>
  <si>
    <t>0383199559</t>
  </si>
  <si>
    <t>389</t>
  </si>
  <si>
    <t>Thôn 5, Xã Hà Mòn , huyện Đăk Hà, tỉnh Kon Tum</t>
  </si>
  <si>
    <t>Vũ Văn Hoạt</t>
  </si>
  <si>
    <t>Phạm Thị Mơ</t>
  </si>
  <si>
    <t>233327721</t>
  </si>
  <si>
    <t>0394271363</t>
  </si>
  <si>
    <t>355</t>
  </si>
  <si>
    <t>TDP 2B, Thị trấn Đăk Hà , huyện Đăk Hà, tỉnh Kon Tum</t>
  </si>
  <si>
    <t>Chu Văn Tuấn</t>
  </si>
  <si>
    <t>Trần Thị Len</t>
  </si>
  <si>
    <t>Đào Trọng Phúc</t>
  </si>
  <si>
    <t>382056684</t>
  </si>
  <si>
    <t>0837629661</t>
  </si>
  <si>
    <t>332</t>
  </si>
  <si>
    <t>Thầy Võ Thanh Hùng, hiệu trưởng trường THPT Đầm Dơi, huyện Đầm Dơi, tỉnh Cà Mau; ĐT: 0914676147</t>
  </si>
  <si>
    <t>Đào Văn Út</t>
  </si>
  <si>
    <t>Nguyễn Ngọc Dung</t>
  </si>
  <si>
    <t>Nguyễn Thị Như Phương</t>
  </si>
  <si>
    <t>Thừa Thiên Huế</t>
  </si>
  <si>
    <t>241944153</t>
  </si>
  <si>
    <t>0386435738</t>
  </si>
  <si>
    <t>1355</t>
  </si>
  <si>
    <t>Thôn1 xã eahu huyện cưkuin tỉnh Đăk Lăk</t>
  </si>
  <si>
    <t>Nguyễn Kim Bảng</t>
  </si>
  <si>
    <t>Trần Thị Thuận</t>
  </si>
  <si>
    <t>Phạm Thị Lan Phương</t>
  </si>
  <si>
    <t>Ninh BÌnh</t>
  </si>
  <si>
    <t>037303005983</t>
  </si>
  <si>
    <t>0387119712</t>
  </si>
  <si>
    <t>1476</t>
  </si>
  <si>
    <t>2/14-16 Bình Giã, Phường 13, Quận Tân Bình, TPHCM</t>
  </si>
  <si>
    <t>Phạm Văn Hùng</t>
  </si>
  <si>
    <t>Nguyễn Thị Hạnh</t>
  </si>
  <si>
    <t>079303024837</t>
  </si>
  <si>
    <t>0834388376</t>
  </si>
  <si>
    <t>356</t>
  </si>
  <si>
    <t>30/110 Tuệ Tĩnh, Phường 13, Quận 11 - Tp. Hồ Chí Minh</t>
  </si>
  <si>
    <t>Đỗ Dữ Hiếu</t>
  </si>
  <si>
    <t>Từ Ngọc Thúy</t>
  </si>
  <si>
    <t xml:space="preserve">Quyết định quay trở lại trường - Ngày 07/07/2023; Quyết định nghỉ học tạm thời - Ngày 08/09/2022; </t>
  </si>
  <si>
    <t>Phạm Minh Quốc</t>
  </si>
  <si>
    <t>Tp.PleiKu</t>
  </si>
  <si>
    <t>231373422</t>
  </si>
  <si>
    <t>0942742843</t>
  </si>
  <si>
    <t>354</t>
  </si>
  <si>
    <t>hẻm 119 Phùng Khắc Khoan-Pleiku-Gia Lai</t>
  </si>
  <si>
    <t>Phạm Chung</t>
  </si>
  <si>
    <t>Nguyễn Thị Kim Đài</t>
  </si>
  <si>
    <t>Nguyễn Ngọc Tấn</t>
  </si>
  <si>
    <t>215645689</t>
  </si>
  <si>
    <t>0369800495</t>
  </si>
  <si>
    <t>383</t>
  </si>
  <si>
    <t>Trường THPT Số 1 Phù Cát-Tỉnh Bình Định</t>
  </si>
  <si>
    <t>Nguyễn Ngọc Tú</t>
  </si>
  <si>
    <t>Phạm Thị Thạch</t>
  </si>
  <si>
    <t>079203010995</t>
  </si>
  <si>
    <t>0939477987</t>
  </si>
  <si>
    <t>1480</t>
  </si>
  <si>
    <t>284 Phạm Văn Hai, Phường 5, Tân Bình, Thành phố Hồ Chí Minh</t>
  </si>
  <si>
    <t>Vũ Quốc Thái</t>
  </si>
  <si>
    <t>Ngô Ngọc Thanh</t>
  </si>
  <si>
    <t>Ngô Đắc Thành</t>
  </si>
  <si>
    <t>083203000006</t>
  </si>
  <si>
    <t>0928643571</t>
  </si>
  <si>
    <t>1360</t>
  </si>
  <si>
    <t>147A/8 Gò Công f13 q5</t>
  </si>
  <si>
    <t>Ngô Văn Minh</t>
  </si>
  <si>
    <t>Phạm Thị Tuyết Mai</t>
  </si>
  <si>
    <t xml:space="preserve">Quyết định tam ngừng học - Ngày 09/03/2022; Quyết định quay trở lại trường - Ngày 12/05/2022; </t>
  </si>
  <si>
    <t>Nguyễn Ngọc Thảo</t>
  </si>
  <si>
    <t>Q1, Tp.HCM</t>
  </si>
  <si>
    <t>079303036528</t>
  </si>
  <si>
    <t>0938183012</t>
  </si>
  <si>
    <t>359</t>
  </si>
  <si>
    <t>28/27/9 Phan Tây Hồ, phường 7, quận Phú Nhuận, TP HCM</t>
  </si>
  <si>
    <t>Nguyễn Văn Thiện</t>
  </si>
  <si>
    <t>Trần Thị Ngọc Tâm</t>
  </si>
  <si>
    <t>Phan Thị Thanh Thảo</t>
  </si>
  <si>
    <t>241868930</t>
  </si>
  <si>
    <t>0987823858</t>
  </si>
  <si>
    <t>373</t>
  </si>
  <si>
    <t>3 Lê Hồng Phong, Tp Buôn Ma Thuột, Tỉnh Đắk Lắk</t>
  </si>
  <si>
    <t>Phan Văn Thành</t>
  </si>
  <si>
    <t>Trịnh Thị Bình</t>
  </si>
  <si>
    <t>Đỗ Ngọc Kiều Thi</t>
  </si>
  <si>
    <t>079303030703</t>
  </si>
  <si>
    <t>0932086787</t>
  </si>
  <si>
    <t>336</t>
  </si>
  <si>
    <t>300/2 Nguyễn Văn Linh, Phường Bình Thuận, Quận 7</t>
  </si>
  <si>
    <t>Đỗ Kim Nhật</t>
  </si>
  <si>
    <t>Võ Thị Ngọc Thơ</t>
  </si>
  <si>
    <t xml:space="preserve">Quyết định quay trở lại trường - Ngày 27/08/2025; Quyết định tam ngừng học - Ngày 18/10/2024; </t>
  </si>
  <si>
    <t>Hóc môn, Tp.HCM</t>
  </si>
  <si>
    <t>079203027091</t>
  </si>
  <si>
    <t>0902738347</t>
  </si>
  <si>
    <t>325</t>
  </si>
  <si>
    <t>6/10A KP3, Tân Thới Nhất 13, Tân Thới Nhất, quận 12, HCM</t>
  </si>
  <si>
    <t>Trần Kim Tùng</t>
  </si>
  <si>
    <t>Nguyễn Thị Mỹ Ngọc</t>
  </si>
  <si>
    <t>Nguyễn Minh Thông</t>
  </si>
  <si>
    <t>077203000023</t>
  </si>
  <si>
    <t>0917427911</t>
  </si>
  <si>
    <t>363</t>
  </si>
  <si>
    <t>Nguyễn Minh Thông, 0917427911, 888/9/42B, đường 30/4, Thành phố Vũng Tàu - Bà Rịa-Vũng Tàu</t>
  </si>
  <si>
    <t>Nguyễn Văn Thu</t>
  </si>
  <si>
    <t>Nguyễn Thị Hoa</t>
  </si>
  <si>
    <t>Hộ sinh tân bình, Tp.HCM</t>
  </si>
  <si>
    <t>079203004266</t>
  </si>
  <si>
    <t>0325621234</t>
  </si>
  <si>
    <t>401</t>
  </si>
  <si>
    <t>Nguyễn Bình, 0913926531, Số 20/114 Bờ Bao Tân Thắng, Phường Sơn Kỳ, Quận Tân Phú - Tp. Hồ Chí Minh</t>
  </si>
  <si>
    <t>Nguyễn Bình</t>
  </si>
  <si>
    <t>Trần Thị Bích Huế</t>
  </si>
  <si>
    <t>Nguyễn Mai Uyên Trâm</t>
  </si>
  <si>
    <t>BV 7A Q5, Tp.HCM</t>
  </si>
  <si>
    <t>079303014217</t>
  </si>
  <si>
    <t>0903752919</t>
  </si>
  <si>
    <t>1365</t>
  </si>
  <si>
    <t>169 Trần Tuấn Khải, Phường 5, Quận 5, Thành phố Hồ Chí Minh</t>
  </si>
  <si>
    <t>Mai Thị Trung Nghĩa</t>
  </si>
  <si>
    <t>Huỳnh Thị Kim Tuyến</t>
  </si>
  <si>
    <t>Tỉnh Phú Yên</t>
  </si>
  <si>
    <t>054303002500</t>
  </si>
  <si>
    <t>cục trưởng cục cảnh sát quản lý hành chính về trật tự xã hội</t>
  </si>
  <si>
    <t>0972134248</t>
  </si>
  <si>
    <t>cho ba mẹ, KP Nam Bình 1, P Hòa Xuân Tây, TX Đông Hòa, Tỉnh Phú Yên</t>
  </si>
  <si>
    <t>Huỳnh Tấn Tài</t>
  </si>
  <si>
    <t>0398631224</t>
  </si>
  <si>
    <t>0396826848</t>
  </si>
  <si>
    <t>Đỗ Thành Vinh</t>
  </si>
  <si>
    <t>Bình định</t>
  </si>
  <si>
    <t>215595752</t>
  </si>
  <si>
    <t>0365621217</t>
  </si>
  <si>
    <t>1371</t>
  </si>
  <si>
    <t>Xóm 4- thôn Mỹ cang -xã phước sơn - huyện Tuy phước - tỉnh bình định</t>
  </si>
  <si>
    <t>Đỗ Hồng Đức</t>
  </si>
  <si>
    <t>Trần Thị Hà</t>
  </si>
  <si>
    <t>Vũ Lê Quang Vỹ</t>
  </si>
  <si>
    <t>040203000319</t>
  </si>
  <si>
    <t>0938477616</t>
  </si>
  <si>
    <t>395</t>
  </si>
  <si>
    <t>13/3A đường 36, Phường Bình Trưng Tây, Tp.Thủ Đức (Q2), Thành phố TP. Hồ Chí Minh</t>
  </si>
  <si>
    <t>Vũ Quang Minh</t>
  </si>
  <si>
    <t>Lê Thị Chi</t>
  </si>
  <si>
    <t>Lê Thị Kiều Yến</t>
  </si>
  <si>
    <t>077303002654</t>
  </si>
  <si>
    <t>CCD</t>
  </si>
  <si>
    <t>0775163307</t>
  </si>
  <si>
    <t>86 Trương Hán Siêu, phường Rạch Dừa, TP Vũng Tàu</t>
  </si>
  <si>
    <t>Lê Thị Nhan</t>
  </si>
  <si>
    <t>0363208185</t>
  </si>
  <si>
    <t>Nguyễn Thị Mỹ Ái</t>
  </si>
  <si>
    <t>215579687</t>
  </si>
  <si>
    <t>0867523159</t>
  </si>
  <si>
    <t>316</t>
  </si>
  <si>
    <t>Thôn Vân Hội 2, Thị trấn Diêu Trì, Huyện Tuy Phước, Bình Định</t>
  </si>
  <si>
    <t>Cao Ngọc Kim An</t>
  </si>
  <si>
    <t>261642444</t>
  </si>
  <si>
    <t>0528326149</t>
  </si>
  <si>
    <t>1338</t>
  </si>
  <si>
    <t>Thôn Hội Nhơn - Xã Hàm Chính - Hàm Thuận Bắc - Bình Thuận</t>
  </si>
  <si>
    <t xml:space="preserve">Quyết định tam ngừng học - Ngày 10/10/2023; Quyết định quay trở lại trường - Ngày 25/12/2023; </t>
  </si>
  <si>
    <t>Trương Thị Hoài Bắc</t>
  </si>
  <si>
    <t>038303006932</t>
  </si>
  <si>
    <t>0978966126</t>
  </si>
  <si>
    <t>345</t>
  </si>
  <si>
    <t>Trương Thị Hoài Bắc, Lớp 12N1, Trường THPT Phú Mỹ, Thị Xã Phú Mỹ, Tỉnh Bà Rịa - Vũng Tàu</t>
  </si>
  <si>
    <t>Trương Công Hoan</t>
  </si>
  <si>
    <t>Nguyễn Thị Kim</t>
  </si>
  <si>
    <t>215589429</t>
  </si>
  <si>
    <t>0899930273</t>
  </si>
  <si>
    <t>387</t>
  </si>
  <si>
    <t>Nguyễn Thị Như Bình , Lớp 12A9, Thôn Mỹ An, Xã Tây Bình, Huyện Tây Sơn, Tỉnh Bình Định</t>
  </si>
  <si>
    <t>Nguyễn Thành Phương</t>
  </si>
  <si>
    <t>Thái Thị Kim Hoa</t>
  </si>
  <si>
    <t>Cao Minh Đức</t>
  </si>
  <si>
    <t>079203035761</t>
  </si>
  <si>
    <t>0772915987</t>
  </si>
  <si>
    <t>322</t>
  </si>
  <si>
    <t>95/55 Trường Chinh - Phường 12 - Quận Tân Bình</t>
  </si>
  <si>
    <t>Cao Khả Dũng</t>
  </si>
  <si>
    <t>Nguyễn Thị Dạ Hương</t>
  </si>
  <si>
    <t>Nguyễn Hương Giang</t>
  </si>
  <si>
    <t>215613139</t>
  </si>
  <si>
    <t>0565035811</t>
  </si>
  <si>
    <t>329</t>
  </si>
  <si>
    <t>Nguyễn Hương Giang, 0565035811, 72A Trần Cao Vân, Quy Nhơn, Bình Định</t>
  </si>
  <si>
    <t>Nguyễn Hiền</t>
  </si>
  <si>
    <t>Nguyễn Thị Vân</t>
  </si>
  <si>
    <t>Dương Thị Thu Hà</t>
  </si>
  <si>
    <t>Từ Dũ, tp.HCM</t>
  </si>
  <si>
    <t>079303003969</t>
  </si>
  <si>
    <t>0359285517</t>
  </si>
  <si>
    <t>1340</t>
  </si>
  <si>
    <t>2/21C Phạm Hùng, xã Trung An, Thành phố Mỹ Tho, Tiền Giang</t>
  </si>
  <si>
    <t>Dương Văn Hên</t>
  </si>
  <si>
    <t>Trương Thị Mỹ Linh Hằng</t>
  </si>
  <si>
    <t>Nguyễn Ngọc Gia Hân</t>
  </si>
  <si>
    <t>312540267</t>
  </si>
  <si>
    <t>0933113943</t>
  </si>
  <si>
    <t>310</t>
  </si>
  <si>
    <t>Nguyễn Ngọc Gia Hân - Ấp 4, xã Đạo Thạnh, Thành phố Mỹ Tho, Tiền Giang</t>
  </si>
  <si>
    <t>Nguyễn Công Chánh</t>
  </si>
  <si>
    <t>Phạm Thúy Ngọc</t>
  </si>
  <si>
    <t>054303002842</t>
  </si>
  <si>
    <t>0975216249</t>
  </si>
  <si>
    <t>324</t>
  </si>
  <si>
    <t>Lê Thị Minh Hiếu, Đội 19, Mậu Lâm Nam, Hòa Quang Nam, Huyện Phú Hòa - Phú Yên</t>
  </si>
  <si>
    <t>Lê Bùi Thành Lân</t>
  </si>
  <si>
    <t>Võ Thị Minh Trung</t>
  </si>
  <si>
    <t>Trần Thái Hoàng</t>
  </si>
  <si>
    <t>079202029823</t>
  </si>
  <si>
    <t>0378890109</t>
  </si>
  <si>
    <t>384</t>
  </si>
  <si>
    <t>Tổ 14 khu phố 4C phường Trảng Dài Biên Hòa Đồng Nai</t>
  </si>
  <si>
    <t>Trần Nguyên Thắng</t>
  </si>
  <si>
    <t xml:space="preserve">Quyết định quay trở lại trường - Ngày 13/01/2025; Quyết định tam ngừng học - Ngày 25/11/2024; </t>
  </si>
  <si>
    <t>Trần Quang Huy</t>
  </si>
  <si>
    <t>184452770</t>
  </si>
  <si>
    <t>0981541725</t>
  </si>
  <si>
    <t>366</t>
  </si>
  <si>
    <t>19/9 song hành, xã tân xuân, hóc môn</t>
  </si>
  <si>
    <t>Trần Xuân Tiến</t>
  </si>
  <si>
    <t>Thái Thị Hương</t>
  </si>
  <si>
    <t>Phạm Võ Đăng Khoa</t>
  </si>
  <si>
    <t>281336837</t>
  </si>
  <si>
    <t>0964764119</t>
  </si>
  <si>
    <t>341</t>
  </si>
  <si>
    <t>657 Nguyễn Thị Minh Khai, Tân Bình, Dĩ An, Bình Dương</t>
  </si>
  <si>
    <t>Phạm Văn BÌnh</t>
  </si>
  <si>
    <t>Võ Lệ Hằng</t>
  </si>
  <si>
    <t>Nguyễn Thị Minh Kim</t>
  </si>
  <si>
    <t>096302000316</t>
  </si>
  <si>
    <t>0919899497</t>
  </si>
  <si>
    <t>335</t>
  </si>
  <si>
    <t>Đặng Thị Thùy Trang, 0919899497, 238/3C Lý Thường Kiệt, khóm 2, Phường 6, Tp Cà Mau</t>
  </si>
  <si>
    <t>Đặng Thùy Trang</t>
  </si>
  <si>
    <t>215592268</t>
  </si>
  <si>
    <t>0862528646</t>
  </si>
  <si>
    <t>1432</t>
  </si>
  <si>
    <t>Ngãi Chánh-Nhơn Hậu-An Nhơn-Bình Định</t>
  </si>
  <si>
    <t>Nguyễn Trọng Khiêm</t>
  </si>
  <si>
    <t>Ung Thị Phương</t>
  </si>
  <si>
    <t>245426514</t>
  </si>
  <si>
    <t>0858363092</t>
  </si>
  <si>
    <t>Thôn Trung Hoà- Đăk Gằn- Đăk Mil- Đăk Nông</t>
  </si>
  <si>
    <t>Nguyễn Minh Cảnh</t>
  </si>
  <si>
    <t>Phạm Thị Thúy</t>
  </si>
  <si>
    <t>Đồng Hoài Nam</t>
  </si>
  <si>
    <t>075203022322</t>
  </si>
  <si>
    <t>0942429536</t>
  </si>
  <si>
    <t>364</t>
  </si>
  <si>
    <t>1023/30 - Tổ 14 - KP 7 - P. Long Bình, Thành phố Biên Hòa - Đồng Nai</t>
  </si>
  <si>
    <t>Đồng Ngân Sơn</t>
  </si>
  <si>
    <t>Nguyễn Thị Nga</t>
  </si>
  <si>
    <t>233363388</t>
  </si>
  <si>
    <t>0347897829</t>
  </si>
  <si>
    <t>thị trấn Măng Đen, huyện KonPlong, tỉnh Kon Tum</t>
  </si>
  <si>
    <t>Huỳnh Thị Mỹ Hoa</t>
  </si>
  <si>
    <t>Nguyễn Kim Ngân</t>
  </si>
  <si>
    <t>381978779</t>
  </si>
  <si>
    <t>0916171871</t>
  </si>
  <si>
    <t>1349</t>
  </si>
  <si>
    <t>195 Ấp Tắc Thủ Xã Lợi An Huyện Trần Văn Thời Tỉnh Cà Mau</t>
  </si>
  <si>
    <t>Hồng Thị Thúy</t>
  </si>
  <si>
    <t>Nguyễn Phan Hoàng Nghĩa</t>
  </si>
  <si>
    <t>077203005591</t>
  </si>
  <si>
    <t>0786383211</t>
  </si>
  <si>
    <t>362</t>
  </si>
  <si>
    <t>Nguyễn Thị Thúy Kiều, 0786393211, 30/1/2 Trần Quốc Toản, Phường Thắng Nhì, Thành phố Vũng Tàu - Bà Rịa-Vũng Tàu</t>
  </si>
  <si>
    <t>087303002068</t>
  </si>
  <si>
    <t>Cục trưởng cục cảnh sát quản lí hành chính về trật tự xã hội</t>
  </si>
  <si>
    <t>0964581112</t>
  </si>
  <si>
    <t>1468</t>
  </si>
  <si>
    <t>Khóm Thượng 1, Thị trấn Thường Thới Tiền, Huyện Hồng Ngự, Tỉnh Đồng Tháp</t>
  </si>
  <si>
    <t>Quách Văn XiA</t>
  </si>
  <si>
    <t>Phan Thị Nga</t>
  </si>
  <si>
    <t>Phan Võ Thanh Phương</t>
  </si>
  <si>
    <t>215595717</t>
  </si>
  <si>
    <t>0974705032</t>
  </si>
  <si>
    <t>1287</t>
  </si>
  <si>
    <t>Xóm 5 Kì Sơn, Phước  Sơn, Tuy Phước, Bình Định</t>
  </si>
  <si>
    <t>Võ Thị Thúy Trang</t>
  </si>
  <si>
    <t>Nguyễn Khánh Gia Quỳnh</t>
  </si>
  <si>
    <t>Tp.Quy Nhơn</t>
  </si>
  <si>
    <t>215575536</t>
  </si>
  <si>
    <t>0787700639</t>
  </si>
  <si>
    <t>328</t>
  </si>
  <si>
    <t>Trường THPT Nguyễn Hữu Cảnh, Kp1, Long Bình Tân, Biên Hòa, Đồng Nai</t>
  </si>
  <si>
    <t>Nguyễn Đức Lợi</t>
  </si>
  <si>
    <t>Quảng nam</t>
  </si>
  <si>
    <t>206445452</t>
  </si>
  <si>
    <t>0762884105</t>
  </si>
  <si>
    <t>402</t>
  </si>
  <si>
    <t>Tổ 12 - Thôn 5, Xã Bình Tú, Huyện Thăng Bình, Quảng Nam</t>
  </si>
  <si>
    <t>Lê Thị Xuân</t>
  </si>
  <si>
    <t>Nguyễn Phúc Vĩnh Thành</t>
  </si>
  <si>
    <t>077203003661</t>
  </si>
  <si>
    <t>0937247747</t>
  </si>
  <si>
    <t>1479</t>
  </si>
  <si>
    <t>1055/7 Huỳnh  Tấn Phát, Phường Phước Nguyên, thành phố Bà Rịa, tỉnh Bà Rịa Vũng Tàu</t>
  </si>
  <si>
    <t>Nguyễn Phúc Hoàng</t>
  </si>
  <si>
    <t>Lê Thị Phương Thảo</t>
  </si>
  <si>
    <t>215600018</t>
  </si>
  <si>
    <t>0349385334</t>
  </si>
  <si>
    <t>394</t>
  </si>
  <si>
    <t>Mỹ Khánh, Xã Hoài Mỹ, Thị xã Hoài Nhơn, Bình Định</t>
  </si>
  <si>
    <t>Trần Văn Hiền</t>
  </si>
  <si>
    <t>Võ Thị Lang</t>
  </si>
  <si>
    <t>Trần Xuân Thảo</t>
  </si>
  <si>
    <t>077303006625</t>
  </si>
  <si>
    <t>0978705525</t>
  </si>
  <si>
    <t>370</t>
  </si>
  <si>
    <t>83 Phạm Cự Lạng phường Rạch Dừa Thành phố Vũng Tàu, Tỉnh Bà Rịa - Vũng Tàu</t>
  </si>
  <si>
    <t>Trần Quốc Thịnh</t>
  </si>
  <si>
    <t>Nguyễn Thị Phương Loan</t>
  </si>
  <si>
    <t>Nguyễn Văn Thương</t>
  </si>
  <si>
    <t>Tp.Plei ku</t>
  </si>
  <si>
    <t>231425614</t>
  </si>
  <si>
    <t>0961187831</t>
  </si>
  <si>
    <t>1364</t>
  </si>
  <si>
    <t>Thôn 6, Xã Gào, Thành phố Pleiku, Tỉnh Gia Lai</t>
  </si>
  <si>
    <t>Nguyễn Văn Tình</t>
  </si>
  <si>
    <t>Bùi Thị Kim Anh</t>
  </si>
  <si>
    <t>NguyễN Công Tín</t>
  </si>
  <si>
    <t>215578127</t>
  </si>
  <si>
    <t>0769699876</t>
  </si>
  <si>
    <t>396</t>
  </si>
  <si>
    <t>Nguyễn Công Tín, lớp 12A6 trường THPT Nguyễn Đình Chiểu, Bình Định</t>
  </si>
  <si>
    <t>Nguyễn Văn Ba</t>
  </si>
  <si>
    <t>Đoàn Thị Phượng</t>
  </si>
  <si>
    <t>Đinh Trung Trường</t>
  </si>
  <si>
    <t>077201006173</t>
  </si>
  <si>
    <t>0792965195</t>
  </si>
  <si>
    <t>392</t>
  </si>
  <si>
    <t>Số 484/11A, Đường 30/4, Phường Rạch Dừa, Thành phố Vũng Tàu - Bà Rịa-Vũng Tàu</t>
  </si>
  <si>
    <t>Đinh Thành Niên</t>
  </si>
  <si>
    <t>Trương Thị Tâm</t>
  </si>
  <si>
    <t>Lê Hồng Trường</t>
  </si>
  <si>
    <t>187984235</t>
  </si>
  <si>
    <t>0349415535</t>
  </si>
  <si>
    <t>1366</t>
  </si>
  <si>
    <t>Xóm 3, xã Hưng Mỹ, huyện Hưng Nguyên, tỉnh Nghệ An</t>
  </si>
  <si>
    <t>Lê Hồng Phi</t>
  </si>
  <si>
    <t>Phạm Thị Loan</t>
  </si>
  <si>
    <t xml:space="preserve">Quyết định quay trở lại trường - Ngày 05/08/2024; Quyết định nghỉ học tạm thời - Ngày 06/09/2023; </t>
  </si>
  <si>
    <t>079203006946</t>
  </si>
  <si>
    <t>0902503514</t>
  </si>
  <si>
    <t>390</t>
  </si>
  <si>
    <t>8/10A, ấp Thới Tứ 2, xã Thới Tam Thôn, huyện Hóc Môn. Tp. Hồ Chí Minh.</t>
  </si>
  <si>
    <t>Nguyễn Văn Tèo</t>
  </si>
  <si>
    <t>Phùng Thị Loan</t>
  </si>
  <si>
    <t>285902651</t>
  </si>
  <si>
    <t>0974145766</t>
  </si>
  <si>
    <t>12A9 - THPT Nguyễn Khuyến - Bù Nho- Phú Riềng - Bình Phước</t>
  </si>
  <si>
    <t>Nguyễn Tấn Quân</t>
  </si>
  <si>
    <t>Trần Thị Trúc</t>
  </si>
  <si>
    <t>BV Từ Dũ, tp.HCM</t>
  </si>
  <si>
    <t>0776835696</t>
  </si>
  <si>
    <t>154/7 Tùng Thiện Vương Phường 11 quận 8</t>
  </si>
  <si>
    <t>Chung Văn HIếu</t>
  </si>
  <si>
    <t>060202012607</t>
  </si>
  <si>
    <t>0397008869</t>
  </si>
  <si>
    <t>Khu phố 3, Phường Bình Tân, LaGi, Bình THuận</t>
  </si>
  <si>
    <t>Hồ Hùng</t>
  </si>
  <si>
    <t>Trần Thị Mỹ Anh</t>
  </si>
  <si>
    <t>Nguyễn Lê Việt Linh</t>
  </si>
  <si>
    <t>Việt trì</t>
  </si>
  <si>
    <t>132483645</t>
  </si>
  <si>
    <t>Công An Tỉnh Phú Thọ</t>
  </si>
  <si>
    <t>0988773703</t>
  </si>
  <si>
    <t>Mẹ Lê Thị Hồng Liên 0989737969— Bố Nguyễn Xuân Long 0902236777 Ở tổ 35 phố chàng đông khu 12 phường thanh miếu việt trì phú thọ</t>
  </si>
  <si>
    <t>Nguyễn Xuân Long</t>
  </si>
  <si>
    <t>0902236777</t>
  </si>
  <si>
    <t>Lê Thị Hồng Liên</t>
  </si>
  <si>
    <t>0989737969</t>
  </si>
  <si>
    <t xml:space="preserve">Quyết định quay trở lại trường - Ngày 15/07/2025; Quyết định tam ngừng học - Ngày 02/12/2024; Quyết định chuyển Khóa - Ngành - Lớp - Ngày 22/08/2025; </t>
  </si>
  <si>
    <t>Trịnh Hiểu Minh</t>
  </si>
  <si>
    <t>Ninh Bình</t>
  </si>
  <si>
    <t>037203006053</t>
  </si>
  <si>
    <t>0919060078</t>
  </si>
  <si>
    <t>Trịnh Hiểu Minh, 0919060078, 16, đường 3/2, Phường 8, Thành phố Vũng Tàu - Bà Rịa-Vũng Tàu</t>
  </si>
  <si>
    <t>Trịnh Hồng Nho</t>
  </si>
  <si>
    <t>Ngô Thị Huyền</t>
  </si>
  <si>
    <t>0938961031</t>
  </si>
  <si>
    <t>84/1 Cần Giuộc P11 Q8 TPHCM</t>
  </si>
  <si>
    <t>Phùng Đức Thành</t>
  </si>
  <si>
    <t>Lê Thị Minh Khang</t>
  </si>
  <si>
    <t>Trần Mai Vân Anh</t>
  </si>
  <si>
    <t>079303004491</t>
  </si>
  <si>
    <t>0906645561</t>
  </si>
  <si>
    <t>241</t>
  </si>
  <si>
    <t>207/51/17B Nguyễn văn Đậu, P11, , Quận Bình Thạnh - Tp. Hồ Chí Minh</t>
  </si>
  <si>
    <t>Mai Thị Tuyết Vân</t>
  </si>
  <si>
    <t>Quyết định chuyển Khóa - Ngành - Lớp - Ngày 15/08/2023</t>
  </si>
  <si>
    <t>Trần Ngọc Bảo Châu</t>
  </si>
  <si>
    <t>079303039972</t>
  </si>
  <si>
    <t>0764117758</t>
  </si>
  <si>
    <t>242</t>
  </si>
  <si>
    <t>20 Đường 3413 Phạm Thế Hiển, P7, Q8, TP.HCM</t>
  </si>
  <si>
    <t>Trần Phước Nghĩa</t>
  </si>
  <si>
    <t>Phan Thị Ngọc Diễm</t>
  </si>
  <si>
    <t xml:space="preserve">Quyết định quay trở lại trường - Ngày 03/08/2023; Quyết định nghỉ học tạm thời - Ngày 19/09/2022; Quyết định chuyển Khóa - Ngành - Lớp - Ngày 15/08/2023; </t>
  </si>
  <si>
    <t>Nguyễn Phi Cường</t>
  </si>
  <si>
    <t>079203015635</t>
  </si>
  <si>
    <t>0936257320</t>
  </si>
  <si>
    <t>1421</t>
  </si>
  <si>
    <t>835/34/1 Nguyễn Duy Trinh, Phường Phú Hữu, Quận 9, Thành phố Hồ Chí Minh</t>
  </si>
  <si>
    <t>Nguyễn Phi Vũ</t>
  </si>
  <si>
    <t>Lê Thị Kim Loan</t>
  </si>
  <si>
    <t xml:space="preserve">Quyết định quay trở lại trường - Ngày 14/12/2023; Quyết định chuyển Khóa - Ngành - Lớp - Ngày 02/01/2024; Quyết định nghỉ học tạm thời - Ngày 21/03/2023; </t>
  </si>
  <si>
    <t>Trần Phước Đại</t>
  </si>
  <si>
    <t>079201025746</t>
  </si>
  <si>
    <t>0902906733</t>
  </si>
  <si>
    <t>26/2 Thích Bửu Đăng Phường 1, Quận Gò Vấp, Thành phố Hồ Chí Minh</t>
  </si>
  <si>
    <t>Trần Viên Hui</t>
  </si>
  <si>
    <t>Nguyễn Thị Bạch Yến</t>
  </si>
  <si>
    <t>038303002144</t>
  </si>
  <si>
    <t>CA TP. Thủ Đức</t>
  </si>
  <si>
    <t>0584575972</t>
  </si>
  <si>
    <t>Bùi Thị Phương Dung, 28/7 đường 138, tổ 2, khu phố 2, phường Tân Phú, TP. Thủ Đức</t>
  </si>
  <si>
    <t>Bùi Sỹ Huynh</t>
  </si>
  <si>
    <t>0869984628</t>
  </si>
  <si>
    <t>Lê Thị Tuấn</t>
  </si>
  <si>
    <t>Lê Thành Hưng</t>
  </si>
  <si>
    <t>080202000164</t>
  </si>
  <si>
    <t>0903309826</t>
  </si>
  <si>
    <t>1267</t>
  </si>
  <si>
    <t>128 Lô H chung cư Hưng Phú phường 10 quận 8 TPHCM</t>
  </si>
  <si>
    <t>Lê Minh Hùng</t>
  </si>
  <si>
    <t>Nguyễn Thị Tuyết</t>
  </si>
  <si>
    <t>Nguyễn Huy</t>
  </si>
  <si>
    <t>079203005046</t>
  </si>
  <si>
    <t>0938068305</t>
  </si>
  <si>
    <t>1268</t>
  </si>
  <si>
    <t>199 Trương Vĩnh Ký, Phường Tân Thành, Tân Phú, Thành phố Hồ Chí Minh</t>
  </si>
  <si>
    <t>Nguyễn Thế Hiển</t>
  </si>
  <si>
    <t>Lê Nhật Huy</t>
  </si>
  <si>
    <t>077203002218</t>
  </si>
  <si>
    <t>0866812970</t>
  </si>
  <si>
    <t>Lê Nhật Huy, 9 Ô2/12, KP Hải Tân, Phước Hải, Huyện Đất Đỏ - Bà Rịa-Vũng Tàu</t>
  </si>
  <si>
    <t>Lê Văn Nhật</t>
  </si>
  <si>
    <t>221524221</t>
  </si>
  <si>
    <t>0582177842</t>
  </si>
  <si>
    <t>1430</t>
  </si>
  <si>
    <t>Uất Lâm, Hòa Hiệp Bắc, Đông Hòa, Phú Yên</t>
  </si>
  <si>
    <t>Nguyễn Đức Lẹm</t>
  </si>
  <si>
    <t>Nguyễn Thị Nghì</t>
  </si>
  <si>
    <t>Lâm Thị Tuyết Ngân</t>
  </si>
  <si>
    <t>079303010534</t>
  </si>
  <si>
    <t>0779965141</t>
  </si>
  <si>
    <t>1436</t>
  </si>
  <si>
    <t>309 lô P, cư xá Thanh Đa, phường 27, quận Bình Thạnh, TP Hồ Chí Minh</t>
  </si>
  <si>
    <t>Lâm Quang Phúc</t>
  </si>
  <si>
    <t>Đoàn Thị Tuyết Trinh</t>
  </si>
  <si>
    <t>Thị Thanh Ngân</t>
  </si>
  <si>
    <t>372080485</t>
  </si>
  <si>
    <t>0387327497</t>
  </si>
  <si>
    <t>Thị Thanh Ngân, 0387327497 , Số nhà 110, Ấp Cây Quéo - Thạnh Bình - Giồng Riềng - Kiên Giang</t>
  </si>
  <si>
    <t>Danh Út</t>
  </si>
  <si>
    <t>Thạch Thu Hận</t>
  </si>
  <si>
    <t>221543414</t>
  </si>
  <si>
    <t>0966933407</t>
  </si>
  <si>
    <t>1438</t>
  </si>
  <si>
    <t>Khu phố 4, phường Phú Thạnh, thành phố Tuy Hòa, tỉnh Phú Yên</t>
  </si>
  <si>
    <t>Nguyễn Đức Hữu</t>
  </si>
  <si>
    <t>Nguyễn Thị Xô</t>
  </si>
  <si>
    <t>Nguyễn Thị Phương Nhung</t>
  </si>
  <si>
    <t>Phú Thọ</t>
  </si>
  <si>
    <t>281365664</t>
  </si>
  <si>
    <t>0935427181</t>
  </si>
  <si>
    <t>1443</t>
  </si>
  <si>
    <t>250/1/8A, Võ Thị Sáu, Khu phố Tây A, Phường Đông Hoà, Thị xã Dĩ An, Tỉnh Bình Dương</t>
  </si>
  <si>
    <t>Nguyễn Tiến Hậu</t>
  </si>
  <si>
    <t>Lê Thị Hiếu</t>
  </si>
  <si>
    <t xml:space="preserve">Quyết định tam ngừng học - Ngày 01/03/2024; Quyết định chuyển Khóa - Ngành - Lớp - Ngày 15/08/2023; Quyết định quay trở lại trường - Ngày 22/08/2024; </t>
  </si>
  <si>
    <t>BV HÙng Vương, Tp.HCM</t>
  </si>
  <si>
    <t>079203037250</t>
  </si>
  <si>
    <t>0915494203</t>
  </si>
  <si>
    <t>1445</t>
  </si>
  <si>
    <t>578 Nguyễn Duy p10q8</t>
  </si>
  <si>
    <t>Cao Kim Phước</t>
  </si>
  <si>
    <t>Trịnh Nga</t>
  </si>
  <si>
    <t>Trần Bảo Phúc</t>
  </si>
  <si>
    <t>046203005678</t>
  </si>
  <si>
    <t>0792758598</t>
  </si>
  <si>
    <t>200</t>
  </si>
  <si>
    <t>Trần Bảo Phúc - SĐT: 0792758598 - 21/15 đường Nguyễn Đình Chiểu, Phường Đông Hoà, Tp Dĩ An, tỉnh Bình Dương</t>
  </si>
  <si>
    <t>Trần Sự</t>
  </si>
  <si>
    <t>Trần Thị Lào</t>
  </si>
  <si>
    <t>241935275</t>
  </si>
  <si>
    <t>0948298393</t>
  </si>
  <si>
    <t>224</t>
  </si>
  <si>
    <t>PHẠM MINH QUANG, 0948298393, số 38, thôn 1, Xã Dang Kang - Huyện Krông Bông - Đắk Lắk</t>
  </si>
  <si>
    <t>Phạm Minh Hùng</t>
  </si>
  <si>
    <t>Trần Bích Quyên</t>
  </si>
  <si>
    <t>301805387</t>
  </si>
  <si>
    <t>0364587516</t>
  </si>
  <si>
    <t>2675/3 đường Phạm Thế Hiển,P7,Q8,Tp.Hồ Chí Minh</t>
  </si>
  <si>
    <t>Trần Thị Xuân Giang</t>
  </si>
  <si>
    <t>Đỗ Minh Thông</t>
  </si>
  <si>
    <t>079203016859</t>
  </si>
  <si>
    <t>0765824137</t>
  </si>
  <si>
    <t>234</t>
  </si>
  <si>
    <t>60/1/5 Phan Chu Trinh p24, Quận Bình Thạnh - Tp. Hồ Chí Minh</t>
  </si>
  <si>
    <t>Đỗ Hội Học</t>
  </si>
  <si>
    <t>Đỗ Thế Đoan Trang</t>
  </si>
  <si>
    <t xml:space="preserve">Quyết định tam ngừng học - Ngày 05/03/2024; Quyết định quay trở lại trường - Ngày 28/02/2025; Quyết định chuyển Khóa - Ngành - Lớp - Ngày 15/08/2023; </t>
  </si>
  <si>
    <t>Hoàng Thị Thương</t>
  </si>
  <si>
    <t>241953785</t>
  </si>
  <si>
    <t>0396897962</t>
  </si>
  <si>
    <t>1297</t>
  </si>
  <si>
    <t>TDP6, Phường Thiện An, Thị xã Buôn Hồ, Tỉnh Đăk Lăk</t>
  </si>
  <si>
    <t>Hoàng Văn Lê</t>
  </si>
  <si>
    <t>Nguyễn Thị Tư</t>
  </si>
  <si>
    <t>Hoàng Thị Hoài Thương</t>
  </si>
  <si>
    <t>241897730</t>
  </si>
  <si>
    <t>0333694520</t>
  </si>
  <si>
    <t>1298</t>
  </si>
  <si>
    <t>Thôn 7 xã Ea Phê huyện Krông Pắc tỉnh Đắk Lắk</t>
  </si>
  <si>
    <t xml:space="preserve">Quyết định chuyển Khóa - Ngành - Lớp - Ngày 10/10/2023; Quyết định quay trở lại trường - Ngày 11/09/2023; Quyết định tam ngừng học - Ngày 22/02/2022; Quyết định chuyển Khóa - Ngành - Lớp - Ngày 10/10/2023; Quyết định tam ngừng học - Ngày 30/01/2023; </t>
  </si>
  <si>
    <t>Nguyễn Thụy Trúc Thy</t>
  </si>
  <si>
    <t>281337939</t>
  </si>
  <si>
    <t>0868851415</t>
  </si>
  <si>
    <t>14/4 khu phố Tây phường Vĩnh Phú, Thuận An, Bình Dương</t>
  </si>
  <si>
    <t>Nguyễn Văn Thành</t>
  </si>
  <si>
    <t>Nguyễn Thụy Cẩm Châu</t>
  </si>
  <si>
    <t>054203002393</t>
  </si>
  <si>
    <t>0835869281</t>
  </si>
  <si>
    <t>1457</t>
  </si>
  <si>
    <t>thôn Trường Thành, xã Sơn Thành Đông, huyện Tây Hoà, tỉnh Phú Yên</t>
  </si>
  <si>
    <t>Nguyễn Minh Trang</t>
  </si>
  <si>
    <t>077303006954</t>
  </si>
  <si>
    <t>0886333291</t>
  </si>
  <si>
    <t>213</t>
  </si>
  <si>
    <t>Trường THPT Phước Bửu, Huyện Xuyên Mộc, Tỉnh Bà Rịa - Vũng Tàu.</t>
  </si>
  <si>
    <t>Nguyễn Thanh Trai</t>
  </si>
  <si>
    <t>Tống Thị Nhanh</t>
  </si>
  <si>
    <t xml:space="preserve">Quyết định quay trở lại trường - Ngày 12/12/2023; Quyết định chuyển Khóa - Ngành - Lớp - Ngày 15/08/2023; Quyết định tam ngừng học - Ngày 24/11/2023; </t>
  </si>
  <si>
    <t>Nguyễn Trường</t>
  </si>
  <si>
    <t>261647018</t>
  </si>
  <si>
    <t>0835672608</t>
  </si>
  <si>
    <t>1306</t>
  </si>
  <si>
    <t>Thôn 1 Nam Chính Đức Linh Bình Thuận</t>
  </si>
  <si>
    <t>Nguyễn Luyến</t>
  </si>
  <si>
    <t>Trần Khánh Uyên</t>
  </si>
  <si>
    <t>241918751</t>
  </si>
  <si>
    <t>0984.772.377</t>
  </si>
  <si>
    <t>1309</t>
  </si>
  <si>
    <t>Thôn 4 xã Eawer huyện Buôn Đôn tỉnh Đăk Lăk</t>
  </si>
  <si>
    <t>Trần Thế Nhượng</t>
  </si>
  <si>
    <t>Nguyễn Thị Lân</t>
  </si>
  <si>
    <t>Xã Vân Từ, huyện Phú Xuyên, thành phố Hà Nội</t>
  </si>
  <si>
    <t>001303046456</t>
  </si>
  <si>
    <t>Công an huyện Phú Xuyên</t>
  </si>
  <si>
    <t>0387593203</t>
  </si>
  <si>
    <t>Bà nội- Thôn Vực, xã Vân Từ, huyện Phú xuyên, thành phố Hà Nội</t>
  </si>
  <si>
    <t>Trần Thị Hải Sâm</t>
  </si>
  <si>
    <t>0342514226</t>
  </si>
  <si>
    <t xml:space="preserve">Quyết định chuyển Khóa - Ngành - Lớp - Ngày 03/06/2024; Quyết định chuyển Khóa - Ngành - Lớp - Ngày 18/08/2023; </t>
  </si>
  <si>
    <t>079303031731</t>
  </si>
  <si>
    <t>0933521198</t>
  </si>
  <si>
    <t>10/26 ấp 4, xã Đông Thạnh, huyện Hóc Môn, TPHCM</t>
  </si>
  <si>
    <t>Kiều Văn Hùng</t>
  </si>
  <si>
    <t>Nguyễn Thị Nhung</t>
  </si>
  <si>
    <t>Đinh Ngọc Huỳnh Anh</t>
  </si>
  <si>
    <t>079303012084</t>
  </si>
  <si>
    <t>0399046375</t>
  </si>
  <si>
    <t>Trương Thị Kim Liên, ấp Tân Mai 2, Xã Phước Tân, thành phố Biên Hòa, Đồng Nai 0909263063</t>
  </si>
  <si>
    <t>Đinh Trung Dung</t>
  </si>
  <si>
    <t>Trương Thị Kim Liên</t>
  </si>
  <si>
    <t>Nguyễn Thái Chí Anh</t>
  </si>
  <si>
    <t>042202000274</t>
  </si>
  <si>
    <t>0377826377</t>
  </si>
  <si>
    <t>1419</t>
  </si>
  <si>
    <t>Ấp 1 xã trừ văn thố huyện bàu bàng tỉnh bình dương</t>
  </si>
  <si>
    <t>Nguyễn Chí Quân</t>
  </si>
  <si>
    <t>Thái Thị Mùi</t>
  </si>
  <si>
    <t>Hồ Duy Anh</t>
  </si>
  <si>
    <t>079203040165</t>
  </si>
  <si>
    <t>0769272858</t>
  </si>
  <si>
    <t>A4/1A Tổ 4, Ấp 2, X. Bình Hưng, H. Bình Chánh</t>
  </si>
  <si>
    <t>Hồ Huy Trường</t>
  </si>
  <si>
    <t>Huỳnh Thị Hồng Nga</t>
  </si>
  <si>
    <t>Lê Thị Ngọc Anh</t>
  </si>
  <si>
    <t>038303022493</t>
  </si>
  <si>
    <t>0564324780</t>
  </si>
  <si>
    <t>1250</t>
  </si>
  <si>
    <t>tổ dân phố Tân Vinh  ,phường Hải Bình , thị xã Nghi Sơn , tỉnh Thanh Hoá</t>
  </si>
  <si>
    <t>Lê Văn Cường</t>
  </si>
  <si>
    <t>Lê Thị Dung</t>
  </si>
  <si>
    <t>Hà Tây</t>
  </si>
  <si>
    <t>001303027010</t>
  </si>
  <si>
    <t>0343846747</t>
  </si>
  <si>
    <t>Vương Hà Châu - Thôn Trung , xã Văn Hoàng , huyện Phú Xuyên , Hà Nội</t>
  </si>
  <si>
    <t>Vương Ngọc Hưng</t>
  </si>
  <si>
    <t>Lê Đình Cường</t>
  </si>
  <si>
    <t>064203014639</t>
  </si>
  <si>
    <t>0345010872</t>
  </si>
  <si>
    <t>1253</t>
  </si>
  <si>
    <t>Thôn Chư Bồ 2, Xã IaKla, Huyện Đức Cơ, Tỉnh Gia Lai</t>
  </si>
  <si>
    <t>Lê Đình Hoàng</t>
  </si>
  <si>
    <t>Hồ Thị Tình</t>
  </si>
  <si>
    <t>072303000663</t>
  </si>
  <si>
    <t>0386506522</t>
  </si>
  <si>
    <t>Ô2, ấp Bình Hòa, xã Phước Bình, thị xã Trảng Bàng, Tây Ninh</t>
  </si>
  <si>
    <t>Trà Thị Kiều Oanh</t>
  </si>
  <si>
    <t>Đoàn Đại Đô</t>
  </si>
  <si>
    <t>074203000156</t>
  </si>
  <si>
    <t>0964607703</t>
  </si>
  <si>
    <t>1241/2 TL43, kp2 ,P. Bình Chiểu ,TP. Thủ Đức , TP. HCM</t>
  </si>
  <si>
    <t>Đoàn Thanh Bình</t>
  </si>
  <si>
    <t>Bùi Ánh Ngọc</t>
  </si>
  <si>
    <t>Tây NInh</t>
  </si>
  <si>
    <t>072303005992</t>
  </si>
  <si>
    <t>0974667627</t>
  </si>
  <si>
    <t>Đặng Thị Tâm Đoan, Lớp 12A8 trường THPT Quang Trung, Thị trấn Gò Dầu, Gò Dầu, Tây Ninh 0974667627</t>
  </si>
  <si>
    <t>Đặng Văn Đức</t>
  </si>
  <si>
    <t>Nguyễn Thị Chung</t>
  </si>
  <si>
    <t>Trần Tấn Dũng</t>
  </si>
  <si>
    <t>072203000153</t>
  </si>
  <si>
    <t>0369407321</t>
  </si>
  <si>
    <t>215</t>
  </si>
  <si>
    <t>Trường THPT Trần Đại Nghĩa, Số 23, Đường Võ Thị Sáu, Khu phố 7, Phường 3, TP Tây Ninh, Tỉnh Tây Ninh</t>
  </si>
  <si>
    <t>Trần Quang Khải</t>
  </si>
  <si>
    <t>Nguyễn Thị Thanh Thúy</t>
  </si>
  <si>
    <t>Trịnh Thúy Duy</t>
  </si>
  <si>
    <t>385876068</t>
  </si>
  <si>
    <t>0944620455</t>
  </si>
  <si>
    <t>1255</t>
  </si>
  <si>
    <t>Ấp Mỹ 2,xã Vĩnh Phú Đông ,huyện Phước Long,tỉnh Bạc Liêu</t>
  </si>
  <si>
    <t>Trịnh Thanh Tùng</t>
  </si>
  <si>
    <t>Lê Thị Xuyến</t>
  </si>
  <si>
    <t>241926426</t>
  </si>
  <si>
    <t>0379711223</t>
  </si>
  <si>
    <t>237</t>
  </si>
  <si>
    <t>TRƯƠNG THỊ HƯƠNG GIANG, Lớp12A04, Trường THPT Phan Chu Trinh, Ea H'leo, Đắk Lắk</t>
  </si>
  <si>
    <t>Trương Văn Quán</t>
  </si>
  <si>
    <t>Trần Minh Hà</t>
  </si>
  <si>
    <t>215606304</t>
  </si>
  <si>
    <t>0935007721</t>
  </si>
  <si>
    <t>299 Quang Trung, thị xã An Nhơn, tỉnh Bình Định</t>
  </si>
  <si>
    <t>Trần Minh Hậu</t>
  </si>
  <si>
    <t>0905428448</t>
  </si>
  <si>
    <t>Nguyễn Thị kim Loan</t>
  </si>
  <si>
    <t xml:space="preserve">Quyết định quay trở lại trường - Ngày 26/08/2024; Quyết định chuyển Khóa - Ngành - Lớp - Ngày 15/08/2023; Quyết định tam ngừng học - Ngày 12/10/2023; </t>
  </si>
  <si>
    <t>331920971</t>
  </si>
  <si>
    <t>0937564335</t>
  </si>
  <si>
    <t>Nguyễn Thị Ngọc Hân, ĐT: 0704956588 - Lớp 12T2, Trường THPT Phạm Hùng, khóm 6, TT Long Hồ, huyện Long Hồ, Vĩnh Long</t>
  </si>
  <si>
    <t>Nguyễn Văn Be</t>
  </si>
  <si>
    <t>Lê Thị Lan</t>
  </si>
  <si>
    <t>Võ Thị Hồng Hạnh</t>
  </si>
  <si>
    <t>Gia Định, Tp.HCM</t>
  </si>
  <si>
    <t>079302013157</t>
  </si>
  <si>
    <t>0909359054</t>
  </si>
  <si>
    <t>1260</t>
  </si>
  <si>
    <t>113/98 Võ Duy Ninh, Phường 22, Quận Bình Thạnh, Thành phố Hồ Chí Minh</t>
  </si>
  <si>
    <t>Võ Thanh Hải</t>
  </si>
  <si>
    <t>Lương Thị Hồng</t>
  </si>
  <si>
    <t>079303012965</t>
  </si>
  <si>
    <t>0783511810</t>
  </si>
  <si>
    <t>1261</t>
  </si>
  <si>
    <t>154/3 Vũ Tùng P2 Quận Bình Thạnh Tp Hồ Chí Minh</t>
  </si>
  <si>
    <t>Đặng Đức Thuần</t>
  </si>
  <si>
    <t>Đinh Thị Tuyết</t>
  </si>
  <si>
    <t>Phạm Thị Thúy Hiền</t>
  </si>
  <si>
    <t>040303000278</t>
  </si>
  <si>
    <t>0378562548</t>
  </si>
  <si>
    <t>1263</t>
  </si>
  <si>
    <t>801 B3 Chung cư Đức khải, Phường Phú Mỹ, Quận 7, Thành phố Hồ Chí Minh</t>
  </si>
  <si>
    <t>Phạm Văn Nam</t>
  </si>
  <si>
    <t>Phạm Thị Thúy Hoài</t>
  </si>
  <si>
    <t>Nguyễn Việt Hoàng</t>
  </si>
  <si>
    <t>221537208</t>
  </si>
  <si>
    <t>0911959405</t>
  </si>
  <si>
    <t>238</t>
  </si>
  <si>
    <t>Khu phố 3, Phường Phú Đông, TP Tuy Hòa, Phú Yên</t>
  </si>
  <si>
    <t>Phan Hồ Kim Quyên</t>
  </si>
  <si>
    <t xml:space="preserve">Quyết định chuyển Khóa - Ngành - Lớp - Ngày 15/08/2023; Quyết định tam ngừng học - Ngày 13/05/2024; Quyết định quay trở lại trường - Ngày 08/01/2025; Quyết định tam ngừng học - Ngày 01/11/2023; Quyết định quay trở lại trường - Ngày 25/12/2023; </t>
  </si>
  <si>
    <t>BV Lê Lợi, BRVT</t>
  </si>
  <si>
    <t>001303043812</t>
  </si>
  <si>
    <t>0869072175</t>
  </si>
  <si>
    <t>1426</t>
  </si>
  <si>
    <t>172d lưu chí hiếu phường thắng nhất thành phố vũng tàu</t>
  </si>
  <si>
    <t>Nguyễn Thái Hiển</t>
  </si>
  <si>
    <t>Phạm Thị Hoài</t>
  </si>
  <si>
    <t>Trần Khang Hy</t>
  </si>
  <si>
    <t>054203008346</t>
  </si>
  <si>
    <t>0385832253</t>
  </si>
  <si>
    <t>KP. Phú hiệp 1 Phường hòa hiệp trung . Thị xã đông hòa tỉnh phú yên</t>
  </si>
  <si>
    <t>Trần Mẫu</t>
  </si>
  <si>
    <t>Nguyễn Thị Ơi</t>
  </si>
  <si>
    <t>382050563</t>
  </si>
  <si>
    <t>0948533645</t>
  </si>
  <si>
    <t>Ấp 2, Xã Khánh An, Huyện U Minh, Tỉnh Cà Mau</t>
  </si>
  <si>
    <t>Huỳnh Nguyễn Hoàng</t>
  </si>
  <si>
    <t>Nguyễn Hồng Sánh</t>
  </si>
  <si>
    <t>Nguyễn Quốc Khánh</t>
  </si>
  <si>
    <t>281341953</t>
  </si>
  <si>
    <t>0972684367</t>
  </si>
  <si>
    <t>1428</t>
  </si>
  <si>
    <t>109/41/2 Nguyễn Thái Bình, Phú Hòa, TP Thủ Dầu Một, Bình Dương</t>
  </si>
  <si>
    <t>Nguyễn Văn Bảy</t>
  </si>
  <si>
    <t>Hoàng Thị Duyên</t>
  </si>
  <si>
    <t>122355755</t>
  </si>
  <si>
    <t>0384442997</t>
  </si>
  <si>
    <t>1429</t>
  </si>
  <si>
    <t>259 Lê thị Riêng- Thới An - q12</t>
  </si>
  <si>
    <t>Dương Ngọc Linh</t>
  </si>
  <si>
    <t>372114504</t>
  </si>
  <si>
    <t>0971185823</t>
  </si>
  <si>
    <t>1431</t>
  </si>
  <si>
    <t>21 Thành Thái, Phường Nguyễn Thanh Vân, Thành Phố Rạch Giá, Tỉnh Kiên Giang</t>
  </si>
  <si>
    <t>Dương Tuấn Lâm</t>
  </si>
  <si>
    <t>Trương Ngọc Hương</t>
  </si>
  <si>
    <t>049203000041</t>
  </si>
  <si>
    <t>0374962029</t>
  </si>
  <si>
    <t>ĐỖ NGỌC LINH, 0374962029, 23/36/100 đường Nguyễn Hữu Tiến, phường Tây Thạnh, quận Tân Phú, TP. Hồ Chí Minh</t>
  </si>
  <si>
    <t>Đỗ Viết Mai</t>
  </si>
  <si>
    <t>Nguyễn Thị Liêm</t>
  </si>
  <si>
    <t>Nguyễn Thị Thủy Linh</t>
  </si>
  <si>
    <t>Buôn ma Thuột</t>
  </si>
  <si>
    <t>242010646</t>
  </si>
  <si>
    <t>0947513856</t>
  </si>
  <si>
    <t>239</t>
  </si>
  <si>
    <t>Nguyễn Mạnh Dần</t>
  </si>
  <si>
    <t>Tạ Thị Na</t>
  </si>
  <si>
    <t>Hồ Phạm Khánh Linh</t>
  </si>
  <si>
    <t>079303012610</t>
  </si>
  <si>
    <t>0921971145</t>
  </si>
  <si>
    <t>1274</t>
  </si>
  <si>
    <t>282/60 Bùi Hữu Nghĩa phường 2 Quận Bình Thạnh TPHCM</t>
  </si>
  <si>
    <t>Hồ Văn Kiệt</t>
  </si>
  <si>
    <t>Phạm Nguyễn Uyên Ly</t>
  </si>
  <si>
    <t>Nguyễn Thị Phương Linh</t>
  </si>
  <si>
    <t>Xóm 16, Xã Xuân Thượng , huyện Xuân Trường , tỉnh Nam Định</t>
  </si>
  <si>
    <t>036303003619</t>
  </si>
  <si>
    <t>Cục cảnh sát quản lí hành chính về trật tự xã hội</t>
  </si>
  <si>
    <t>0779274671</t>
  </si>
  <si>
    <t>Nguyễn Văn Trung</t>
  </si>
  <si>
    <t>0977528068</t>
  </si>
  <si>
    <t>0987720448</t>
  </si>
  <si>
    <t xml:space="preserve">Quyết định chuyển Khóa - Ngành - Lớp - Ngày 15/08/2023; Quyết định chuyển Khóa - Ngành - Lớp - Ngày 22/08/2022; </t>
  </si>
  <si>
    <t>Cao Văn Lĩnh</t>
  </si>
  <si>
    <t>064202012720</t>
  </si>
  <si>
    <t>Huyện chư păh, tỉnh gia lai</t>
  </si>
  <si>
    <t>0976707435</t>
  </si>
  <si>
    <t>Cao văn lĩnh, thôn 3, xã nghĩa hoà, huyện chư păh, tỉnh gia lai</t>
  </si>
  <si>
    <t>Cao Văn Ly</t>
  </si>
  <si>
    <t>Nguyễn Thị Dung</t>
  </si>
  <si>
    <t>Nguyễn Xuân Lộc</t>
  </si>
  <si>
    <t>054203009640</t>
  </si>
  <si>
    <t>0389630836</t>
  </si>
  <si>
    <t>1433</t>
  </si>
  <si>
    <t>Khu phố phú lạc phường hòa hiệp nam đông hòa phú yên</t>
  </si>
  <si>
    <t>Lê Thị Như</t>
  </si>
  <si>
    <t>Châu Huệ Mẫn</t>
  </si>
  <si>
    <t>321792417</t>
  </si>
  <si>
    <t>0398.001.095</t>
  </si>
  <si>
    <t>Trường THPT Trần Trường Sinh, Xã Giao Thạnh, huyện Thạnh Phú, tỉnh Bến Tre</t>
  </si>
  <si>
    <t>Châu Văn Hồng</t>
  </si>
  <si>
    <t>Nguyễn Thị Linh</t>
  </si>
  <si>
    <t>BV NDGia Định, Tp.HCM</t>
  </si>
  <si>
    <t>079303010440</t>
  </si>
  <si>
    <t>0909685610</t>
  </si>
  <si>
    <t>163 Đường số 8  Phường 11 Quận Gò VấpTP.Hồ Chí Minh</t>
  </si>
  <si>
    <t>Lê Hữu Phúc</t>
  </si>
  <si>
    <t>Võ Thị Thu Thảo</t>
  </si>
  <si>
    <t>Nguyễn Nhật Nam</t>
  </si>
  <si>
    <t>054203007690</t>
  </si>
  <si>
    <t>0326973304</t>
  </si>
  <si>
    <t>1281</t>
  </si>
  <si>
    <t>khu phố phước thịnh, thị trấn phú thứ, huyện tây hòa, tỉnh phú yên</t>
  </si>
  <si>
    <t>Nguyễn Xuân Bùi</t>
  </si>
  <si>
    <t>Nguyễn Thị Viện</t>
  </si>
  <si>
    <t>Nguyễn Nhất Nam</t>
  </si>
  <si>
    <t>261651352</t>
  </si>
  <si>
    <t>0923726997</t>
  </si>
  <si>
    <t>1282</t>
  </si>
  <si>
    <t>Thôn Trũng Liêm - Xã Hàm Chính - Huyện Hàm Thuận Bắc - Tỉnh Bình Thuận</t>
  </si>
  <si>
    <t>Cao Thị Loan</t>
  </si>
  <si>
    <t>096303005171</t>
  </si>
  <si>
    <t>0911098742</t>
  </si>
  <si>
    <t>1440</t>
  </si>
  <si>
    <t>Ấp 8 ,xã Tân Thạnh,thị xã Giá Rai, tỉnh Bạc Liêu</t>
  </si>
  <si>
    <t>Đỗ Tiến Phúc</t>
  </si>
  <si>
    <t>Biện Thị Tâm</t>
  </si>
  <si>
    <t>Nguyễn Hoàng Ái Nhi</t>
  </si>
  <si>
    <t>079303015619</t>
  </si>
  <si>
    <t>0778996532</t>
  </si>
  <si>
    <t>229</t>
  </si>
  <si>
    <t>THPT ĐÔNG ĐÔ - 12B NGUYỄN HỮU CẢNH, PHƯỜNG 19, QUẬN BÌNH THẠNH</t>
  </si>
  <si>
    <t>Nguyễn Văn Lợi</t>
  </si>
  <si>
    <t>Phạm Thị Phụng Hoàng</t>
  </si>
  <si>
    <t>Vũ Thị Thúy Nhi</t>
  </si>
  <si>
    <t>MI4000681166</t>
  </si>
  <si>
    <t>0947182447</t>
  </si>
  <si>
    <t>231</t>
  </si>
  <si>
    <t>TDP6 - Đoàn Kết - Buôn Hồ- Đắk Lắk</t>
  </si>
  <si>
    <t>Vũ Văn Nam</t>
  </si>
  <si>
    <t>Nguyễn Thị Chỉnh</t>
  </si>
  <si>
    <t>Nguyễn Đào Tuyết Nhung</t>
  </si>
  <si>
    <t>352670301</t>
  </si>
  <si>
    <t>0833667312</t>
  </si>
  <si>
    <t>12A4, THPT Xuân Tô, Tịnh Biên, An Giang</t>
  </si>
  <si>
    <t>Nguyễn Hoàng Sơn</t>
  </si>
  <si>
    <t>Đào Thị Bích Thủy</t>
  </si>
  <si>
    <t>077203007445</t>
  </si>
  <si>
    <t>0923923105</t>
  </si>
  <si>
    <t>1446</t>
  </si>
  <si>
    <t>26 Ngô Quyền, Phường Thắng Nhất, Thành phố Bà Rịa</t>
  </si>
  <si>
    <t>Nguyễn Bình Phương Quyên</t>
  </si>
  <si>
    <t>241915614</t>
  </si>
  <si>
    <t>0845563566</t>
  </si>
  <si>
    <t>228</t>
  </si>
  <si>
    <t>Xã Hòa Lễ - Huyện Krông Bông - Đắk Lắk</t>
  </si>
  <si>
    <t>Nguyễn Minh Dũng</t>
  </si>
  <si>
    <t>Nguyễn Thị Thùy Dương</t>
  </si>
  <si>
    <t>231428702</t>
  </si>
  <si>
    <t>0375214629</t>
  </si>
  <si>
    <t>1290</t>
  </si>
  <si>
    <t>82 Lạc Long quân tổ 5 Phường Thắng Lợi tp Pleiku Tỉnh Gia Lai</t>
  </si>
  <si>
    <t>Nguyễn Đức Khiên</t>
  </si>
  <si>
    <t>Trần Thị Thùy Dương</t>
  </si>
  <si>
    <t>031203000286</t>
  </si>
  <si>
    <t>0981631416</t>
  </si>
  <si>
    <t>1292</t>
  </si>
  <si>
    <t>Câu Hạ B, Quang Trung, An Lão, Hải Phòng</t>
  </si>
  <si>
    <t>Bùi Đức Duy</t>
  </si>
  <si>
    <t>Vũ Thị Lan</t>
  </si>
  <si>
    <t>Lê Trung Sơn</t>
  </si>
  <si>
    <t>060203000362</t>
  </si>
  <si>
    <t>0369143382</t>
  </si>
  <si>
    <t>203</t>
  </si>
  <si>
    <t>Lê Xuân Trường</t>
  </si>
  <si>
    <t>Nguyễn Thị An</t>
  </si>
  <si>
    <t>Bùi Tuấn Sơn</t>
  </si>
  <si>
    <t>285870421</t>
  </si>
  <si>
    <t>0926195505</t>
  </si>
  <si>
    <t>1448</t>
  </si>
  <si>
    <t>Đội 8 ấp cầu 2 xã đồng tiến huyện đồng phú tỉnh bình phước</t>
  </si>
  <si>
    <t>Bùi Tuấn Tuệ</t>
  </si>
  <si>
    <t>Trần Thị Sen</t>
  </si>
  <si>
    <t>Nguyễn Văn Thái</t>
  </si>
  <si>
    <t>036203003124</t>
  </si>
  <si>
    <t>0964025046</t>
  </si>
  <si>
    <t>1293</t>
  </si>
  <si>
    <t>180/3B, ĐƯỜNG TL 30, KP1, PHƯỜNG THẠNH LỘC QUẬN 12, TPHCM</t>
  </si>
  <si>
    <t>Nguyễn Văn Trình</t>
  </si>
  <si>
    <t>Bùi Thị Hoa</t>
  </si>
  <si>
    <t>Lê Thị Hồng Thắm</t>
  </si>
  <si>
    <t>079303002842</t>
  </si>
  <si>
    <t>0908907746</t>
  </si>
  <si>
    <t>226</t>
  </si>
  <si>
    <t>B8/20, ấp 2A , xã Vĩnh Lộc B, huyện Bình Chánh,TP Hồ Chí Minh</t>
  </si>
  <si>
    <t>Lê Văn Sáu</t>
  </si>
  <si>
    <t>Nguyễn Thị Tuyết Trinh</t>
  </si>
  <si>
    <t>Lưu Đặng Thảo</t>
  </si>
  <si>
    <t>372114794</t>
  </si>
  <si>
    <t>0941595926</t>
  </si>
  <si>
    <t>Lưu Đặng Thảo, sđt: 0941595926, Đ/c: 28 Đinh Công Tráng, phường Rạch Sỏi, TP Rạch Giá, tỉnh Kiên Giang</t>
  </si>
  <si>
    <t>Lưu Đặng Trí</t>
  </si>
  <si>
    <t>Trần Ái Tuyết</t>
  </si>
  <si>
    <t>372079262</t>
  </si>
  <si>
    <t>0795474970</t>
  </si>
  <si>
    <t>Trương Thị Phương Thảo - 0795474970 - Số 133 đường Nam Hồ, Khu phố 2, Phường Tô Châu, TP. Hà Tiên, Kiên Giang</t>
  </si>
  <si>
    <t>Trương Văn Bi</t>
  </si>
  <si>
    <t>Huỳnh Thị Có</t>
  </si>
  <si>
    <t>321738814</t>
  </si>
  <si>
    <t>0364749902</t>
  </si>
  <si>
    <t>1452</t>
  </si>
  <si>
    <t>Nguyễn Thị Minh Thư,0364749902,xã Cẩm Sơn, huyện Mỏ Cày Nam, tỉnh Bến Tre</t>
  </si>
  <si>
    <t>Nguyễn Văn Ghi</t>
  </si>
  <si>
    <t>Nguyễn Thị MInh Bằng</t>
  </si>
  <si>
    <t xml:space="preserve">Quyết định tam ngừng học - Ngày 07/03/2024; Quyết định quay trở lại trường - Ngày 18/12/2025; Quyết định chuyển Khóa - Ngành - Lớp - Ngày 15/08/2023; </t>
  </si>
  <si>
    <t>Trương Minh Thức</t>
  </si>
  <si>
    <t>Tuy Hòa, Phú Yên</t>
  </si>
  <si>
    <t>054203003109</t>
  </si>
  <si>
    <t>0945233432</t>
  </si>
  <si>
    <t>1453</t>
  </si>
  <si>
    <t>Xã Bình Ngọc Tp Tuy Hoà Phú Yên</t>
  </si>
  <si>
    <t>Trương Văn Trình</t>
  </si>
  <si>
    <t>Trần Thị Thu Thương</t>
  </si>
  <si>
    <t>206454976</t>
  </si>
  <si>
    <t>0367112537</t>
  </si>
  <si>
    <t>1454</t>
  </si>
  <si>
    <t>Tổ 4, Bình Quang, Bình Quế, Thăng Bình , Quảng Nam</t>
  </si>
  <si>
    <t>Trần Văn Đàng</t>
  </si>
  <si>
    <t>Nguyễn Thị Sinh</t>
  </si>
  <si>
    <t>051303002370</t>
  </si>
  <si>
    <t>0357438995</t>
  </si>
  <si>
    <t>1300</t>
  </si>
  <si>
    <t>Số 139, Tân Trung A, xã Eatóh, huyện Krông Năng, tỉnh Đăk Lăk.</t>
  </si>
  <si>
    <t>Nguyễn Văn Nguyên</t>
  </si>
  <si>
    <t>Huỳnh Thị Hà</t>
  </si>
  <si>
    <t>Lê Đình Thành Trung</t>
  </si>
  <si>
    <t>077203001175</t>
  </si>
  <si>
    <t>Cục trưởng cục cảnh sát ĐKQL cư trú và DLQG về dân cư</t>
  </si>
  <si>
    <t>0966142993</t>
  </si>
  <si>
    <t>1334/18 Đường 30/4 phường 12, Thành phố Vũng Tàu</t>
  </si>
  <si>
    <t>Lê Đình Thắng</t>
  </si>
  <si>
    <t>0913858693</t>
  </si>
  <si>
    <t>Nguyễn Thị Lương</t>
  </si>
  <si>
    <t>0989350393</t>
  </si>
  <si>
    <t>Trần Mạnh Trung</t>
  </si>
  <si>
    <t>077203003657</t>
  </si>
  <si>
    <t>Cục Trưởng Cục Cảnh sát Quản Lý Hành Chính Về Trật Tự Xã Hội</t>
  </si>
  <si>
    <t>0979387529</t>
  </si>
  <si>
    <t>1334/26 đường 30/4 phường 12 thành phố Vũng Tàu</t>
  </si>
  <si>
    <t>Trần Ngọc Thạch</t>
  </si>
  <si>
    <t>0394767937</t>
  </si>
  <si>
    <t>Lê Thị Thêu</t>
  </si>
  <si>
    <t>0395165745</t>
  </si>
  <si>
    <t>075203003366</t>
  </si>
  <si>
    <t>0389034974</t>
  </si>
  <si>
    <t>33/88, Tổ 10 - KP 2A, P. Long Bình, Thành phố Biên Hòa - Đồng Nai</t>
  </si>
  <si>
    <t>Ngô Thị Phương</t>
  </si>
  <si>
    <t>Khương Thi Anh Tuấn</t>
  </si>
  <si>
    <t>241953718</t>
  </si>
  <si>
    <t>0984725743</t>
  </si>
  <si>
    <t>1307</t>
  </si>
  <si>
    <t>Thôn 1A, Xã Ea Siên, Thị xã Buôn Hồ, Tỉnh Đăk Lăk</t>
  </si>
  <si>
    <t>Khương Bá Vĩnh</t>
  </si>
  <si>
    <t>Thi Thị Hồng</t>
  </si>
  <si>
    <t>Nguyễn Minh Tường</t>
  </si>
  <si>
    <t>079203030728</t>
  </si>
  <si>
    <t>0368078884</t>
  </si>
  <si>
    <t>209</t>
  </si>
  <si>
    <t>Block A3, đường số 7, khu đô thị Lợi Bình Nhơn, xã Lợi Bình Nhơn, tp Tân An, Long An</t>
  </si>
  <si>
    <t>Nguyễn Văn Hóa</t>
  </si>
  <si>
    <t>Nguyễn Thị Thu Dung</t>
  </si>
  <si>
    <t>066302000415</t>
  </si>
  <si>
    <t>0867011025</t>
  </si>
  <si>
    <t>248</t>
  </si>
  <si>
    <t>NGUYỄN THỊ ÁNH TUYẾT, lớp 12A3, Trường THPT Ea Súp, Đắk Lắk</t>
  </si>
  <si>
    <t>Nguyễn Cách</t>
  </si>
  <si>
    <t>Trần Thị Xuân Mai</t>
  </si>
  <si>
    <t>Tỉnh Bình Định</t>
  </si>
  <si>
    <t>215594686</t>
  </si>
  <si>
    <t>Cục trưởng cục cảnh sát về quản lí hành chính và trật tự xã hội</t>
  </si>
  <si>
    <t>0965120006</t>
  </si>
  <si>
    <t>99 Quang Trung Phường Bình Định thị xã An Nhơn tỉnh Bình Định</t>
  </si>
  <si>
    <t>Trương Đình Sơn</t>
  </si>
  <si>
    <t>0905238387</t>
  </si>
  <si>
    <t>Phan Thị Nhung</t>
  </si>
  <si>
    <t>0933034341</t>
  </si>
  <si>
    <t>Nguyễn Thảo Vy</t>
  </si>
  <si>
    <t>070303005946</t>
  </si>
  <si>
    <t>0353607270</t>
  </si>
  <si>
    <t>1313</t>
  </si>
  <si>
    <t>Thôn 7 xã long giang thị xã phước long tỉnh bình phước</t>
  </si>
  <si>
    <t>Nguyễn Văn Thọ</t>
  </si>
  <si>
    <t>VõThị Bình Phước</t>
  </si>
  <si>
    <t>342086744</t>
  </si>
  <si>
    <t>0847813455</t>
  </si>
  <si>
    <t>1314</t>
  </si>
  <si>
    <t>Khóm An Thạnh B Phường An Lộc Thành Phố Hồng Ngự Đồng Tháp</t>
  </si>
  <si>
    <t>Nguyễn Văn Lập</t>
  </si>
  <si>
    <t>Nguyễn Thị Mỹ Dung</t>
  </si>
  <si>
    <t>Võ Đức Quyền</t>
  </si>
  <si>
    <t>Tại chức K54</t>
  </si>
  <si>
    <t>0912724571</t>
  </si>
  <si>
    <t>Chung cư HUD2, Số 110, Tòa A, Trần Hưng Đạo, Thái Bình</t>
  </si>
  <si>
    <t xml:space="preserve">Quyết định tam ngừng học - Ngày 01/11/2022; Quyết định quay trở lại trường - Ngày 20/07/2023; </t>
  </si>
  <si>
    <t>0947186085</t>
  </si>
  <si>
    <t>Đường 39B</t>
  </si>
  <si>
    <t>Trương Anh Tiến</t>
  </si>
  <si>
    <t>Lê Thị Lệ</t>
  </si>
  <si>
    <t xml:space="preserve">Quyết định tam ngừng học - Ngày 27/10/2023; Quyết định tam ngừng học - Ngày 29/05/2024; Quyết định quay trở lại trường - Ngày 20/05/2024; Quyết định quay trở lại trường - Ngày 07/01/2025; </t>
  </si>
  <si>
    <t>0945.729.873</t>
  </si>
  <si>
    <t>Lê Nguyên Vũ</t>
  </si>
  <si>
    <t>Lê Hồng Nhi</t>
  </si>
  <si>
    <t xml:space="preserve">Quyết định tam ngừng học - Ngày 12/04/2024; Quyết định quay trở lại trường - Ngày 07/01/2025; </t>
  </si>
  <si>
    <t>Hà tĩnh</t>
  </si>
  <si>
    <t>công an hà tĩnh</t>
  </si>
  <si>
    <t>0973962030</t>
  </si>
  <si>
    <t>không</t>
  </si>
  <si>
    <t>D13/25D1 đường lê thị dung,ấp 4A,xã vĩnh lộc A,huyện bình chánh,tp hồ chí minh</t>
  </si>
  <si>
    <t>võ thanh bình</t>
  </si>
  <si>
    <t>0919823643</t>
  </si>
  <si>
    <t>nguyễn thị nguyệt</t>
  </si>
  <si>
    <t>0379450160</t>
  </si>
  <si>
    <t>Thanh hóa</t>
  </si>
  <si>
    <t>0354077026</t>
  </si>
  <si>
    <t>Ấp 2</t>
  </si>
  <si>
    <t>Nguyễn Phú Sỹ</t>
  </si>
  <si>
    <t>Trần Thị Phương</t>
  </si>
  <si>
    <t>0336.546.387</t>
  </si>
  <si>
    <t>Phạm Đức Hiển</t>
  </si>
  <si>
    <t xml:space="preserve">Quyết định quay trở lại trường - Ngày 10/06/2024; Quyết định tam ngừng học - Ngày 10/10/2023; </t>
  </si>
  <si>
    <t>0913733564</t>
  </si>
  <si>
    <t>Số 68 Ấp Thạch Điền, Lý Văn Lâm, Tp. Cà Mau, Cà Mau</t>
  </si>
  <si>
    <t>Biện Chí Lăng</t>
  </si>
  <si>
    <t>Lê Thị Thanh Lan</t>
  </si>
  <si>
    <t>Đông Nai</t>
  </si>
  <si>
    <t>đồng nai</t>
  </si>
  <si>
    <t>0387935794</t>
  </si>
  <si>
    <t>Phạm Chín , tổ 6, ấp Bàu Sầm, xã Bàu Trâm, TP Long Khánh, tỉnh Đồng Nai</t>
  </si>
  <si>
    <t>Phạm Chín</t>
  </si>
  <si>
    <t>0918795252</t>
  </si>
  <si>
    <t>Võ Thị Nở</t>
  </si>
  <si>
    <t>0383674576</t>
  </si>
  <si>
    <t>giồng trôm tỉnh bến tre</t>
  </si>
  <si>
    <t>Công an bến tre</t>
  </si>
  <si>
    <t>0344001345</t>
  </si>
  <si>
    <t>Mẹ : phan thị kim trang , 95, ấp thới an xã châu hoà huyện giồng trôm tỉnh bến tre</t>
  </si>
  <si>
    <t>Lê Văn Được</t>
  </si>
  <si>
    <t>0345458705</t>
  </si>
  <si>
    <t>Phan Thị Kim Trang</t>
  </si>
  <si>
    <t>0356617150</t>
  </si>
  <si>
    <t xml:space="preserve">Quyết định tam ngừng học - Ngày 27/12/2023; Quyết định quay trở lại trường - Ngày 26/08/2024; </t>
  </si>
  <si>
    <t>241903281</t>
  </si>
  <si>
    <t>0949.749.092</t>
  </si>
  <si>
    <t>Cao Tiến Dũng</t>
  </si>
  <si>
    <t>Đinh Thị Cúc</t>
  </si>
  <si>
    <t xml:space="preserve">Quyết định tam ngừng học - Ngày 04/10/2023; Quyết định quay trở lại trường - Ngày 26/08/2024; </t>
  </si>
  <si>
    <t>Phan Gia Hội</t>
  </si>
  <si>
    <t>Phú Túc, Phú Xuyên , Hà Nội</t>
  </si>
  <si>
    <t>0969039728</t>
  </si>
  <si>
    <t>31/10 Đường số 1, khu phố 5 Tân Tạo A, Bình Tân, HCM</t>
  </si>
  <si>
    <t>Nguyễn Văn Ngát</t>
  </si>
  <si>
    <t>Lê Thị Ngát</t>
  </si>
  <si>
    <t>Tp.Hồ Chí Minh</t>
  </si>
  <si>
    <t>0972834098</t>
  </si>
  <si>
    <t>Lương Thanh Châu</t>
  </si>
  <si>
    <t>Nguyễn Thị Cảnh Linh</t>
  </si>
  <si>
    <t>0978106981</t>
  </si>
  <si>
    <t>Thái</t>
  </si>
  <si>
    <t>53/127/30/53A, Đường số 4, Bình Hưng Hòa, Bình Tân, HCM</t>
  </si>
  <si>
    <t>Hà Văn Mừng</t>
  </si>
  <si>
    <t>Lò Thị Phán</t>
  </si>
  <si>
    <t>TP Hồ Chí Minh</t>
  </si>
  <si>
    <t>CỤC TRƯỞNG CỤC CẢNH SÁT</t>
  </si>
  <si>
    <t>0933209040</t>
  </si>
  <si>
    <t>KHÔNG</t>
  </si>
  <si>
    <t>14 Đường số 4B</t>
  </si>
  <si>
    <t>Phạm Trung Trí</t>
  </si>
  <si>
    <t>0909475740</t>
  </si>
  <si>
    <t>Đào Kim Yến</t>
  </si>
  <si>
    <t xml:space="preserve">Quyết định quay trở lại trường - Ngày 05/08/2024; Quyết định tam ngừng học - Ngày 28/12/2023; </t>
  </si>
  <si>
    <t>075202023636</t>
  </si>
  <si>
    <t>0343598936</t>
  </si>
  <si>
    <t>PHẬT</t>
  </si>
  <si>
    <t>37 Lý Thái Tổ, Phường Xuân Hòa thành phố Long Khánh-Đồng Nai</t>
  </si>
  <si>
    <t>Nguyễn Văn Phước</t>
  </si>
  <si>
    <t>928638393</t>
  </si>
  <si>
    <t>Nguyễn Thị Thanh Tuyền</t>
  </si>
  <si>
    <t>0975685068</t>
  </si>
  <si>
    <t>0972654635</t>
  </si>
  <si>
    <t>Vĩnh Thanh</t>
  </si>
  <si>
    <t>Danh Lệ</t>
  </si>
  <si>
    <t>Lâm Ngọc Tuyết</t>
  </si>
  <si>
    <t>Thanh Hóa.</t>
  </si>
  <si>
    <t>0908959736</t>
  </si>
  <si>
    <t>c13/QD64, tổ 244, xã Bình Hưng, Huyện Bình Chánh, TP. HCM</t>
  </si>
  <si>
    <t>Nguyễn Đăng Giao</t>
  </si>
  <si>
    <t>Hà Thị Tuyết</t>
  </si>
  <si>
    <t>Vũ Văn Mạnh</t>
  </si>
  <si>
    <t>0793839998</t>
  </si>
  <si>
    <t>Lê Sỹ Hưng</t>
  </si>
  <si>
    <t>Nguyễn Thị Thơm</t>
  </si>
  <si>
    <t xml:space="preserve">Quyết định tam ngừng học - Ngày 01/11/2022; Quyết định quay trở lại trường - Ngày 08/05/2023; </t>
  </si>
  <si>
    <t>CTCCS quản lý hành chính về trật tự xã hội</t>
  </si>
  <si>
    <t>0972381150</t>
  </si>
  <si>
    <t>đỗ mỹ bãi sậy ân thi hưng yên</t>
  </si>
  <si>
    <t>Phan Quang Minh</t>
  </si>
  <si>
    <t>0969163138</t>
  </si>
  <si>
    <t>Lâm Thị Bích</t>
  </si>
  <si>
    <t>Quyết định chuyển Khóa - Ngành - Lớp - Ngày 26/10/2020</t>
  </si>
  <si>
    <t>Chuyển khóa ngành lớp</t>
  </si>
  <si>
    <t>CA QUẢNG NGÃI</t>
  </si>
  <si>
    <t>0963066458</t>
  </si>
  <si>
    <t>Lê Phạm Đình Huân Tổ dân phố 3 Thị Trấn Mộ Đức Huyện Mộ Đức Tỉnh Quảng Ngãi</t>
  </si>
  <si>
    <t>Lê Phạm Đình Huân</t>
  </si>
  <si>
    <t>Dương Thị Thanh Tâm</t>
  </si>
  <si>
    <t>Khánh Hoà</t>
  </si>
  <si>
    <t>0945129247</t>
  </si>
  <si>
    <t>Nguyễn Văn Hải  79 Hậu Giang, Lợi Phú, Cam Lợi, Cam Ranh, Khánh Hoà</t>
  </si>
  <si>
    <t>Nguyễn Văn Hải</t>
  </si>
  <si>
    <t>0903543033</t>
  </si>
  <si>
    <t>Phan Thị Thanh Tuyến</t>
  </si>
  <si>
    <t>0942897293</t>
  </si>
  <si>
    <t>gia lai</t>
  </si>
  <si>
    <t>0987972119</t>
  </si>
  <si>
    <t>trần van dũng</t>
  </si>
  <si>
    <t>Trần Văn Hiệp</t>
  </si>
  <si>
    <t>0379961055</t>
  </si>
  <si>
    <t>Đỗ Thị Điệp</t>
  </si>
  <si>
    <t>034</t>
  </si>
  <si>
    <t>kiên giang</t>
  </si>
  <si>
    <t>rạch giá,kiên giang</t>
  </si>
  <si>
    <t>0562532524</t>
  </si>
  <si>
    <t>nguyễn hùng dũng ,148c,ngô thời nhiệm,phường an bình,rạch giá,kiên giang</t>
  </si>
  <si>
    <t>NGUYỄN HÙNG DŨNG</t>
  </si>
  <si>
    <t>0373180516</t>
  </si>
  <si>
    <t>NGUYỄN NGỌC TA</t>
  </si>
  <si>
    <t>0376779890</t>
  </si>
  <si>
    <t>Vĩnh Phúc</t>
  </si>
  <si>
    <t>0937889534</t>
  </si>
  <si>
    <t>đường tân chánh hiệp 03</t>
  </si>
  <si>
    <t>Nguyễn Văn Thắng</t>
  </si>
  <si>
    <t>Nguyễn Thúy Nga</t>
  </si>
  <si>
    <t>CỤC TRƯỞNG CỤC CẢNH SÁT ĐKQL CƯ TRÚ VÀ QG VỀ DÂN CƯ</t>
  </si>
  <si>
    <t>0916135433</t>
  </si>
  <si>
    <t>276/29/13 mã lò , phường bình trị đông a , quận bình tân , hcm</t>
  </si>
  <si>
    <t>Mai Xuân Hồng</t>
  </si>
  <si>
    <t>0917177489</t>
  </si>
  <si>
    <t>Phan Thị Ái Liên</t>
  </si>
  <si>
    <t>0932030843</t>
  </si>
  <si>
    <t>0784464412</t>
  </si>
  <si>
    <t>Ấp 5, Nhị Thành, Thủ Thừa, Long An</t>
  </si>
  <si>
    <t>Ngô Văn Phùng</t>
  </si>
  <si>
    <t>Lê Thị Tuyết Lan</t>
  </si>
  <si>
    <t>BV Từ Dũ, Tp.Hồ Chí MInh</t>
  </si>
  <si>
    <t>0906.114.615</t>
  </si>
  <si>
    <t>Trương Tấn Dũng</t>
  </si>
  <si>
    <t>Lê Hồng Điệp</t>
  </si>
  <si>
    <t>công an Bình Thuận</t>
  </si>
  <si>
    <t>0584442203</t>
  </si>
  <si>
    <t>ĐÀO THỊ VÂN</t>
  </si>
  <si>
    <t>LÊ THANH HÓA</t>
  </si>
  <si>
    <t>0918552107</t>
  </si>
  <si>
    <t>0915560620</t>
  </si>
  <si>
    <t xml:space="preserve">Quyết định tam ngừng học - Ngày 06/10/2023; Quyết định quay trở lại trường - Ngày 17/04/2024; </t>
  </si>
  <si>
    <t>0382.638.872</t>
  </si>
  <si>
    <t>Đinh Trọng Trung</t>
  </si>
  <si>
    <t>Trần Thị Thanh Kiều</t>
  </si>
  <si>
    <t>Phù Mỹ - Bình Định</t>
  </si>
  <si>
    <t>BÌNH ĐỊNH</t>
  </si>
  <si>
    <t>0356148778</t>
  </si>
  <si>
    <t>54/21 Quang Trung, Tăng Nhơn Phú B, Quận 9, TP. HCM</t>
  </si>
  <si>
    <t>Phạm Văn Lễ</t>
  </si>
  <si>
    <t>0775481906</t>
  </si>
  <si>
    <t>Lê Thị Thanh</t>
  </si>
  <si>
    <t>0335397019</t>
  </si>
  <si>
    <t>0964359626</t>
  </si>
  <si>
    <t>Ấp khu 3, Thạnh Phú, Mỹ Xuyên, Sóc Trăng</t>
  </si>
  <si>
    <t>Huỳnh Thị Cẩm</t>
  </si>
  <si>
    <t>Tỉnh Đăk Nông</t>
  </si>
  <si>
    <t>Công an Tỉnh Đăk Nông</t>
  </si>
  <si>
    <t>0916317602</t>
  </si>
  <si>
    <t>Ba Nguyễn Minh
Thôn Xuyên Hà - Xã Đức Xuyên - Huyện Krong Nô - Tỉnh Đăk Nông</t>
  </si>
  <si>
    <t>Nguyễn Minh</t>
  </si>
  <si>
    <t>0377974054</t>
  </si>
  <si>
    <t>Đặng Thị Ngọc</t>
  </si>
  <si>
    <t>Tỉnh Quảng Bình</t>
  </si>
  <si>
    <t>0899620817</t>
  </si>
  <si>
    <t>Hoàng Thị Trang, TDP Quyết Tiến, Thị trấn Nông Trường Việt Trung, huyện Bố Trạch, tỉnh Quảng Bình</t>
  </si>
  <si>
    <t>Hoàng Thị Trang</t>
  </si>
  <si>
    <t>0763122981</t>
  </si>
  <si>
    <t>Huyện diễn châu , tỉnh nghệ an</t>
  </si>
  <si>
    <t>0395567240</t>
  </si>
  <si>
    <t>268</t>
  </si>
  <si>
    <t>Hoàng Thị Hằng; xóm 3 ,xã minh châu ,huyện diễn châu, tỉnh nghệ an</t>
  </si>
  <si>
    <t>Lê Đình Toàn</t>
  </si>
  <si>
    <t>0383301577</t>
  </si>
  <si>
    <t>Hoàng Thị Hằng</t>
  </si>
  <si>
    <t>0398036124</t>
  </si>
  <si>
    <t>Tp. Hồ Chí MInh</t>
  </si>
  <si>
    <t>tp hồ chí minh</t>
  </si>
  <si>
    <t>0705869418</t>
  </si>
  <si>
    <t>Thiên Chúa giáo</t>
  </si>
  <si>
    <t>Thạo, 329 tôn đản, p15. quận 4, tp hcm</t>
  </si>
  <si>
    <t>Đỗ Văn Thạo</t>
  </si>
  <si>
    <t>0397366231</t>
  </si>
  <si>
    <t>Trần Thị Kim Trang</t>
  </si>
  <si>
    <t>0906911854</t>
  </si>
  <si>
    <t xml:space="preserve">Quyết định quay trở lại trường - Ngày 13/01/2025; Quyết định tam ngừng học - Ngày 03/01/2025; </t>
  </si>
  <si>
    <t>bình định</t>
  </si>
  <si>
    <t>0359242460</t>
  </si>
  <si>
    <t>nguyễn thị bích ngân, cát minh phù cát Bình Định</t>
  </si>
  <si>
    <t>Nguyễn Văn Trúng</t>
  </si>
  <si>
    <t>0988195545</t>
  </si>
  <si>
    <t>Hồ Thị Lệ Thanh</t>
  </si>
  <si>
    <t>0369783591</t>
  </si>
  <si>
    <t>Công an Quảng Bình</t>
  </si>
  <si>
    <t>0858270436</t>
  </si>
  <si>
    <t>Nguyễn Thị Mừng</t>
  </si>
  <si>
    <t>Trần Văn Đông</t>
  </si>
  <si>
    <t>0917690358</t>
  </si>
  <si>
    <t>0918352429</t>
  </si>
  <si>
    <t>Trạm Ytế xã Phước Quang, Bình Định</t>
  </si>
  <si>
    <t>0327.178.525</t>
  </si>
  <si>
    <t>292</t>
  </si>
  <si>
    <t>Dương Ngọc Thanh</t>
  </si>
  <si>
    <t>Nguyễn Thị Mỹ Hoa</t>
  </si>
  <si>
    <t>BV ND Gia Định, TP Hồ Chí Minh</t>
  </si>
  <si>
    <t>0707625648</t>
  </si>
  <si>
    <t>Công Gíao</t>
  </si>
  <si>
    <t>245 Bình Lợi p13 quận BÌnh Thạnh</t>
  </si>
  <si>
    <t>Phạm Văn Liễu</t>
  </si>
  <si>
    <t>0783212057</t>
  </si>
  <si>
    <t>Lê Thị Thân</t>
  </si>
  <si>
    <t xml:space="preserve">Quyết định tam ngừng học - Ngày 01/11/2022; Quyết định quay trở lại trường - Ngày 17/04/2023; </t>
  </si>
  <si>
    <t>Tp.Hồ chí Minh</t>
  </si>
  <si>
    <t>Cục trưởng cục cảnh sát DKQL cư trú và DLQG về dân sự</t>
  </si>
  <si>
    <t>0779959672</t>
  </si>
  <si>
    <t>151 khu phố 6 phường hiệp bình chánh quận thủ đức</t>
  </si>
  <si>
    <t>Nguyễn Đại Phương</t>
  </si>
  <si>
    <t>0909594662</t>
  </si>
  <si>
    <t>Nguyễn Thúy Kiều</t>
  </si>
  <si>
    <t>0935589547</t>
  </si>
  <si>
    <t>Giám Đốc CA Tỉnh Đồng Nai</t>
  </si>
  <si>
    <t>0969574843</t>
  </si>
  <si>
    <t>Bố: Nguyễn Quang Báu</t>
  </si>
  <si>
    <t>Nguyễn Quang Báu</t>
  </si>
  <si>
    <t>Đào Thị Lan Hồng</t>
  </si>
  <si>
    <t>0987149190</t>
  </si>
  <si>
    <t>0377997828</t>
  </si>
  <si>
    <t>Jrai</t>
  </si>
  <si>
    <t>R'Ô Kin</t>
  </si>
  <si>
    <t>Rmah H'Jep</t>
  </si>
  <si>
    <t>0948487710</t>
  </si>
  <si>
    <t>127 Nguyễn Xí, P.26, Bình Thạnh, HCM</t>
  </si>
  <si>
    <t>S23-62QT-KDQT</t>
  </si>
  <si>
    <t>Quyết định chuyển Khóa - Ngành - Lớp - Ngày 22/08/2022</t>
  </si>
  <si>
    <t>0934037331</t>
  </si>
  <si>
    <t>73/8 Hồ Hảo Hới, P. Cô Giang, Q.1, HCM</t>
  </si>
  <si>
    <t>Trần Thanh Dũng</t>
  </si>
  <si>
    <t>Lê Thị Kim Thu</t>
  </si>
  <si>
    <t>Quyết định chuyển Khóa - Ngành - Lớp - Ngày 27/07/2022</t>
  </si>
  <si>
    <t>0352756320</t>
  </si>
  <si>
    <t>95 Âu Cơ, Tiến Thạnh, Tiến Lợi, Phan Thiết, Bình Thuận</t>
  </si>
  <si>
    <t>Lâm Hà, Lâm Đồng</t>
  </si>
  <si>
    <t>Võ Văn Sinh</t>
  </si>
  <si>
    <t>Trần Thị Tâm</t>
  </si>
  <si>
    <t>BV II Lâm Đồng</t>
  </si>
  <si>
    <t>Hoàng Ngọc Dục</t>
  </si>
  <si>
    <t>Hoàng Thị Bổng</t>
  </si>
  <si>
    <t>Trần Anh Khôi</t>
  </si>
  <si>
    <t>0587293873</t>
  </si>
  <si>
    <t>Lâm Trung Thủy, Đức Thọ, Hà Tĩnh</t>
  </si>
  <si>
    <t>Lữ Thuý Kiều</t>
  </si>
  <si>
    <t>Lữ Văn Luận</t>
  </si>
  <si>
    <t>Huỳnh Thị Khuyên</t>
  </si>
  <si>
    <t>Tp.Hồ Chí MInh</t>
  </si>
  <si>
    <t>0946711667</t>
  </si>
  <si>
    <t>46 Huỳnh Thị Hại, KP4, Tân Chánh Hiệp, Q.12, HCM</t>
  </si>
  <si>
    <t>Hồ Đắc Hoan</t>
  </si>
  <si>
    <t>Đắk Đoa, Pleiku, Gia Lai</t>
  </si>
  <si>
    <t>Sah</t>
  </si>
  <si>
    <t>Do</t>
  </si>
  <si>
    <t>bến tre</t>
  </si>
  <si>
    <t>Cục trưởng cục cảnh sát</t>
  </si>
  <si>
    <t>0924718792</t>
  </si>
  <si>
    <t>24/5 điện biên phủ p17 q bình thạnh</t>
  </si>
  <si>
    <t>lương chí quyền</t>
  </si>
  <si>
    <t>0908378173</t>
  </si>
  <si>
    <t>trịnh hồng linh</t>
  </si>
  <si>
    <t>0987614867</t>
  </si>
  <si>
    <t>Nguyễn Văn Mừng</t>
  </si>
  <si>
    <t xml:space="preserve">Quyết định chuyển Khóa - Ngành - Lớp - Ngày 26/10/2020; Quyết định chuyển Khóa - Ngành - Lớp - Ngày 27/07/2022; </t>
  </si>
  <si>
    <t>tỉnh kon tum</t>
  </si>
  <si>
    <t>0393454365</t>
  </si>
  <si>
    <t>phật giáo</t>
  </si>
  <si>
    <t>tổ 10 phường duy tân thành phố kon tum</t>
  </si>
  <si>
    <t>lê đình yên</t>
  </si>
  <si>
    <t>0357010229</t>
  </si>
  <si>
    <t>nguyễn thị cẩm loan</t>
  </si>
  <si>
    <t>0339717513</t>
  </si>
  <si>
    <t>0352174010</t>
  </si>
  <si>
    <t>Võ Đình Thắng</t>
  </si>
  <si>
    <t>Lê Thị Nhang</t>
  </si>
  <si>
    <t>Công An An Giang</t>
  </si>
  <si>
    <t>0931881729</t>
  </si>
  <si>
    <t>601/20/36 Cách Mạng Tháng tám, Phường 15, Quận 10, HCM</t>
  </si>
  <si>
    <t>Nguyễn Văn Tùng</t>
  </si>
  <si>
    <t>0919303978</t>
  </si>
  <si>
    <t>Phan Thị Thủy</t>
  </si>
  <si>
    <t>0919572626</t>
  </si>
  <si>
    <t xml:space="preserve">Quyết định quay trở lại trường - Ngày 04/08/2023; Quyết định tam ngừng học - Ngày 08/11/2022; Quyết định chuyển Khóa - Ngành - Lớp - Ngày 27/07/2022; </t>
  </si>
  <si>
    <t>0903637521</t>
  </si>
  <si>
    <t>332/123/10A,Dương Quảng Hàm, phường 5, quận Gò Vấp</t>
  </si>
  <si>
    <t>Đặng Văn Nhận</t>
  </si>
  <si>
    <t>0904528487</t>
  </si>
  <si>
    <t>Hoàng Thị Lệ</t>
  </si>
  <si>
    <t>0832553297</t>
  </si>
  <si>
    <t>Phạm Văn Lâm</t>
  </si>
  <si>
    <t>Mai Ngọc Thúy</t>
  </si>
  <si>
    <t>0937984654</t>
  </si>
  <si>
    <t>Chung cư Thạnh Mỹ Lợi, B1/307 Q2, TPHCM</t>
  </si>
  <si>
    <t>Lê Quang Nam</t>
  </si>
  <si>
    <t>Nguyễn Thị Mười</t>
  </si>
  <si>
    <t>204</t>
  </si>
  <si>
    <t>Trần hải</t>
  </si>
  <si>
    <t>Vũ Thị Chính</t>
  </si>
  <si>
    <t>phù cát-Bình định</t>
  </si>
  <si>
    <t>Quy nhơn-bình định</t>
  </si>
  <si>
    <t>0968952631</t>
  </si>
  <si>
    <t>toor50, khu vực 6, phường quang trung, Quy nhơn-bình định</t>
  </si>
  <si>
    <t>nguyễn ngọc bích</t>
  </si>
  <si>
    <t>0977522056</t>
  </si>
  <si>
    <t>nguyễn thị thanh</t>
  </si>
  <si>
    <t>0367013961</t>
  </si>
  <si>
    <t>052202005373</t>
  </si>
  <si>
    <t>0377513651</t>
  </si>
  <si>
    <t>Vĩnh Lý, Mỹ Tài, Phù Mỹ, Bình Định</t>
  </si>
  <si>
    <t>Võ Quốc Hưng</t>
  </si>
  <si>
    <t>Trần Thị Cương</t>
  </si>
  <si>
    <t>Vĩnh Thạnh</t>
  </si>
  <si>
    <t>0787931213</t>
  </si>
  <si>
    <t>Nguyễn Thị Thúy Liễu, Ấp Vĩnh Quới, TT Vĩnh Thạnh, Vĩnh Thạnh, TP Cần Thơ</t>
  </si>
  <si>
    <t>Trần Bình Em</t>
  </si>
  <si>
    <t>Nguyễn Thị Thúy Liễu</t>
  </si>
  <si>
    <t>BV Cai Lậy, Tiền Giang</t>
  </si>
  <si>
    <t>Nguyễn Thanh Hoàng</t>
  </si>
  <si>
    <t>Trần Thị Diễm Hiền</t>
  </si>
  <si>
    <t>0777595072</t>
  </si>
  <si>
    <t>Trần Thanh Hải</t>
  </si>
  <si>
    <t>Phạm Thị Minh Tuyền</t>
  </si>
  <si>
    <t>Công an Kon Tum</t>
  </si>
  <si>
    <t>0834443679</t>
  </si>
  <si>
    <t>Trần Đức Thoan, TDP1, TT-Đăk Hà-Huyện Đăk Hà- Kon Tum</t>
  </si>
  <si>
    <t>Trần Đức Thoan</t>
  </si>
  <si>
    <t>0386886447</t>
  </si>
  <si>
    <t>Hoàng Thị Hoài</t>
  </si>
  <si>
    <t>0372345337</t>
  </si>
  <si>
    <t xml:space="preserve">Quyết định quay trở lại trường - Ngày 30/09/2025; Quyết định nghỉ học tạm thời - Ngày 12/02/2025; </t>
  </si>
  <si>
    <t>Cục Cảnh sát QLHC về trật tự xã hội</t>
  </si>
  <si>
    <t>0943586562</t>
  </si>
  <si>
    <t>402/24 Xô Viết Nghệ Tĩnh,phường 25,Bình Thạnh</t>
  </si>
  <si>
    <t>Bùi Quốc Dũng</t>
  </si>
  <si>
    <t>Trương Thị Thanh Hồng</t>
  </si>
  <si>
    <t>0773038872</t>
  </si>
  <si>
    <t>cho gia đình, ở Vinhome GrandPark Toà S1.06, Phường.Long Thạnh Mỹ, Quận Thủ Đức, Đường Nguyễn Xiển,TP.HCM</t>
  </si>
  <si>
    <t>Vũ Trọng Anh</t>
  </si>
  <si>
    <t>0945174879</t>
  </si>
  <si>
    <t>Lê Thị Ngọc Hạnh</t>
  </si>
  <si>
    <t>0903834279</t>
  </si>
  <si>
    <t>06420201452</t>
  </si>
  <si>
    <t>Nguyễn Hữu Khánh</t>
  </si>
  <si>
    <t>Nguyễn Thị Thu Thảo</t>
  </si>
  <si>
    <t>Trần Văn Thuận</t>
  </si>
  <si>
    <t>Nguyễn Thị Dạn</t>
  </si>
  <si>
    <t>0933.237.260</t>
  </si>
  <si>
    <t>Đặng Quốc Tuấn</t>
  </si>
  <si>
    <t>Cao Thị Hồng Nhị</t>
  </si>
  <si>
    <t>Diên Khánh</t>
  </si>
  <si>
    <t>0367.758.938</t>
  </si>
  <si>
    <t>34A huỳnh mẫn đạt , P19 quận bình thạnh , tphcm</t>
  </si>
  <si>
    <t>Kiều Thanh Vinh</t>
  </si>
  <si>
    <t>Lương Thi Tý</t>
  </si>
  <si>
    <t>0706372648</t>
  </si>
  <si>
    <t>Bình tân</t>
  </si>
  <si>
    <t>Phạm Thanh Trang</t>
  </si>
  <si>
    <t>Võ Thị Phúc</t>
  </si>
  <si>
    <t>0354137268</t>
  </si>
  <si>
    <t>C12/24 ấp 3, Tân Quý Tây, Bình Chánh, HCM</t>
  </si>
  <si>
    <t>ĐỗVăn Hoàng</t>
  </si>
  <si>
    <t>Lê Thị Mỹ Ân</t>
  </si>
  <si>
    <t>Thành Phố Hồ Chí Minh</t>
  </si>
  <si>
    <t>0902180354</t>
  </si>
  <si>
    <t>558/15/3c Đường Bình Quới,Quận Bình Thạnh,TP.HCM</t>
  </si>
  <si>
    <t>Nguyễn Văn Vân</t>
  </si>
  <si>
    <t>0909085972</t>
  </si>
  <si>
    <t>Lương Thị Hồng Thanh</t>
  </si>
  <si>
    <t>0904203451</t>
  </si>
  <si>
    <t>Dương Ngọc Duy</t>
  </si>
  <si>
    <t>079201000910</t>
  </si>
  <si>
    <t>gò vấp</t>
  </si>
  <si>
    <t>0904445907</t>
  </si>
  <si>
    <t>27/88/8 Đường số 9 - P.16 - Q.Gò Vấp</t>
  </si>
  <si>
    <t>Thành phố Phan Thiết, tỉnh Bình Thuận</t>
  </si>
  <si>
    <t>060210115898</t>
  </si>
  <si>
    <t>Công an tỉnh Bình Thuận</t>
  </si>
  <si>
    <t>0943907899</t>
  </si>
  <si>
    <t>Số 256 Trần Quý Cáp, Thành phố Phan Thiết, Tỉnh Bình Thuận</t>
  </si>
  <si>
    <t>PHẠM HOÀNG QUỐC THÁI</t>
  </si>
  <si>
    <t>0918590262</t>
  </si>
  <si>
    <t>NGUYỄN THỊ NGỌC HUYỀN</t>
  </si>
  <si>
    <t>0949977345</t>
  </si>
  <si>
    <t>Nguyễn Vũ Linh</t>
  </si>
  <si>
    <t>Ấp bùng binh 1, xã hoà tân, tp cà mau</t>
  </si>
  <si>
    <t>381994190</t>
  </si>
  <si>
    <t>Ca mau</t>
  </si>
  <si>
    <t>0859824610</t>
  </si>
  <si>
    <t>Ấp Bùng Binh 1, Xã Hòa Tân, Thành phố Cà Mau, Tỉnh Cà Mau</t>
  </si>
  <si>
    <t>Nguyễn vũ trường</t>
  </si>
  <si>
    <t>0856636246</t>
  </si>
  <si>
    <t>Thái thị kiều</t>
  </si>
  <si>
    <t>0918358502</t>
  </si>
  <si>
    <t>342081255</t>
  </si>
  <si>
    <t>0794336158</t>
  </si>
  <si>
    <t>Không có</t>
  </si>
  <si>
    <t>Số 214/L Ấp Tân Lập, Xã Tân Nhuận Đông, Huyện Châu Thành, Tỉnh Đồng Tháp</t>
  </si>
  <si>
    <t>Nguyễn Văn Hiền</t>
  </si>
  <si>
    <t>0793620345</t>
  </si>
  <si>
    <t>Nguyễn Kim Hạnh Phúc</t>
  </si>
  <si>
    <t>0794975823</t>
  </si>
  <si>
    <t>034201001188</t>
  </si>
  <si>
    <t>0359093468</t>
  </si>
  <si>
    <t>Xóm 5, Xã Quang Trung, Huyện Kiến Xương, Tỉnh Thái Bình</t>
  </si>
  <si>
    <t>Đặng Văn Toán</t>
  </si>
  <si>
    <t>0912263233</t>
  </si>
  <si>
    <t>Phạm Thị Thái</t>
  </si>
  <si>
    <t>0329221880</t>
  </si>
  <si>
    <t xml:space="preserve">Quyết định quay trở lại trường - Ngày 17/10/2023; Quyết định tam ngừng học - Ngày 25/04/2023; </t>
  </si>
  <si>
    <t>Nguyễn Quang Thoại</t>
  </si>
  <si>
    <t>Hoài Tân Hoài Nhơn Bình Định</t>
  </si>
  <si>
    <t>215520603</t>
  </si>
  <si>
    <t>0378090678</t>
  </si>
  <si>
    <t>Xóm 9, Đệ Đức 3, Xã Hoài Tân, Huyện Hoài Nhơn, Tỉnh Bình Định</t>
  </si>
  <si>
    <t>Nguyễn Kim Thảo</t>
  </si>
  <si>
    <t>033455887</t>
  </si>
  <si>
    <t>0917607125</t>
  </si>
  <si>
    <t>Nguyễn Anh Thư</t>
  </si>
  <si>
    <t>381917522</t>
  </si>
  <si>
    <t>cà mau</t>
  </si>
  <si>
    <t>0983844200</t>
  </si>
  <si>
    <t>Ấp 3, Xã Khánh Tiến, Huyện U Minh, Tỉnh Cà Mau</t>
  </si>
  <si>
    <t>Nguyên Văn Mộng</t>
  </si>
  <si>
    <t>0944154917</t>
  </si>
  <si>
    <t>nguyễn thùy trang</t>
  </si>
  <si>
    <t>01276279991</t>
  </si>
  <si>
    <t xml:space="preserve">Quyết định tam ngừng học - Ngày 26/10/2023; Quyết định tam ngừng học - Ngày 31/03/2023; Quyết định quay trở lại trường - Ngày 17/10/2023; Quyết định quay trở lại trường - Ngày 11/07/2024; </t>
  </si>
  <si>
    <t>Nguyễn Ngọc Tuệ</t>
  </si>
  <si>
    <t>Lộc Ngãi, Bảo Lâm, Lâm Đồng</t>
  </si>
  <si>
    <t>251249149</t>
  </si>
  <si>
    <t>công an tỉnh Lâm Đồng</t>
  </si>
  <si>
    <t>0985878107</t>
  </si>
  <si>
    <t>phật</t>
  </si>
  <si>
    <t>Tổ 19, Huyện Bảo Lâm, Tỉnh Lâm Đồng</t>
  </si>
  <si>
    <t>0933685144</t>
  </si>
  <si>
    <t>Cao Thị Hồng Đoan</t>
  </si>
  <si>
    <t>0985818101</t>
  </si>
  <si>
    <t>Vĩnh Ninh, Vĩnh Lộc, Thanh Hóa</t>
  </si>
  <si>
    <t>038300018901</t>
  </si>
  <si>
    <t>CA tỉnh Thanh Hóa</t>
  </si>
  <si>
    <t>0328505977</t>
  </si>
  <si>
    <t>Số 235A Tỉnh lộ 2, Tổ 8, Ấp 3, Xã Phước Vĩnh An, Huyện Củ Chi, Thành phố Hồ Chí Minh</t>
  </si>
  <si>
    <t>Lưu Bá Hoàng</t>
  </si>
  <si>
    <t>0987430776</t>
  </si>
  <si>
    <t>Hoàng Thị Hợp</t>
  </si>
  <si>
    <t>0962073756</t>
  </si>
  <si>
    <t>Nguyễn Định Quyết</t>
  </si>
  <si>
    <t>bình đông bình sơn quảng ngãi</t>
  </si>
  <si>
    <t>212864212</t>
  </si>
  <si>
    <t>tỉnh quảng ngãi</t>
  </si>
  <si>
    <t>0325167373</t>
  </si>
  <si>
    <t>ko</t>
  </si>
  <si>
    <t>Số 86/36 Âu Cơ, Phường 9, Quận Tân Bình, Thành phố Hồ Chí Minh</t>
  </si>
  <si>
    <t>nguyễn tê</t>
  </si>
  <si>
    <t>0334662890</t>
  </si>
  <si>
    <t>đoàn thị hương</t>
  </si>
  <si>
    <t>0379688010</t>
  </si>
  <si>
    <t>S22-61CT</t>
  </si>
  <si>
    <t xml:space="preserve">Quyết định quay trở lại trường - Ngày 22/08/2025; Quyết định tam ngừng học - Ngày 30/08/2024; </t>
  </si>
  <si>
    <t>Lê Ngọc Thoại</t>
  </si>
  <si>
    <t>Bình lâm_ phước hòa_ tuy phước _bình định</t>
  </si>
  <si>
    <t>215535703</t>
  </si>
  <si>
    <t>Công an Bình định</t>
  </si>
  <si>
    <t>0969139340</t>
  </si>
  <si>
    <t>Đội 4, Thôn Bình Lâm, Xã Phước Hòa, Huyện Tuy Phước, Tỉnh Bình Định</t>
  </si>
  <si>
    <t>Lê huệ tuấn</t>
  </si>
  <si>
    <t>0935907007</t>
  </si>
  <si>
    <t>Nguyễn thị ban</t>
  </si>
  <si>
    <t>0976086349</t>
  </si>
  <si>
    <t>Nguyễn Khánh Duy</t>
  </si>
  <si>
    <t>Thanh Khê-Thanh Chương-Nghệ An</t>
  </si>
  <si>
    <t>261627874</t>
  </si>
  <si>
    <t>0338320595</t>
  </si>
  <si>
    <t>Khu phố 5- Liên Hương- Tuy Phong- Bình Thuận</t>
  </si>
  <si>
    <t>Nguyễn Khắc Toàn</t>
  </si>
  <si>
    <t>0907958617</t>
  </si>
  <si>
    <t>Phạm Thị Nhã</t>
  </si>
  <si>
    <t>S22-61CTN</t>
  </si>
  <si>
    <t>Tien Giang</t>
  </si>
  <si>
    <t>079201028014</t>
  </si>
  <si>
    <t>TP HCM</t>
  </si>
  <si>
    <t>0902238445</t>
  </si>
  <si>
    <t>Phat</t>
  </si>
  <si>
    <t>Số 356/16/3 Gò Dầu, Phường Tân Quý, Quận Tân Phú, Thành phố Hồ Chí Minh</t>
  </si>
  <si>
    <t>NGUYEN VAN SANG</t>
  </si>
  <si>
    <t>0776906485</t>
  </si>
  <si>
    <t>DUONG THI QUOC PHUONG</t>
  </si>
  <si>
    <t>0903143206</t>
  </si>
  <si>
    <t xml:space="preserve">Quyết định tam ngừng học - Ngày 10/12/2020; Quyết định tam ngừng học - Ngày 01/11/2022; Quyết định quay trở lại trường - Ngày 20/04/2023; Quyết định quay trở lại trường - Ngày 02/04/2021; </t>
  </si>
  <si>
    <t>001201020766</t>
  </si>
  <si>
    <t>Công An Phường La Khê</t>
  </si>
  <si>
    <t>0397939853</t>
  </si>
  <si>
    <t>Số 24, Tổ 3, La Khê, Hà Đông, Hà Nội</t>
  </si>
  <si>
    <t>Quyết định chuyển Khóa - Ngành - Lớp - Ngày 28/04/2022</t>
  </si>
  <si>
    <t>Đào Ngọc Thanh Bình</t>
  </si>
  <si>
    <t>Thôn 3, Xã Hàm Liêm , huyện Hàm Thuận Bắc ,Tỉnh Binh Thuan</t>
  </si>
  <si>
    <t>261610273</t>
  </si>
  <si>
    <t>0372578825</t>
  </si>
  <si>
    <t>Thôn 3, Xã Hàm Liên, Huyện Hàm Thuận Bắc, Tỉnh Bình Thuận</t>
  </si>
  <si>
    <t>ĐÀO NGỌC NINH</t>
  </si>
  <si>
    <t>02523837534</t>
  </si>
  <si>
    <t>HUỲNH THỊ THANH PHƯƠNG</t>
  </si>
  <si>
    <t>0347626537</t>
  </si>
  <si>
    <t xml:space="preserve">Quyết định tam ngừng học - Ngày 06/03/2023; Quyết định quay trở lại trường - Ngày 19/02/2024; Quyết định tam ngừng học - Ngày 21/03/2024; Quyết định quay trở lại trường - Ngày 13/01/2025; </t>
  </si>
  <si>
    <t>Vũ Tiến Đông</t>
  </si>
  <si>
    <t>022201001860</t>
  </si>
  <si>
    <t>Công An TỈnh Quảng Ninh</t>
  </si>
  <si>
    <t>0769203366</t>
  </si>
  <si>
    <t>Vũ Tiến Đông - Tổ 8 khu 8, phường Hồng Hải, thành phố Hạ Long, tỉnh Quảng Ninh</t>
  </si>
  <si>
    <t xml:space="preserve">Quyết định quay trở lại trường - Ngày 17/07/2023; Quyết định tam ngừng học - Ngày 01/11/2023; Quyết định quay trở lại trường - Ngày 05/08/2024; Quyết định tam ngừng học - Ngày 01/11/2022; </t>
  </si>
  <si>
    <t>Hoàng Quốc Hay</t>
  </si>
  <si>
    <t>036201003552</t>
  </si>
  <si>
    <t>0373260347</t>
  </si>
  <si>
    <t>Xóm Hậu Phú, Xã Hồng Quang, Huyện Nam Trực, Tỉnh Nam Định</t>
  </si>
  <si>
    <t>Lê Quang Huy</t>
  </si>
  <si>
    <t>Đội 1, Thôn Lạc Điền, Xã Phước Thắng, Huyện Tuy Phước, Tỉnh Bình Định</t>
  </si>
  <si>
    <t>215535470</t>
  </si>
  <si>
    <t>C.A Bình Định</t>
  </si>
  <si>
    <t>0969533985</t>
  </si>
  <si>
    <t>Lê Văn Hùng</t>
  </si>
  <si>
    <t>0392394531</t>
  </si>
  <si>
    <t>Nguyễn Thị Năm</t>
  </si>
  <si>
    <t>0334370911</t>
  </si>
  <si>
    <t xml:space="preserve">Quyết định quay trở lại trường - Ngày 07/10/2025; Quyết định nghỉ học tạm thời - Ngày 12/04/2025; </t>
  </si>
  <si>
    <t>Quảng Trị</t>
  </si>
  <si>
    <t>251245363</t>
  </si>
  <si>
    <t>0338221128</t>
  </si>
  <si>
    <t>Tổ dân phố 5A, Thị trấn Đạ Tẻh, Huyện Đạ Tẻh, Tỉnh Lâm Đồng</t>
  </si>
  <si>
    <t>0908632024</t>
  </si>
  <si>
    <t>Lê Thị Hồng Phương</t>
  </si>
  <si>
    <t>ninh thuận</t>
  </si>
  <si>
    <t>264545314</t>
  </si>
  <si>
    <t>0917741427</t>
  </si>
  <si>
    <t>Thiện Đức, Xã Phước Ninh, Huyện Thuận Nam, Tỉnh Ninh Thuận</t>
  </si>
  <si>
    <t>Bùi Định</t>
  </si>
  <si>
    <t>0832388133</t>
  </si>
  <si>
    <t>Nguyễn Thị Phượng</t>
  </si>
  <si>
    <t>0919975474</t>
  </si>
  <si>
    <t xml:space="preserve">Quyết định quay trở lại trường - Ngày 06/02/2023; Quyết định tam ngừng học - Ngày 05/04/2022; </t>
  </si>
  <si>
    <t>Yên Phương, Ý Yên, Nam Định</t>
  </si>
  <si>
    <t>225579864</t>
  </si>
  <si>
    <t>CA tỉnh Khánh Hòa</t>
  </si>
  <si>
    <t>0935953306</t>
  </si>
  <si>
    <t>Mẹ: ĐỖ THỊ NGỌC HÀ
số 2 Phạm Tu, Vĩnh Hải, Nha Trang, Khánh Hòa</t>
  </si>
  <si>
    <t>NGUYỄN THANH HÒA</t>
  </si>
  <si>
    <t>0905310749</t>
  </si>
  <si>
    <t>ĐỖ THỊ NGỌC HÀ</t>
  </si>
  <si>
    <t>0787564899</t>
  </si>
  <si>
    <t xml:space="preserve">Quyết định tam ngừng học - Ngày 29/05/2023; Quyết định quay trở lại trường - Ngày 27/12/2023; </t>
  </si>
  <si>
    <t>Nguyễn Cao Văn Trung</t>
  </si>
  <si>
    <t>Xã Đức Thạnh, Huyện Mộ Đức, Tỉnh Quảng Ngãi</t>
  </si>
  <si>
    <t>212818114</t>
  </si>
  <si>
    <t>0372662747</t>
  </si>
  <si>
    <t>Phật Giáo</t>
  </si>
  <si>
    <t>Nguyễn Văn Tâm</t>
  </si>
  <si>
    <t>01645267367</t>
  </si>
  <si>
    <t>Cao Thị Nga</t>
  </si>
  <si>
    <t>Lê Kim Anh</t>
  </si>
  <si>
    <t>022301003821</t>
  </si>
  <si>
    <t>đông triều quảng ninh</t>
  </si>
  <si>
    <t>0523878551</t>
  </si>
  <si>
    <t>45, thôn Cổ Lễ, xã Hoàng Quế, thị xã Đông Triều, tỉnh Quảng Ninh.</t>
  </si>
  <si>
    <t>S22-61KT</t>
  </si>
  <si>
    <t>Thôn Phong Niên, Xã Hòa Thắng , Huyện Phú Hòa , Tỉnh Phú Yên</t>
  </si>
  <si>
    <t>000221468794</t>
  </si>
  <si>
    <t>CA Tỉnh Phú Yên</t>
  </si>
  <si>
    <t>0336545247</t>
  </si>
  <si>
    <t>Đội 4, Xóm 3, Thôn Phong Niên, Xã Hòa Thắng, Huyện Phú Hòa, Tỉnh Phú Yên</t>
  </si>
  <si>
    <t>Phạm Minh Lai</t>
  </si>
  <si>
    <t>0353770179</t>
  </si>
  <si>
    <t>Đàm Thị Ngo</t>
  </si>
  <si>
    <t>0357368549</t>
  </si>
  <si>
    <t>S22-61QT-MAR</t>
  </si>
  <si>
    <t>Quyết định chuyển Khóa - Ngành - Lớp - Ngày 30/08/2021</t>
  </si>
  <si>
    <t>Phạm Văn Hiền</t>
  </si>
  <si>
    <t>ấp 3 xã Thạnh Lộc huyện Cai Lậy tỉnh Tiền Giang</t>
  </si>
  <si>
    <t>312474764</t>
  </si>
  <si>
    <t>ca Tỉnh Tiền Giang</t>
  </si>
  <si>
    <t>0329160810</t>
  </si>
  <si>
    <t>Ấp 3, Xã Thạnh Lộc, Huyện Cai Lậy, Tỉnh Tiền Giang</t>
  </si>
  <si>
    <t>Phạm Văn Dũng</t>
  </si>
  <si>
    <t>0981853435</t>
  </si>
  <si>
    <t>0376139078</t>
  </si>
  <si>
    <t xml:space="preserve">Quyết định tam ngừng học - Ngày 06/05/2024; Quyết định tam ngừng học - Ngày 27/12/2023; Quyết định quay trở lại trường - Ngày 18/12/2024; Quyết định quay trở lại trường - Ngày 17/10/2023; Quyết định chuyển Khóa - Ngành - Lớp - Ngày 30/08/2021; Quyết định quay trở lại trường - Ngày 09/08/2024; Quyết định tam ngừng học - Ngày 22/11/2024; Quyết định tam ngừng học - Ngày 30/03/2023; Quyết định quay trở lại trường - Ngày 19/04/2024; </t>
  </si>
  <si>
    <t>Lê Thị Ngọc Hưng</t>
  </si>
  <si>
    <t>272782142</t>
  </si>
  <si>
    <t>0384281237</t>
  </si>
  <si>
    <t>Số 1423/3 Khu phố 7a, Phường Long Bình, Thành phố Biên Hòa, Tỉnh Đồng Nai</t>
  </si>
  <si>
    <t>Lê Ngọc Bình</t>
  </si>
  <si>
    <t>033 7039469</t>
  </si>
  <si>
    <t>Ngô Thị Huynh</t>
  </si>
  <si>
    <t>038 9162063</t>
  </si>
  <si>
    <t>Mai Thị Minh Nguyệt</t>
  </si>
  <si>
    <t>221514395</t>
  </si>
  <si>
    <t>Công an Phú Yên</t>
  </si>
  <si>
    <t>0586095363</t>
  </si>
  <si>
    <t>Mai Thị Minh Nguyệt, thôn Cẩm Thạch, xã Hòa Định Tây, Huyện Phú Hòa - Phú Yên</t>
  </si>
  <si>
    <t>Mai Văn Châu</t>
  </si>
  <si>
    <t>0369680820</t>
  </si>
  <si>
    <t>Nguyễn Thị Kim Cúc</t>
  </si>
  <si>
    <t>0369689820</t>
  </si>
  <si>
    <t xml:space="preserve">Quyết định quay trở lại trường - Ngày 02/01/2024; Quyết định tam ngừng học - Ngày 09/05/2023; Quyết định tam ngừng học - Ngày 22/03/2024; Quyết định quay trở lại trường - Ngày 01/11/2024; Quyết định chuyển Khóa - Ngành - Lớp - Ngày 30/08/2021; </t>
  </si>
  <si>
    <t>079301020210</t>
  </si>
  <si>
    <t>0971344799</t>
  </si>
  <si>
    <t>Số 16 Đường 15, Khu phố 2, Phường Bình Chiểu, Quận Thủ Đức, Thành phố Hồ Chí Minh</t>
  </si>
  <si>
    <t>Đỗ Phát Sơn Quân</t>
  </si>
  <si>
    <t>0916313314</t>
  </si>
  <si>
    <t>Châu Thị Thúy Nga</t>
  </si>
  <si>
    <t>0913898393</t>
  </si>
  <si>
    <t xml:space="preserve">Quyết định quay trở lại trường - Ngày 19/10/2023; Quyết định chuyển Khóa - Ngành - Lớp - Ngày 30/08/2021; Quyết định tam ngừng học - Ngày 06/02/2023; </t>
  </si>
  <si>
    <t>Dương Quang Hiếu</t>
  </si>
  <si>
    <t>TPHCM</t>
  </si>
  <si>
    <t>079201028490</t>
  </si>
  <si>
    <t>0938896412</t>
  </si>
  <si>
    <t>Phật</t>
  </si>
  <si>
    <t>687/24/17 Đường Kinh Dương Vương, Phường An Lạc, Quận Bình Tân, Thành Phố Hồ Chí Minh</t>
  </si>
  <si>
    <t>Dương Văn Minh</t>
  </si>
  <si>
    <t>0909714761</t>
  </si>
  <si>
    <t>Phan Kiều Hạnh</t>
  </si>
  <si>
    <t>0938064128</t>
  </si>
  <si>
    <t xml:space="preserve">Quyết định chuyển Khóa - Ngành - Lớp - Ngày 30/08/2021; Quyết định quay trở lại trường - Ngày 12/08/2024; Quyết định tam ngừng học - Ngày 06/10/2023; </t>
  </si>
  <si>
    <t>Lê Nguyễn Quốc Hùng</t>
  </si>
  <si>
    <t>225768636</t>
  </si>
  <si>
    <t>CA Khánh Hòa</t>
  </si>
  <si>
    <t>0334980279</t>
  </si>
  <si>
    <t>Thiên chúa giáo</t>
  </si>
  <si>
    <t>Trường THPT Trần Bình Trọng</t>
  </si>
  <si>
    <t>Trường Tây, Hòa Thành, Tây Ninh</t>
  </si>
  <si>
    <t>072301005372</t>
  </si>
  <si>
    <t>công an tỉnh Tây Ninh</t>
  </si>
  <si>
    <t>0907048524</t>
  </si>
  <si>
    <t>Nguyễn Thị Ngọc Huyền, lớp 12A7- Trường THPT Nguyễn Chí Thanh, Tây Ninh</t>
  </si>
  <si>
    <t>Nguyễn Duy Nhân</t>
  </si>
  <si>
    <t>0784978826</t>
  </si>
  <si>
    <t>Nguyễn Thị Kim Nhân</t>
  </si>
  <si>
    <t xml:space="preserve">Quyết định chuyển Khóa - Ngành - Lớp - Ngày 30/08/2021; Quyết định quay trở lại trường - Ngày 10/04/2024; Quyết định tam ngừng học - Ngày 12/10/2023; </t>
  </si>
  <si>
    <t>Cao Thị Yến Nhi</t>
  </si>
  <si>
    <t>079301013067</t>
  </si>
  <si>
    <t>0924891723</t>
  </si>
  <si>
    <t>21E3, đường số 4, Chu Văn An, Phường 25, Quận Bình Thạnh, Thành phố Hồ Chí Minh</t>
  </si>
  <si>
    <t>Lý Trọng Đức</t>
  </si>
  <si>
    <t>0909177236</t>
  </si>
  <si>
    <t>Cao Thị Nguyệt Yến</t>
  </si>
  <si>
    <t>Đồng Quang Phúc</t>
  </si>
  <si>
    <t>Thị trấn Cái vồn, Huyện Bình Minh Vĩnh Long</t>
  </si>
  <si>
    <t>342040160</t>
  </si>
  <si>
    <t>Công An tỉnh Đồng Tháp</t>
  </si>
  <si>
    <t>0949821359</t>
  </si>
  <si>
    <t>Không Có</t>
  </si>
  <si>
    <t>Số 605Đ,Ấp Phú Long, Xã Tân Phú Đông, Thành phố Sa Đéc, Tỉnh Đồng Tháp</t>
  </si>
  <si>
    <t>Đồng Quang Tươi</t>
  </si>
  <si>
    <t>0938597026</t>
  </si>
  <si>
    <t>Nguyễn Thị Cúc</t>
  </si>
  <si>
    <t>0769310850</t>
  </si>
  <si>
    <t>Bùi Nam Minh Anh</t>
  </si>
  <si>
    <t>023706998</t>
  </si>
  <si>
    <t>Công An tp Hồ Chí Minh</t>
  </si>
  <si>
    <t>0903152948</t>
  </si>
  <si>
    <t>Số 7 chung cư Độc Lập, đường Độc Lập, phường Tân Quý, quận Tân Phú, tp Hồ Chí Minh</t>
  </si>
  <si>
    <t>S22-61TH1</t>
  </si>
  <si>
    <t>Tô Đắc Dương</t>
  </si>
  <si>
    <t>Tịnh Long-TP.Quảng Ngãi,Quảng Ngãi</t>
  </si>
  <si>
    <t>212579667</t>
  </si>
  <si>
    <t>Giám đốc CA Quảng Ngãi</t>
  </si>
  <si>
    <t>0901552586</t>
  </si>
  <si>
    <t>Đường số 43/ Đường Tam Bình, Phường Hiệp Bình Phước, Quận Thủ Đức, Thành phố Hồ Chí Minh</t>
  </si>
  <si>
    <t>Tô Thu</t>
  </si>
  <si>
    <t>0938445584</t>
  </si>
  <si>
    <t>Đổ Thị Do</t>
  </si>
  <si>
    <t>0934842857</t>
  </si>
  <si>
    <t>Nguyễn Hoàng Anh Duy</t>
  </si>
  <si>
    <t>thành phố quy nhơn, tỉnh bình định</t>
  </si>
  <si>
    <t>077201001457</t>
  </si>
  <si>
    <t>cục trưởng cục cảnh sát ĐKQL CỨ TRÚ VÀ DI QG VỀ DÂN CƯ</t>
  </si>
  <si>
    <t>0348999250</t>
  </si>
  <si>
    <t>thiên chúa giáo</t>
  </si>
  <si>
    <t>380/14 Đường 30/4 Phường Rạch Dừa, Thành phố Vũng Tàu - Bà Rịa-Vũng Tàu</t>
  </si>
  <si>
    <t>Nguyễn Văn Trai</t>
  </si>
  <si>
    <t>0978705077</t>
  </si>
  <si>
    <t>0352976500</t>
  </si>
  <si>
    <t xml:space="preserve">Quyết định tam ngừng học - Ngày 12/04/2024; Quyết định quay trở lại trường - Ngày 22/10/2024; </t>
  </si>
  <si>
    <t>Hà Lê Duy</t>
  </si>
  <si>
    <t>Na Lặc, Xã Nam Xuân, Huyện Quan Hoá, Tỉnh Thanh Hoá</t>
  </si>
  <si>
    <t>038201001253</t>
  </si>
  <si>
    <t>Công an Thanh Hoá</t>
  </si>
  <si>
    <t>0978492001</t>
  </si>
  <si>
    <t>Bản Na Lặc, Xã Nam Xuân, Huyện Quan Hóa, Tỉnh Thanh Hóa</t>
  </si>
  <si>
    <t>Hà Văn Đệ</t>
  </si>
  <si>
    <t>0964821456</t>
  </si>
  <si>
    <t>0969455188</t>
  </si>
  <si>
    <t>Tống Trường Huy</t>
  </si>
  <si>
    <t>VĨNH LONG</t>
  </si>
  <si>
    <t>079201028764</t>
  </si>
  <si>
    <t>TP.HCM</t>
  </si>
  <si>
    <t>0932614291</t>
  </si>
  <si>
    <t>Số 236 Nguyễn Văn Khối, Phường 9, Quận Gò Vấp, Thành phố Hồ Chí Minh</t>
  </si>
  <si>
    <t>TỐNG CHUNG HÙNG</t>
  </si>
  <si>
    <t>0906949901</t>
  </si>
  <si>
    <t>ĐỖ THỊ BĂNG TRINH</t>
  </si>
  <si>
    <t>0907308160</t>
  </si>
  <si>
    <t xml:space="preserve">Quyết định tam ngừng học - Ngày 02/03/2022; Quyết định quay trở lại trường - Ngày 25/12/2022; Quyết định quay trở lại trường - Ngày 27/08/2025; Quyết định quay trở lại trường - Ngày 18/07/2023; Quyết định buộc thôi học - Ngày 25/11/2022; Quyết định tam ngừng học - Ngày 11/02/2025; </t>
  </si>
  <si>
    <t>Nguyễn Thị Diễm My</t>
  </si>
  <si>
    <t>264538194</t>
  </si>
  <si>
    <t>CA tỉnh Ninh Thuận</t>
  </si>
  <si>
    <t>0372328433</t>
  </si>
  <si>
    <t>Lương Cang 1, Xã Nhơn Sơn, Huyện Ninh Sơn, Tỉnh Ninh Thuận</t>
  </si>
  <si>
    <t>Nguyễn THanh Liêm</t>
  </si>
  <si>
    <t>0355743211</t>
  </si>
  <si>
    <t>Nguyễn Thị Hảo</t>
  </si>
  <si>
    <t>YÊN ĐỊNH-THANH HÓA</t>
  </si>
  <si>
    <t>264552361</t>
  </si>
  <si>
    <t>CÔNG AN NINH THUẬN</t>
  </si>
  <si>
    <t>0373467987</t>
  </si>
  <si>
    <t>Nha Hồ 2, Xã Nhơn Sơn, Huyện Ninh Sơn, Tỉnh Ninh Thuận</t>
  </si>
  <si>
    <t>LÊ VĂN BẢY</t>
  </si>
  <si>
    <t>0976087160</t>
  </si>
  <si>
    <t>NGUYỄN THỊ PHÚ</t>
  </si>
  <si>
    <t>0986617740</t>
  </si>
  <si>
    <t>Vỏ Thành Nam</t>
  </si>
  <si>
    <t>352581530</t>
  </si>
  <si>
    <t>0328771889</t>
  </si>
  <si>
    <t>Phú Đức, Phú Thạnh, Huyện Phú Tân, Tỉnh An Giang</t>
  </si>
  <si>
    <t xml:space="preserve">Quyết định quay trở lại trường - Ngày 20/07/2023; Quyết định tam ngừng học - Ngày 09/10/2023; Quyết định tam ngừng học - Ngày 01/11/2022; Quyết định quay trở lại trường - Ngày 12/04/2024; </t>
  </si>
  <si>
    <t>Thừa Thanh Phúc</t>
  </si>
  <si>
    <t>Quảng Đại, Tp Sầm Sơn, Thanh Hóa</t>
  </si>
  <si>
    <t>038201018093</t>
  </si>
  <si>
    <t>0985838779</t>
  </si>
  <si>
    <t>Thừa Thanh Phúc, Thủ Phú,Quảng Đại, Thành phố Sầm Sơn - Thanh Hoá</t>
  </si>
  <si>
    <t>Thừa Văn Bình</t>
  </si>
  <si>
    <t>Trần Thị Mai</t>
  </si>
  <si>
    <t>0904781156</t>
  </si>
  <si>
    <t>Trần Võ Tin</t>
  </si>
  <si>
    <t>Thôn Điền Long ,xã Nghĩa Điền,huyện Tư Nghĩa, tỉnh Quảng Ngãi</t>
  </si>
  <si>
    <t>051201012718</t>
  </si>
  <si>
    <t>Công An huyện Tư Nghĩa ,tỉnh Quảng Ngãi</t>
  </si>
  <si>
    <t>0703305267</t>
  </si>
  <si>
    <t>Đội 12, Thôn Điền Long, Xã Nghĩa Điền, Huyện Tư Nghĩa, Tỉnh Quảng Ngãi</t>
  </si>
  <si>
    <t>Trần Bé</t>
  </si>
  <si>
    <t>0708196565</t>
  </si>
  <si>
    <t>Võ Thị Hiệu</t>
  </si>
  <si>
    <t>0347147528</t>
  </si>
  <si>
    <t>Huỳnh Ngọc Duy</t>
  </si>
  <si>
    <t>261569187</t>
  </si>
  <si>
    <t>0942753275</t>
  </si>
  <si>
    <t>Số 39 Phạm Ngọc Thạch, Thị trấn Võ Xu, Huyện Đức Linh, Tỉnh Bình Thuận</t>
  </si>
  <si>
    <t>Huỳnh Ngọc Đức</t>
  </si>
  <si>
    <t>0916769547</t>
  </si>
  <si>
    <t>Lê Thị Út</t>
  </si>
  <si>
    <t>0849570580</t>
  </si>
  <si>
    <t>S22-61TH2</t>
  </si>
  <si>
    <t>Điểu Đức Huy</t>
  </si>
  <si>
    <t>000272693710</t>
  </si>
  <si>
    <t>0385200851</t>
  </si>
  <si>
    <t>Chơ-ro</t>
  </si>
  <si>
    <t>thiên chúa</t>
  </si>
  <si>
    <t>Ấp Suối Dzai, Xã Túc Trung, Huyện Định Quán, Tỉnh Đồng Nai</t>
  </si>
  <si>
    <t>Điểu Hồ</t>
  </si>
  <si>
    <t>0986841046</t>
  </si>
  <si>
    <t>Điểu Thị Nguyệt</t>
  </si>
  <si>
    <t>0356534931</t>
  </si>
  <si>
    <t xml:space="preserve">Quyết định quay trở lại trường - Ngày 18/12/2024; Quyết định tam ngừng học - Ngày 22/11/2024; </t>
  </si>
  <si>
    <t>Đặng Quang Lợi</t>
  </si>
  <si>
    <t>Lộc Thuân, Nhơn Hạnh, Thị xã An Nhơn, Tỉnh Bình Định</t>
  </si>
  <si>
    <t>052201012123</t>
  </si>
  <si>
    <t>0961228849</t>
  </si>
  <si>
    <t>Số 383/10/44 Phạm Văn Đồng, Phường Thống Nhất, Thành phố Pleiku, Tỉnh Gia Lai</t>
  </si>
  <si>
    <t>Đặng Văn Tám</t>
  </si>
  <si>
    <t>0388792682</t>
  </si>
  <si>
    <t>Nguyễn Thị Chút</t>
  </si>
  <si>
    <t>0392902986</t>
  </si>
  <si>
    <t>Trần Phương Nhi</t>
  </si>
  <si>
    <t>Châu Phú, An Giang</t>
  </si>
  <si>
    <t>352536576</t>
  </si>
  <si>
    <t>CA tỉnh An Giang</t>
  </si>
  <si>
    <t>0347435311</t>
  </si>
  <si>
    <t>Lớp 12A5, Trường THPT Long Xuyên, TP Long Xuyên, tỉnh An Giang</t>
  </si>
  <si>
    <t>Trần Hải Hồ</t>
  </si>
  <si>
    <t>0919112393</t>
  </si>
  <si>
    <t>La Ma Thiên Phương</t>
  </si>
  <si>
    <t>0365172824</t>
  </si>
  <si>
    <t xml:space="preserve">Quyết định quay trở lại trường - Ngày 10/10/2022; Quyết định nghỉ học tạm thời - Ngày 15/04/2025; Quyết định buộc thôi học - Ngày 06/05/2022; Quyết định tam ngừng học - Ngày 29/12/2021; Quyết định quay trở lại trường - Ngày 22/09/2025; Quyết định quay trở lại trường - Ngày 10/05/2022; Quyết định quay trở lại trường - Ngày 22/10/2024; Quyết định tam ngừng học - Ngày 16/01/2024; </t>
  </si>
  <si>
    <t>Dân tộc
(Hậu kiểm)</t>
  </si>
  <si>
    <t>Tôn giáo(Hậu kiểm)</t>
  </si>
  <si>
    <t>04/09/2003</t>
  </si>
  <si>
    <t>19/10/2003</t>
  </si>
  <si>
    <t>28/12/2003</t>
  </si>
  <si>
    <t>11/05/2003</t>
  </si>
  <si>
    <t>08/02/2003</t>
  </si>
  <si>
    <t>30/11/2003</t>
  </si>
  <si>
    <t>30/05/2003</t>
  </si>
  <si>
    <t>04/06/2003</t>
  </si>
  <si>
    <t>30/07/2003</t>
  </si>
  <si>
    <t>10/03/2003</t>
  </si>
  <si>
    <t>18/09/2003</t>
  </si>
  <si>
    <t>16/03/2003</t>
  </si>
  <si>
    <t>25/08/2003</t>
  </si>
  <si>
    <t>11/04/2003</t>
  </si>
  <si>
    <t>20/01/2003</t>
  </si>
  <si>
    <t>11/06/2003</t>
  </si>
  <si>
    <t>19/03/2003</t>
  </si>
  <si>
    <t>18/07/2003</t>
  </si>
  <si>
    <t>14/10/2003</t>
  </si>
  <si>
    <t>24/06/2003</t>
  </si>
  <si>
    <t>03/11/2003</t>
  </si>
  <si>
    <t>27/10/2003</t>
  </si>
  <si>
    <t>15/12/2003</t>
  </si>
  <si>
    <t>09/10/2003</t>
  </si>
  <si>
    <t>23/11/2003</t>
  </si>
  <si>
    <t>05/03/2003</t>
  </si>
  <si>
    <t>28/08/2003</t>
  </si>
  <si>
    <t>22/01/2003</t>
  </si>
  <si>
    <t>21/12/2003</t>
  </si>
  <si>
    <t>24/09/2003</t>
  </si>
  <si>
    <t>04/05/2003</t>
  </si>
  <si>
    <t>11/12/2003</t>
  </si>
  <si>
    <t>16/02/2003</t>
  </si>
  <si>
    <t>15/10/2003</t>
  </si>
  <si>
    <t>08/06/2003</t>
  </si>
  <si>
    <t>01/11/2003</t>
  </si>
  <si>
    <t>21/11/2003</t>
  </si>
  <si>
    <t>25/02/2003</t>
  </si>
  <si>
    <t>24/01/2003</t>
  </si>
  <si>
    <t>29/04/2003</t>
  </si>
  <si>
    <t>02/06/2003</t>
  </si>
  <si>
    <t>07/08/2003</t>
  </si>
  <si>
    <t>19/04/2003</t>
  </si>
  <si>
    <t>26/07/2003</t>
  </si>
  <si>
    <t>24/08/2003</t>
  </si>
  <si>
    <t>27/05/2002</t>
  </si>
  <si>
    <t>20/09/2003</t>
  </si>
  <si>
    <t>23/07/2003</t>
  </si>
  <si>
    <t>18/08/2003</t>
  </si>
  <si>
    <t>30/09/2003</t>
  </si>
  <si>
    <t>04/01/2003</t>
  </si>
  <si>
    <t>31/03/2003</t>
  </si>
  <si>
    <t>11/07/2003</t>
  </si>
  <si>
    <t>07/10/2003</t>
  </si>
  <si>
    <t>27/02/2003</t>
  </si>
  <si>
    <t>03/05/2003</t>
  </si>
  <si>
    <t>07/12/2003</t>
  </si>
  <si>
    <t>15/07/2003</t>
  </si>
  <si>
    <t>05/08/2003</t>
  </si>
  <si>
    <t>23/02/2003</t>
  </si>
  <si>
    <t>08/10/2003</t>
  </si>
  <si>
    <t>23/01/2003</t>
  </si>
  <si>
    <t>28/11/2003</t>
  </si>
  <si>
    <t>02/09/2003</t>
  </si>
  <si>
    <t>12/02/2003</t>
  </si>
  <si>
    <t>08/08/2003</t>
  </si>
  <si>
    <t>11/09/2003</t>
  </si>
  <si>
    <t>12/11/2002</t>
  </si>
  <si>
    <t>22/08/2003</t>
  </si>
  <si>
    <t>11/03/2003</t>
  </si>
  <si>
    <t>01/09/2003</t>
  </si>
  <si>
    <t>19/12/2003</t>
  </si>
  <si>
    <t>15/04/2003</t>
  </si>
  <si>
    <t>18/05/1999</t>
  </si>
  <si>
    <t>20/05/2003</t>
  </si>
  <si>
    <t>01/05/2003</t>
  </si>
  <si>
    <t>20/08/2003</t>
  </si>
  <si>
    <t>05/11/2003</t>
  </si>
  <si>
    <t>14/12/2003</t>
  </si>
  <si>
    <t>12/04/2003</t>
  </si>
  <si>
    <t>19/02/2003</t>
  </si>
  <si>
    <t>13/11/2003</t>
  </si>
  <si>
    <t>23/04/2003</t>
  </si>
  <si>
    <t>21/04/2003</t>
  </si>
  <si>
    <t>27/11/2003</t>
  </si>
  <si>
    <t>26/05/2003</t>
  </si>
  <si>
    <t>19/06/2003</t>
  </si>
  <si>
    <t>16/10/2003</t>
  </si>
  <si>
    <t>15/09/2003</t>
  </si>
  <si>
    <t>03/03/2003</t>
  </si>
  <si>
    <t>15/01/2003</t>
  </si>
  <si>
    <t>08/11/2003</t>
  </si>
  <si>
    <t>12/09/2003</t>
  </si>
  <si>
    <t>08/01/2003</t>
  </si>
  <si>
    <t>01/12/2003</t>
  </si>
  <si>
    <t>10/09/2003</t>
  </si>
  <si>
    <t>02/07/2003</t>
  </si>
  <si>
    <t>14/10/2000</t>
  </si>
  <si>
    <t>13/01/2003</t>
  </si>
  <si>
    <t>06/11/2003</t>
  </si>
  <si>
    <t>24/11/2003</t>
  </si>
  <si>
    <t>20/07/2003</t>
  </si>
  <si>
    <t>30/10/2003</t>
  </si>
  <si>
    <t>23/05/2003</t>
  </si>
  <si>
    <t>19/08/2003</t>
  </si>
  <si>
    <t>05/09/2003</t>
  </si>
  <si>
    <t>26/11/2003</t>
  </si>
  <si>
    <t>24/03/2003</t>
  </si>
  <si>
    <t>01/10/2003</t>
  </si>
  <si>
    <t>13/06/2003</t>
  </si>
  <si>
    <t>22/03/2003</t>
  </si>
  <si>
    <t>14/06/2003</t>
  </si>
  <si>
    <t>31/12/2003</t>
  </si>
  <si>
    <t>13/05/2003</t>
  </si>
  <si>
    <t>26/08/2003</t>
  </si>
  <si>
    <t>06/07/2003</t>
  </si>
  <si>
    <t>18/03/2003</t>
  </si>
  <si>
    <t>04/11/2003</t>
  </si>
  <si>
    <t>12/12/2003</t>
  </si>
  <si>
    <t>10/10/2003</t>
  </si>
  <si>
    <t>25/03/2003</t>
  </si>
  <si>
    <t>02/05/1997</t>
  </si>
  <si>
    <t>14/11/2003</t>
  </si>
  <si>
    <t>10/11/2003</t>
  </si>
  <si>
    <t>06/05/2003</t>
  </si>
  <si>
    <t>10/06/2003</t>
  </si>
  <si>
    <t>10/03/2000</t>
  </si>
  <si>
    <t>03/07/2003</t>
  </si>
  <si>
    <t>17/06/2003</t>
  </si>
  <si>
    <t>18/04/2003</t>
  </si>
  <si>
    <t>07/09/2003</t>
  </si>
  <si>
    <t>17/04/2003</t>
  </si>
  <si>
    <t>04/10/2003</t>
  </si>
  <si>
    <t>19/07/2003</t>
  </si>
  <si>
    <t>01/07/2003</t>
  </si>
  <si>
    <t>20/03/2003</t>
  </si>
  <si>
    <t>29/07/2003</t>
  </si>
  <si>
    <t>29/01/2003</t>
  </si>
  <si>
    <t>29/09/2003</t>
  </si>
  <si>
    <t>23/12/2003</t>
  </si>
  <si>
    <t>14/04/2003</t>
  </si>
  <si>
    <t>28/06/2003</t>
  </si>
  <si>
    <t>20/04/2003</t>
  </si>
  <si>
    <t>08/07/2003</t>
  </si>
  <si>
    <t>17/11/2003</t>
  </si>
  <si>
    <t>17/07/2003</t>
  </si>
  <si>
    <t>02/05/2003</t>
  </si>
  <si>
    <t>06/09/2003</t>
  </si>
  <si>
    <t>31/01/2003</t>
  </si>
  <si>
    <t>10/01/2003</t>
  </si>
  <si>
    <t>03/01/2003</t>
  </si>
  <si>
    <t>30/04/2003</t>
  </si>
  <si>
    <t>13/12/2001</t>
  </si>
  <si>
    <t>22/09/2003</t>
  </si>
  <si>
    <t>15/11/2003</t>
  </si>
  <si>
    <t>07/06/2003</t>
  </si>
  <si>
    <t>31/07/2001</t>
  </si>
  <si>
    <t>20/12/2003</t>
  </si>
  <si>
    <t>14/05/2003</t>
  </si>
  <si>
    <t>27/05/2003</t>
  </si>
  <si>
    <t>13/08/2003</t>
  </si>
  <si>
    <t>09/09/2003</t>
  </si>
  <si>
    <t>07/07/2003</t>
  </si>
  <si>
    <t>24/05/2002</t>
  </si>
  <si>
    <t>09/04/2003</t>
  </si>
  <si>
    <t>29/11/2002</t>
  </si>
  <si>
    <t>29/03/2003</t>
  </si>
  <si>
    <t>26/04/2003</t>
  </si>
  <si>
    <t>16/12/2003</t>
  </si>
  <si>
    <t>22/02/2003</t>
  </si>
  <si>
    <t>07/03/2003</t>
  </si>
  <si>
    <t>05/01/2003</t>
  </si>
  <si>
    <t>17/02/2003</t>
  </si>
  <si>
    <t>17/03/2003</t>
  </si>
  <si>
    <t>16/05/2003</t>
  </si>
  <si>
    <t>30/01/2003</t>
  </si>
  <si>
    <t>28/02/2003</t>
  </si>
  <si>
    <t>26/06/2003</t>
  </si>
  <si>
    <t>05/10/2003</t>
  </si>
  <si>
    <t>09/11/2003</t>
  </si>
  <si>
    <t>00/01/1900</t>
  </si>
  <si>
    <t>26/02/2001</t>
  </si>
  <si>
    <t>31/12/2001</t>
  </si>
  <si>
    <t>21/09/2001</t>
  </si>
  <si>
    <t>13/08/2001</t>
  </si>
  <si>
    <t>03/06/2001</t>
  </si>
  <si>
    <t>10/01/2001</t>
  </si>
  <si>
    <t>10/12/2000</t>
  </si>
  <si>
    <t>01/05/2001</t>
  </si>
  <si>
    <t>14/08/2000</t>
  </si>
  <si>
    <t>01/02/2000</t>
  </si>
  <si>
    <t>20/01/2001</t>
  </si>
  <si>
    <t>06/10/2001</t>
  </si>
  <si>
    <t>24/12/2001</t>
  </si>
  <si>
    <t>25/09/2001</t>
  </si>
  <si>
    <t>26/09/2001</t>
  </si>
  <si>
    <t>22/01/2001</t>
  </si>
  <si>
    <t>10/07/2001</t>
  </si>
  <si>
    <t>12/03/2001</t>
  </si>
  <si>
    <t>30/04/2001</t>
  </si>
  <si>
    <t>10/08/2001</t>
  </si>
  <si>
    <t>06/01/1997</t>
  </si>
  <si>
    <t>22/02/2000</t>
  </si>
  <si>
    <t>18/10/2001</t>
  </si>
  <si>
    <t>13/07/2001</t>
  </si>
  <si>
    <t>12/10/2001</t>
  </si>
  <si>
    <t>07/06/2000</t>
  </si>
  <si>
    <t>04/08/2001</t>
  </si>
  <si>
    <t>17/07/2001</t>
  </si>
  <si>
    <t>30/09/2001</t>
  </si>
  <si>
    <t>08/06/2000</t>
  </si>
  <si>
    <t>04/01/2001</t>
  </si>
  <si>
    <t>05/03/2001</t>
  </si>
  <si>
    <t>22/09/2001</t>
  </si>
  <si>
    <t>05/04/1984</t>
  </si>
  <si>
    <t>03/03/2000</t>
  </si>
  <si>
    <t>28/07/2001</t>
  </si>
  <si>
    <t>09/04/2001</t>
  </si>
  <si>
    <t>02/09/2001</t>
  </si>
  <si>
    <t>01/11/2001</t>
  </si>
  <si>
    <t>15/07/2001</t>
  </si>
  <si>
    <t>28/09/2001</t>
  </si>
  <si>
    <t>04/09/2001</t>
  </si>
  <si>
    <t>13/02/2000</t>
  </si>
  <si>
    <t>22/10/2001</t>
  </si>
  <si>
    <t>15/08/2001</t>
  </si>
  <si>
    <t>Ngày sinh (Phần mềm)</t>
  </si>
  <si>
    <t>Nơi sinh (Phần mềm)</t>
  </si>
  <si>
    <t>Dân tộc (Phần mềm)</t>
  </si>
  <si>
    <t>Tôn giáo(Phần mềm)</t>
  </si>
  <si>
    <t xml:space="preserve"> Ngô Trường An</t>
  </si>
  <si>
    <t>CS2_HL_C</t>
  </si>
  <si>
    <t>K60 về trước</t>
  </si>
  <si>
    <t xml:space="preserve"> Bùi Kim Anh</t>
  </si>
  <si>
    <t xml:space="preserve"> Hoàng Thị Lan Anh</t>
  </si>
  <si>
    <t xml:space="preserve"> Trịnh Quốc Anh</t>
  </si>
  <si>
    <t xml:space="preserve"> Nguyễn Ngọc Bảo</t>
  </si>
  <si>
    <t xml:space="preserve"> Nguyễn Thái Bình</t>
  </si>
  <si>
    <t xml:space="preserve"> Lưu Văn Bình</t>
  </si>
  <si>
    <t xml:space="preserve"> Cao Văn  Bình</t>
  </si>
  <si>
    <t xml:space="preserve"> Trần Danh Châu</t>
  </si>
  <si>
    <t xml:space="preserve"> Trương Đông Chinh</t>
  </si>
  <si>
    <t xml:space="preserve"> Nguyễn Đức Chung</t>
  </si>
  <si>
    <t xml:space="preserve"> Vũ Xuân Cương</t>
  </si>
  <si>
    <t xml:space="preserve"> Lưu Mạnh Cường</t>
  </si>
  <si>
    <t xml:space="preserve"> Võ Tấn Cường</t>
  </si>
  <si>
    <t xml:space="preserve"> Lê Văn Cường</t>
  </si>
  <si>
    <t xml:space="preserve"> Trần Ngọc Đại</t>
  </si>
  <si>
    <t xml:space="preserve"> Trần Xuân Đại</t>
  </si>
  <si>
    <t xml:space="preserve"> Nguyễn Thành Danh</t>
  </si>
  <si>
    <t>Vũ Tiến Đạt</t>
  </si>
  <si>
    <t>Phùng Quang Đạt</t>
  </si>
  <si>
    <t>Đã nhập học, đang học</t>
  </si>
  <si>
    <t>Nguyễn Phú Đạt</t>
  </si>
  <si>
    <t xml:space="preserve"> Đoàn Trọng Đạt</t>
  </si>
  <si>
    <t xml:space="preserve"> Phạm Hồng Định</t>
  </si>
  <si>
    <t xml:space="preserve"> Lê Hoàng Đông</t>
  </si>
  <si>
    <t xml:space="preserve"> Phạm Hồng Đức</t>
  </si>
  <si>
    <t>Võ Việt Đức</t>
  </si>
  <si>
    <t xml:space="preserve"> Nguyễn Trung Đức</t>
  </si>
  <si>
    <t xml:space="preserve"> Nguyễn Thọ Dũng</t>
  </si>
  <si>
    <t xml:space="preserve"> Nguyễn Thái Dương</t>
  </si>
  <si>
    <t xml:space="preserve"> Đinh Tấn Dương</t>
  </si>
  <si>
    <t xml:space="preserve"> Ngô Duy Dương</t>
  </si>
  <si>
    <t xml:space="preserve"> Hồ Hải Dương</t>
  </si>
  <si>
    <t>Nguyễn Lê Anh Duy</t>
  </si>
  <si>
    <t xml:space="preserve"> Đoàn Thị Bích Duyên</t>
  </si>
  <si>
    <t xml:space="preserve"> Nguyễn Thị Mỹ Duyên</t>
  </si>
  <si>
    <t xml:space="preserve"> Lê Trường Giang</t>
  </si>
  <si>
    <t xml:space="preserve"> Lê Thị Giang</t>
  </si>
  <si>
    <t xml:space="preserve"> Trịnh Quý  Giang</t>
  </si>
  <si>
    <t>Nguyễn Vy Gơ</t>
  </si>
  <si>
    <t xml:space="preserve"> Trịnh Thu  Hà</t>
  </si>
  <si>
    <t xml:space="preserve"> Mai Hồng Hải Hà</t>
  </si>
  <si>
    <t xml:space="preserve"> Dương Ngọc Hải</t>
  </si>
  <si>
    <t xml:space="preserve"> Phạm Danh Hào</t>
  </si>
  <si>
    <t xml:space="preserve"> Nguyễn Anh Hào</t>
  </si>
  <si>
    <t xml:space="preserve"> Ngô Trung Hậu</t>
  </si>
  <si>
    <t xml:space="preserve"> Đoàn Trung Hiếu</t>
  </si>
  <si>
    <t xml:space="preserve"> Huỳnh Trung Hiếu</t>
  </si>
  <si>
    <t xml:space="preserve"> Lê Trọng Hiếu</t>
  </si>
  <si>
    <t xml:space="preserve"> Phạm Trọng Hiếu</t>
  </si>
  <si>
    <t xml:space="preserve"> Nguyễn Trung Hiếu</t>
  </si>
  <si>
    <t xml:space="preserve"> Nguyễn Thị Minh Hiếu</t>
  </si>
  <si>
    <t xml:space="preserve"> Nguyễn Đức Hiếu</t>
  </si>
  <si>
    <t xml:space="preserve"> Nguyễn Trung Hòa</t>
  </si>
  <si>
    <t xml:space="preserve"> Bế Thu Hoài</t>
  </si>
  <si>
    <t xml:space="preserve"> Trần  Hoàng</t>
  </si>
  <si>
    <t xml:space="preserve"> Phạm Viết Hoàng</t>
  </si>
  <si>
    <t xml:space="preserve"> Trương Huy  Hoàng</t>
  </si>
  <si>
    <t xml:space="preserve"> Nguyễn Khánh  Hội</t>
  </si>
  <si>
    <t xml:space="preserve"> Lê Văn  Hùng</t>
  </si>
  <si>
    <t xml:space="preserve"> Nguyễn Thành Hưng</t>
  </si>
  <si>
    <t xml:space="preserve"> Vũ Trần Khánh Hưng</t>
  </si>
  <si>
    <t xml:space="preserve"> Lê Huỳnh Huy</t>
  </si>
  <si>
    <t xml:space="preserve"> Lê Hữu Huy</t>
  </si>
  <si>
    <t xml:space="preserve"> Đinh Hoàng Huy</t>
  </si>
  <si>
    <t xml:space="preserve"> Phạm Hoàng Huy</t>
  </si>
  <si>
    <t xml:space="preserve"> Trần Văn Quang Huy</t>
  </si>
  <si>
    <t>Bùi Nhật  Huy</t>
  </si>
  <si>
    <t>Phan Ngọc Huy</t>
  </si>
  <si>
    <t xml:space="preserve"> Lê Ngọc Huy</t>
  </si>
  <si>
    <t xml:space="preserve"> Vương Ngọc Huyền</t>
  </si>
  <si>
    <t xml:space="preserve"> Nguyễn  Huỳnh</t>
  </si>
  <si>
    <t xml:space="preserve"> Trần Nguyễn Huy Khang</t>
  </si>
  <si>
    <t xml:space="preserve"> Thiều Gia Khang</t>
  </si>
  <si>
    <t xml:space="preserve"> Phạm Đức Khánh</t>
  </si>
  <si>
    <t>Lại Nguyên Khánh</t>
  </si>
  <si>
    <t xml:space="preserve"> Phạm Đăng  Khiên</t>
  </si>
  <si>
    <t xml:space="preserve"> Trần Minh Khoa</t>
  </si>
  <si>
    <t xml:space="preserve"> Huỳnh Hải Đăng Khoa</t>
  </si>
  <si>
    <t xml:space="preserve"> Trần Lê Liêm</t>
  </si>
  <si>
    <t xml:space="preserve"> Lê Văn Liêm</t>
  </si>
  <si>
    <t>Trần Phước Lộc</t>
  </si>
  <si>
    <t xml:space="preserve"> Trần Hoàng Long</t>
  </si>
  <si>
    <t xml:space="preserve"> Nguyễn Minh Luân</t>
  </si>
  <si>
    <t xml:space="preserve"> Nguyễn Bình Lưu</t>
  </si>
  <si>
    <t xml:space="preserve"> Nguyễn Đức Mạnh</t>
  </si>
  <si>
    <t xml:space="preserve"> Võ Quân Minh</t>
  </si>
  <si>
    <t xml:space="preserve"> Phạm Trọng Ngọc Minh</t>
  </si>
  <si>
    <t xml:space="preserve"> Đoàn Phương Nam</t>
  </si>
  <si>
    <t xml:space="preserve"> Phù Ngọc Nam</t>
  </si>
  <si>
    <t xml:space="preserve"> Nguyễn Thị Nga</t>
  </si>
  <si>
    <t xml:space="preserve"> Nguyễn Thị Ngọc Ngân</t>
  </si>
  <si>
    <t xml:space="preserve"> Tiêu Thị Phương Ngân</t>
  </si>
  <si>
    <t xml:space="preserve"> Bùi Hữu Nghĩa</t>
  </si>
  <si>
    <t xml:space="preserve"> Nguyễn Thị Nguyên Ngọc</t>
  </si>
  <si>
    <t>Huỳnh Thị Bảo Ngọc</t>
  </si>
  <si>
    <t xml:space="preserve"> Nguyễn Văn Nguyên</t>
  </si>
  <si>
    <t xml:space="preserve"> Trần Đình Nguyên</t>
  </si>
  <si>
    <t>PHẠM KHANG NGUYÊN</t>
  </si>
  <si>
    <t xml:space="preserve"> Nguyễn Chí Nguyễn</t>
  </si>
  <si>
    <t>Lê Chí Nguyện</t>
  </si>
  <si>
    <t xml:space="preserve"> Bùi Tiến Nhân</t>
  </si>
  <si>
    <t xml:space="preserve"> NGUYỄN PHÚC NHÂN</t>
  </si>
  <si>
    <t xml:space="preserve"> Đinh Minh Nhật</t>
  </si>
  <si>
    <t xml:space="preserve"> Đỗ Quang Nhật</t>
  </si>
  <si>
    <t xml:space="preserve"> Nguyễn Ánh Nhật</t>
  </si>
  <si>
    <t xml:space="preserve">Quyết định tam ngừng học - Ngày 24/11/2023; Quyết định quay trở lại trường - Ngày 10/09/2024; </t>
  </si>
  <si>
    <t xml:space="preserve"> Cao Ngọc Yến Nhi</t>
  </si>
  <si>
    <t xml:space="preserve"> Trần Khả Nhi</t>
  </si>
  <si>
    <t xml:space="preserve"> Cao Trường Nhi</t>
  </si>
  <si>
    <t xml:space="preserve"> Nguyễn Thị Tuyết Nhung</t>
  </si>
  <si>
    <t xml:space="preserve"> Cao Minh Nhựt</t>
  </si>
  <si>
    <t xml:space="preserve"> Huỳnh Duy Nhụy</t>
  </si>
  <si>
    <t xml:space="preserve"> Lê Quốc Nhật Phi</t>
  </si>
  <si>
    <t xml:space="preserve"> Ngô Minh Phong</t>
  </si>
  <si>
    <t xml:space="preserve">Quyết định tam ngừng học - Ngày 26/03/2024; Quyết định quay trở lại trường - Ngày 20/08/2024; </t>
  </si>
  <si>
    <t xml:space="preserve"> Hoàng Hải Phú</t>
  </si>
  <si>
    <t xml:space="preserve"> Trần Nguyễn Tấn Phúc</t>
  </si>
  <si>
    <t xml:space="preserve"> Huỳnh Văn Phụng</t>
  </si>
  <si>
    <t xml:space="preserve"> NGUYỄN NGỌC PHƯƠNG</t>
  </si>
  <si>
    <t xml:space="preserve"> Nguyễn Anh Quân</t>
  </si>
  <si>
    <t xml:space="preserve"> Lê Đình  Quân</t>
  </si>
  <si>
    <t xml:space="preserve"> Võ Thành Quốc</t>
  </si>
  <si>
    <t>Mai Xuân Quyền</t>
  </si>
  <si>
    <t xml:space="preserve"> Phạm Thị Quỳnh</t>
  </si>
  <si>
    <t xml:space="preserve"> Trần Ngọc Như Quỳnh</t>
  </si>
  <si>
    <t xml:space="preserve"> Mai Ngọc Sơn</t>
  </si>
  <si>
    <t xml:space="preserve"> Bùi Ngọc Sơn</t>
  </si>
  <si>
    <t xml:space="preserve"> Đặng Văn  Sơn</t>
  </si>
  <si>
    <t xml:space="preserve"> Trần Tú  Tài</t>
  </si>
  <si>
    <t>Nguyễn Sĩ Tâm</t>
  </si>
  <si>
    <t>Phạm Chí Tâm</t>
  </si>
  <si>
    <t xml:space="preserve"> Cao Đức Tâm</t>
  </si>
  <si>
    <t>Nguyễn Duy Tâm</t>
  </si>
  <si>
    <t xml:space="preserve">Quyết định tam ngừng học - Ngày 18/04/2024; Quyết định quay trở lại trường - Ngày 13/11/2024; </t>
  </si>
  <si>
    <t>Trần Duy Tân</t>
  </si>
  <si>
    <t>Ưng Thông Thái</t>
  </si>
  <si>
    <t>CAO ĐƯỜNG PHƯỚC THÁI</t>
  </si>
  <si>
    <t xml:space="preserve"> Nguyễn Đức Thắng</t>
  </si>
  <si>
    <t xml:space="preserve"> Nguyễn Ngọc Thanh</t>
  </si>
  <si>
    <t xml:space="preserve"> Lưu Bảo Thanh</t>
  </si>
  <si>
    <t xml:space="preserve"> Lê Minh Thành</t>
  </si>
  <si>
    <t xml:space="preserve"> Nguyễn Đức Thành</t>
  </si>
  <si>
    <t xml:space="preserve"> Trần Võ Thảo</t>
  </si>
  <si>
    <t xml:space="preserve"> Phan Trần Thanh Thảo</t>
  </si>
  <si>
    <t xml:space="preserve"> Trần Thanh Thiên</t>
  </si>
  <si>
    <t xml:space="preserve"> Trần Minh Thiện</t>
  </si>
  <si>
    <t xml:space="preserve"> Trương Hoàng Thịnh</t>
  </si>
  <si>
    <t>Nguyễn Quốc  Thịnh</t>
  </si>
  <si>
    <t xml:space="preserve"> Nguyễn Quỳnh Thơ</t>
  </si>
  <si>
    <t xml:space="preserve"> Nguyễn Hữu Thọ</t>
  </si>
  <si>
    <t xml:space="preserve"> Đinh Hoàng Thông</t>
  </si>
  <si>
    <t xml:space="preserve"> Ma Phan Thị Thư</t>
  </si>
  <si>
    <t xml:space="preserve"> Đỗ Kiến Thức</t>
  </si>
  <si>
    <t>Vũ Văn Thường</t>
  </si>
  <si>
    <t xml:space="preserve"> Nguyễn Phùng Tiên</t>
  </si>
  <si>
    <t xml:space="preserve"> Nguyễn Quốc Tiến</t>
  </si>
  <si>
    <t xml:space="preserve"> Võ Minh Tiến</t>
  </si>
  <si>
    <t xml:space="preserve"> Phạm Đức Tiền</t>
  </si>
  <si>
    <t xml:space="preserve"> Trương Văn Tín</t>
  </si>
  <si>
    <t xml:space="preserve"> Tăng Thái Tính</t>
  </si>
  <si>
    <t xml:space="preserve"> Trần Năng Tĩnh</t>
  </si>
  <si>
    <t xml:space="preserve"> Phan Thanh Tỉnh</t>
  </si>
  <si>
    <t xml:space="preserve"> Dương Văn Toàn</t>
  </si>
  <si>
    <t xml:space="preserve"> Đào Ngọc Tới</t>
  </si>
  <si>
    <t xml:space="preserve"> Nguyễn Văn  Tới</t>
  </si>
  <si>
    <t xml:space="preserve"> Huỳnh Phúc Trường</t>
  </si>
  <si>
    <t xml:space="preserve"> Nguyễn Cảnh Trường</t>
  </si>
  <si>
    <t xml:space="preserve"> Nguyễn Quang Trường</t>
  </si>
  <si>
    <t xml:space="preserve"> NGUYỄN NHƯ TÚ</t>
  </si>
  <si>
    <t xml:space="preserve">Quyết định quay trở lại trường - Ngày 23/04/2024; Quyết định tam ngừng học - Ngày 27/12/2023; </t>
  </si>
  <si>
    <t xml:space="preserve"> Hà Anh Tú</t>
  </si>
  <si>
    <t xml:space="preserve"> Lê Thị Tư</t>
  </si>
  <si>
    <t xml:space="preserve"> Bùi Anh Tuấn</t>
  </si>
  <si>
    <t xml:space="preserve"> Nguyễn Anh Tuấn</t>
  </si>
  <si>
    <t xml:space="preserve"> Đinh Ngọc Tuấn</t>
  </si>
  <si>
    <t xml:space="preserve"> Lại Minh Tuấn</t>
  </si>
  <si>
    <t xml:space="preserve"> Phạm Ngọc Tuấn</t>
  </si>
  <si>
    <t>Lê Đức Tuấn</t>
  </si>
  <si>
    <t xml:space="preserve"> Trần Văn Tùng</t>
  </si>
  <si>
    <t xml:space="preserve"> Nghiêm Thanh  Tùng</t>
  </si>
  <si>
    <t xml:space="preserve"> Nguyễn Tấn Thiên Tỷ</t>
  </si>
  <si>
    <t xml:space="preserve"> Trần Nguyễn Trúc Vi</t>
  </si>
  <si>
    <t xml:space="preserve"> Lã Bằng Việt</t>
  </si>
  <si>
    <t>Nguyễn Kiều Bảo Việt</t>
  </si>
  <si>
    <t>Đặng Cao Vinh</t>
  </si>
  <si>
    <t xml:space="preserve"> Nguyễn Tiến Vũ</t>
  </si>
  <si>
    <t xml:space="preserve"> Châu Anh Vũ</t>
  </si>
  <si>
    <t xml:space="preserve"> Nguyễn Thanh Vũ</t>
  </si>
  <si>
    <t xml:space="preserve"> Bùi Văn Vui</t>
  </si>
  <si>
    <t xml:space="preserve"> Đàng Nữ Mộng Y</t>
  </si>
  <si>
    <t xml:space="preserve"> Đào Hữu An</t>
  </si>
  <si>
    <t>CS2_HL_CT</t>
  </si>
  <si>
    <t xml:space="preserve"> Lê Chí Bảo</t>
  </si>
  <si>
    <t xml:space="preserve"> Nguyễn Chí Bảo</t>
  </si>
  <si>
    <t xml:space="preserve"> Trần Khoa Thái Bảo</t>
  </si>
  <si>
    <t xml:space="preserve"> Lê Trần Thái Bình</t>
  </si>
  <si>
    <t xml:space="preserve"> Phan Thiên Bình</t>
  </si>
  <si>
    <t xml:space="preserve"> Lương Văn Cảnh</t>
  </si>
  <si>
    <t>Lê Quang Huy Chánh</t>
  </si>
  <si>
    <t xml:space="preserve"> Nguyễn Quốc Cương</t>
  </si>
  <si>
    <t xml:space="preserve"> Lê Văn Đại</t>
  </si>
  <si>
    <t xml:space="preserve"> Hồ Hoàn Đạt</t>
  </si>
  <si>
    <t xml:space="preserve"> Trần Tiến Đạt</t>
  </si>
  <si>
    <t xml:space="preserve"> Nguyễn Văn Định</t>
  </si>
  <si>
    <t xml:space="preserve"> Đoàn Văn Đức</t>
  </si>
  <si>
    <t xml:space="preserve"> Lý Anh Duy</t>
  </si>
  <si>
    <t xml:space="preserve"> Bùi Duy Hải</t>
  </si>
  <si>
    <t xml:space="preserve"> Tống Trần  Hiếu</t>
  </si>
  <si>
    <t xml:space="preserve"> Nguyễn Minh  Hoàng</t>
  </si>
  <si>
    <t xml:space="preserve"> Trần Vũ  Hoàng</t>
  </si>
  <si>
    <t>Chu Văn Hùng</t>
  </si>
  <si>
    <t xml:space="preserve"> Hồ Phi Hùng</t>
  </si>
  <si>
    <t xml:space="preserve"> Phan Việt Hùng</t>
  </si>
  <si>
    <t xml:space="preserve"> Phan Bảo Huy</t>
  </si>
  <si>
    <t xml:space="preserve"> Trần Quang  Huy</t>
  </si>
  <si>
    <t xml:space="preserve"> Trần Quang Huy</t>
  </si>
  <si>
    <t xml:space="preserve"> Dương Đình Khánh</t>
  </si>
  <si>
    <t xml:space="preserve"> Đoàn Hải Băng Khoa</t>
  </si>
  <si>
    <t xml:space="preserve"> Nguyễn Thành Kiên</t>
  </si>
  <si>
    <t xml:space="preserve"> Chu Tuấn Kiệt</t>
  </si>
  <si>
    <t xml:space="preserve"> Nguyễn Xuân Nhân Kiệt</t>
  </si>
  <si>
    <t xml:space="preserve"> Nguyễn Văn Long</t>
  </si>
  <si>
    <t xml:space="preserve"> Bùi Văn Lung</t>
  </si>
  <si>
    <t xml:space="preserve"> Trần Lê Minh</t>
  </si>
  <si>
    <t xml:space="preserve"> LÊ NHẬT MINH</t>
  </si>
  <si>
    <t xml:space="preserve"> Trần Duy Minh</t>
  </si>
  <si>
    <t xml:space="preserve"> Hồ Minh Nhật Nam</t>
  </si>
  <si>
    <t xml:space="preserve"> Nguyễn Ngọc  Nam</t>
  </si>
  <si>
    <t xml:space="preserve"> Phạm Đức Nhật</t>
  </si>
  <si>
    <t xml:space="preserve"> Nguyễn Quang Phúc</t>
  </si>
  <si>
    <t>Trần Viễn Phương</t>
  </si>
  <si>
    <t>Nguyễn Minh Phương</t>
  </si>
  <si>
    <t xml:space="preserve">Quyết định tam ngừng học - Ngày 09/03/2022; Quyết định quay trở lại trường - Ngày 11/03/2024; </t>
  </si>
  <si>
    <t xml:space="preserve"> Trần Kỳ Quang</t>
  </si>
  <si>
    <t xml:space="preserve"> Đặng Văn Quang</t>
  </si>
  <si>
    <t xml:space="preserve"> Lê Tấn Sang</t>
  </si>
  <si>
    <t xml:space="preserve"> Dương Văn Thái</t>
  </si>
  <si>
    <t xml:space="preserve"> Huỳnh Văn Thi</t>
  </si>
  <si>
    <t xml:space="preserve"> Huỳnh Nhật Thoại</t>
  </si>
  <si>
    <t xml:space="preserve"> Trương Văn Thứ</t>
  </si>
  <si>
    <t xml:space="preserve"> Vũ Văn Thường</t>
  </si>
  <si>
    <t xml:space="preserve"> Đào Ngọc Duy Tính</t>
  </si>
  <si>
    <t xml:space="preserve"> Trần Thái Tôn</t>
  </si>
  <si>
    <t xml:space="preserve"> Nguyễn Đức Duy Trung</t>
  </si>
  <si>
    <t xml:space="preserve"> Phan Đình Tú</t>
  </si>
  <si>
    <t>Trần Quang Tuấn</t>
  </si>
  <si>
    <t xml:space="preserve"> Vũ Mạnh  Tuấn</t>
  </si>
  <si>
    <t>Đào Duy Tùng</t>
  </si>
  <si>
    <t xml:space="preserve"> Nguyễn Văn  Tùng</t>
  </si>
  <si>
    <t xml:space="preserve"> Trần Quang Tường</t>
  </si>
  <si>
    <t xml:space="preserve"> Đào Khánh Văn</t>
  </si>
  <si>
    <t xml:space="preserve"> Nguyễn Văn Vẹn</t>
  </si>
  <si>
    <t xml:space="preserve"> Trần Đình Viên</t>
  </si>
  <si>
    <t xml:space="preserve"> Nguyễn Bảo Việt</t>
  </si>
  <si>
    <t xml:space="preserve"> Lê Thanh Vũ</t>
  </si>
  <si>
    <t xml:space="preserve"> Dương Minh Vũ</t>
  </si>
  <si>
    <t xml:space="preserve"> Nguyễn Trần Tuấn Vũ</t>
  </si>
  <si>
    <t xml:space="preserve"> Nguyễn Đăng Anh</t>
  </si>
  <si>
    <t>CS2_HL_CTN</t>
  </si>
  <si>
    <t xml:space="preserve"> Đoàn Thị Vân Anh</t>
  </si>
  <si>
    <t xml:space="preserve"> Dương ThỊ QuỲnh Anh</t>
  </si>
  <si>
    <t xml:space="preserve"> Trần Gia Bảo</t>
  </si>
  <si>
    <t xml:space="preserve"> Châu Thanh Bình</t>
  </si>
  <si>
    <t xml:space="preserve"> Hồ Thanh Chung</t>
  </si>
  <si>
    <t xml:space="preserve"> Đặng Quang Chương</t>
  </si>
  <si>
    <t xml:space="preserve"> Trần Vũ Đại</t>
  </si>
  <si>
    <t>Nguyễn Quang Đạt</t>
  </si>
  <si>
    <t>Trần Phước Đông</t>
  </si>
  <si>
    <t xml:space="preserve"> Trần Minh Du</t>
  </si>
  <si>
    <t xml:space="preserve"> Ngụy Thế Dũng</t>
  </si>
  <si>
    <t xml:space="preserve"> Nguyễn Duy Hân</t>
  </si>
  <si>
    <t>Nguyễn Quốc Hạnh</t>
  </si>
  <si>
    <t xml:space="preserve"> Nguyễn Trần Hảo</t>
  </si>
  <si>
    <t xml:space="preserve"> Trịnh Đức Hiếu</t>
  </si>
  <si>
    <t xml:space="preserve"> Phan Hữu Hiếu</t>
  </si>
  <si>
    <t xml:space="preserve"> Lê Mai Phương Hoà</t>
  </si>
  <si>
    <t xml:space="preserve"> Trần Minh Huấn</t>
  </si>
  <si>
    <t xml:space="preserve"> Phạm Thế Hùng</t>
  </si>
  <si>
    <t>Khê Văn Hùng</t>
  </si>
  <si>
    <t xml:space="preserve"> Bùi Phú Hữu</t>
  </si>
  <si>
    <t xml:space="preserve"> Trần Lưu Huy</t>
  </si>
  <si>
    <t xml:space="preserve"> Võ Lâm Huy</t>
  </si>
  <si>
    <t xml:space="preserve"> Nguyễn Viết Huyên</t>
  </si>
  <si>
    <t xml:space="preserve"> Phạm Thị  Huyền</t>
  </si>
  <si>
    <t xml:space="preserve"> Trần Võ Tố Kha</t>
  </si>
  <si>
    <t xml:space="preserve"> Lê Nguyễn Đức Khánh</t>
  </si>
  <si>
    <t xml:space="preserve"> Huỳnh Công Khánh</t>
  </si>
  <si>
    <t xml:space="preserve"> Trần Anh Khoa</t>
  </si>
  <si>
    <t xml:space="preserve"> Phùng Nguyễn Trường Lâm</t>
  </si>
  <si>
    <t xml:space="preserve"> La Thị Thùy Linh</t>
  </si>
  <si>
    <t xml:space="preserve"> Nguyễn Thị Mỹ Linh</t>
  </si>
  <si>
    <t xml:space="preserve"> Nguyễn Phú Tuyết Loan</t>
  </si>
  <si>
    <t xml:space="preserve"> Lâm Thị Bé Loan</t>
  </si>
  <si>
    <t xml:space="preserve"> Lê Minh Luân</t>
  </si>
  <si>
    <t>Hoàng Đức Mạnh</t>
  </si>
  <si>
    <t xml:space="preserve"> Nguyễn Thị Hoàng Mỹ</t>
  </si>
  <si>
    <t xml:space="preserve"> Nguyễn Hồng Ngân</t>
  </si>
  <si>
    <t xml:space="preserve"> Trần Trung Nghĩa</t>
  </si>
  <si>
    <t xml:space="preserve"> Văn Bảo Ngọc</t>
  </si>
  <si>
    <t xml:space="preserve"> Dương Thành Nhân</t>
  </si>
  <si>
    <t xml:space="preserve"> Vũ Hoàng Nhi</t>
  </si>
  <si>
    <t xml:space="preserve"> Hoàng Hoài Phong</t>
  </si>
  <si>
    <t xml:space="preserve"> Vũ Duy Phong</t>
  </si>
  <si>
    <t xml:space="preserve"> Phạm Thành Phú</t>
  </si>
  <si>
    <t xml:space="preserve"> Huỳnh Duy Phúc</t>
  </si>
  <si>
    <t xml:space="preserve"> Tô Kim Phụng</t>
  </si>
  <si>
    <t>Phùng Trung Quốc</t>
  </si>
  <si>
    <t xml:space="preserve"> Phạm Hiếu Quy</t>
  </si>
  <si>
    <t xml:space="preserve"> Ngô Bùi Diễm Quỳnh</t>
  </si>
  <si>
    <t xml:space="preserve"> Đỗ Hữu Tài</t>
  </si>
  <si>
    <t xml:space="preserve"> Nguyễn Hoàng Phương Thanh</t>
  </si>
  <si>
    <t xml:space="preserve"> Trần Thị Thanh Thảo</t>
  </si>
  <si>
    <t xml:space="preserve"> Nguyễn Ngọc Thiên</t>
  </si>
  <si>
    <t>Lê Văn Thiện</t>
  </si>
  <si>
    <t xml:space="preserve"> VÕ HUỲNH DUY THIỆN</t>
  </si>
  <si>
    <t xml:space="preserve"> Phan Thị Kim Thoa</t>
  </si>
  <si>
    <t xml:space="preserve"> Dụng Văn Anh Thỏa</t>
  </si>
  <si>
    <t xml:space="preserve"> Dương Vĩnh Thông</t>
  </si>
  <si>
    <t xml:space="preserve"> Nguyễn Thị Thanh Thúy</t>
  </si>
  <si>
    <t xml:space="preserve"> Lê Minh Trí</t>
  </si>
  <si>
    <t xml:space="preserve"> Trần Minh Trí</t>
  </si>
  <si>
    <t xml:space="preserve"> Ngô Văn Triều</t>
  </si>
  <si>
    <t xml:space="preserve"> Nguyễn Thị Tố Trinh</t>
  </si>
  <si>
    <t xml:space="preserve"> Lê Nguyễn Đăng Trình</t>
  </si>
  <si>
    <t xml:space="preserve"> Trần Diễm Thu Uyên</t>
  </si>
  <si>
    <t xml:space="preserve"> Nguyễn Thị Vương Tường Vi</t>
  </si>
  <si>
    <t xml:space="preserve"> Trần Vĩnh Vi</t>
  </si>
  <si>
    <t>Nguyễn Tuấn Việt</t>
  </si>
  <si>
    <t xml:space="preserve"> Phạm Nguyễn Thúy Vy</t>
  </si>
  <si>
    <t>Lưu Thái An</t>
  </si>
  <si>
    <t>CS2_HL_CX</t>
  </si>
  <si>
    <t>Lại Quốc An</t>
  </si>
  <si>
    <t xml:space="preserve"> Nguyễn Duy An</t>
  </si>
  <si>
    <t xml:space="preserve"> Nguyễn Trường An</t>
  </si>
  <si>
    <t xml:space="preserve"> Huỳnh Ngọc Ẩn</t>
  </si>
  <si>
    <t xml:space="preserve"> Đặng Tuấn Anh</t>
  </si>
  <si>
    <t xml:space="preserve"> Bùi Tấn Anh</t>
  </si>
  <si>
    <t xml:space="preserve"> Phan Hùng Anh</t>
  </si>
  <si>
    <t xml:space="preserve"> Phạm Văn Anh</t>
  </si>
  <si>
    <t xml:space="preserve"> Lê Nguyễn Hoài Bảo</t>
  </si>
  <si>
    <t xml:space="preserve"> Nguyễn Hoài Bảo</t>
  </si>
  <si>
    <t>Trần Hoài Bảo</t>
  </si>
  <si>
    <t xml:space="preserve"> PHAN QUANG BẢO</t>
  </si>
  <si>
    <t xml:space="preserve"> NGUYỄN TRỌNG BÍNH</t>
  </si>
  <si>
    <t xml:space="preserve"> Nguyễn Huỳnh Thái Bình</t>
  </si>
  <si>
    <t xml:space="preserve"> Trịnh Quốc Bình</t>
  </si>
  <si>
    <t xml:space="preserve"> Lâm Tuấn Boy</t>
  </si>
  <si>
    <t xml:space="preserve"> Nguyễn Quốc Cảm</t>
  </si>
  <si>
    <t xml:space="preserve"> Hồ Xuân Cảnh</t>
  </si>
  <si>
    <t xml:space="preserve"> Đỗ Ngọc Cảnh</t>
  </si>
  <si>
    <t xml:space="preserve"> Lê Phùng Châu</t>
  </si>
  <si>
    <t xml:space="preserve"> Huỳnh Nguyễn Chí</t>
  </si>
  <si>
    <t xml:space="preserve"> Nguyễn Văn Chương</t>
  </si>
  <si>
    <t>Vũ Văn Chương</t>
  </si>
  <si>
    <t xml:space="preserve"> Trần Đình Cường</t>
  </si>
  <si>
    <t xml:space="preserve"> Nguyễn Đức  Cường</t>
  </si>
  <si>
    <t xml:space="preserve"> Hồ Vũ Cường</t>
  </si>
  <si>
    <t xml:space="preserve"> Mai Thanh Cường</t>
  </si>
  <si>
    <t>Nguyễn Hồng  Đăng</t>
  </si>
  <si>
    <t>Phan Thành Đạt</t>
  </si>
  <si>
    <t>052200000107</t>
  </si>
  <si>
    <t xml:space="preserve"> Lý Quốc Đạt</t>
  </si>
  <si>
    <t xml:space="preserve"> Phan Tấn Đạt</t>
  </si>
  <si>
    <t xml:space="preserve"> Đỗ Minh Đạt</t>
  </si>
  <si>
    <t xml:space="preserve"> Nguyễn Trọng Đạt</t>
  </si>
  <si>
    <t>Trịnh Quốc Đạt</t>
  </si>
  <si>
    <t xml:space="preserve"> Nguyễn Hoàng Di</t>
  </si>
  <si>
    <t xml:space="preserve"> Phan Thiên Định</t>
  </si>
  <si>
    <t xml:space="preserve"> Nguyễn Quang Đức</t>
  </si>
  <si>
    <t xml:space="preserve"> Nguyễn Viết Đức</t>
  </si>
  <si>
    <t>HUỲNH ĐỨC</t>
  </si>
  <si>
    <t xml:space="preserve"> Nguyễn Việt Dũng</t>
  </si>
  <si>
    <t xml:space="preserve"> Thái Quang Dũng</t>
  </si>
  <si>
    <t xml:space="preserve"> Nguyễn Đại Dương</t>
  </si>
  <si>
    <t xml:space="preserve"> Trần Hoàng Duy</t>
  </si>
  <si>
    <t xml:space="preserve"> Nguyễn Hoàng Duy</t>
  </si>
  <si>
    <t xml:space="preserve"> Nguyễn Ngọc Duy</t>
  </si>
  <si>
    <t xml:space="preserve"> Võ Thanh Duy</t>
  </si>
  <si>
    <t>Diệp Xuân Duyên</t>
  </si>
  <si>
    <t>Nguyễn Minh Duyệt</t>
  </si>
  <si>
    <t xml:space="preserve">Quyết định quay trở lại trường - Ngày 12/04/2024; Quyết định tam ngừng học - Ngày 13/05/2024; Quyết định tam ngừng học - Ngày 09/10/2023; Quyết định quay trở lại trường - Ngày 10/11/2024; </t>
  </si>
  <si>
    <t xml:space="preserve"> Cao Trường Giang</t>
  </si>
  <si>
    <t xml:space="preserve"> Trần Xuân Hà</t>
  </si>
  <si>
    <t xml:space="preserve"> Phạm Ngọc Hải</t>
  </si>
  <si>
    <t xml:space="preserve"> Trang Duy Hải</t>
  </si>
  <si>
    <t xml:space="preserve"> Trần Phúc Hân</t>
  </si>
  <si>
    <t>Ngô Nhật Hào</t>
  </si>
  <si>
    <t xml:space="preserve">Quyết định quay trở lại trường - Ngày 10/09/2024; Quyết định tam ngừng học - Ngày 05/04/2022; Quyết định tam ngừng học - Ngày 22/04/2024; Quyết định tam ngừng học - Ngày 18/05/2023; </t>
  </si>
  <si>
    <t xml:space="preserve"> Nguyễn Văn Hảo</t>
  </si>
  <si>
    <t xml:space="preserve"> Trần Minh Hảo</t>
  </si>
  <si>
    <t xml:space="preserve"> Phạm Đức Hậu</t>
  </si>
  <si>
    <t xml:space="preserve"> Nguyễn Thu Diệu Hiền</t>
  </si>
  <si>
    <t xml:space="preserve"> Vũ Lê Hiếu</t>
  </si>
  <si>
    <t>NGUYỄN HỮU HIẾU</t>
  </si>
  <si>
    <t xml:space="preserve">Quyết định tam ngừng học - Ngày 16/10/2023; Quyết định quay trở lại trường - Ngày 20/08/2024; </t>
  </si>
  <si>
    <t xml:space="preserve"> Mai Văn Hiệu</t>
  </si>
  <si>
    <t xml:space="preserve"> Đặng Quang Hòa</t>
  </si>
  <si>
    <t xml:space="preserve"> Vũ Văn Hoan</t>
  </si>
  <si>
    <t xml:space="preserve"> Mai Huy Hoàn</t>
  </si>
  <si>
    <t xml:space="preserve"> Trương Minh Hoàng</t>
  </si>
  <si>
    <t xml:space="preserve"> ĐỖ TRƯƠNG LONG HOÀNG</t>
  </si>
  <si>
    <t xml:space="preserve"> Nguyễn Mạnh Hùng</t>
  </si>
  <si>
    <t xml:space="preserve"> Phan Thanh Hùng</t>
  </si>
  <si>
    <t xml:space="preserve"> Trần Quốc Hùng</t>
  </si>
  <si>
    <t xml:space="preserve"> Nguyễn Văn Hùng</t>
  </si>
  <si>
    <t xml:space="preserve"> Lê  Hưng</t>
  </si>
  <si>
    <t xml:space="preserve"> Nguyễn Hiệp Hưng</t>
  </si>
  <si>
    <t xml:space="preserve"> Đào Xuân Hữu</t>
  </si>
  <si>
    <t>Đinh Tiến Huy</t>
  </si>
  <si>
    <t xml:space="preserve"> Nguyễn Đình Huy</t>
  </si>
  <si>
    <t xml:space="preserve"> Phạm Ngọc Huy</t>
  </si>
  <si>
    <t>Lục Xuân Huy</t>
  </si>
  <si>
    <t>Phạm Thị Mỹ Huyền</t>
  </si>
  <si>
    <t xml:space="preserve"> Trần Quốc Huỳnh</t>
  </si>
  <si>
    <t xml:space="preserve"> Trịnh Hoàng Khải</t>
  </si>
  <si>
    <t xml:space="preserve"> Trần Khánh</t>
  </si>
  <si>
    <t xml:space="preserve"> Trần Đăng Khoa</t>
  </si>
  <si>
    <t xml:space="preserve"> Đinh Bảo Khoa</t>
  </si>
  <si>
    <t xml:space="preserve"> Bùi Nguyễn Anh Khoa</t>
  </si>
  <si>
    <t xml:space="preserve"> Đặng Xuân Khoái</t>
  </si>
  <si>
    <t xml:space="preserve"> Bùi Trọng Khôi</t>
  </si>
  <si>
    <t>Nguyễn Minh Khuê</t>
  </si>
  <si>
    <t xml:space="preserve"> Hoàng Văn Kiên</t>
  </si>
  <si>
    <t xml:space="preserve"> Ngô Khải Kỳ</t>
  </si>
  <si>
    <t xml:space="preserve"> Trần Sơn Lâm</t>
  </si>
  <si>
    <t xml:space="preserve"> Nguyễn Trần Phú Khánh Linh</t>
  </si>
  <si>
    <t xml:space="preserve"> Nguyễn Tấn Lợi</t>
  </si>
  <si>
    <t xml:space="preserve"> Trần Phúc Lợi</t>
  </si>
  <si>
    <t xml:space="preserve"> Nguyễn Lê Hải Long</t>
  </si>
  <si>
    <t xml:space="preserve"> Phạm Hoàng Long</t>
  </si>
  <si>
    <t>PHẠM HOÀNG NGỌC LONG</t>
  </si>
  <si>
    <t xml:space="preserve"> Phạm Thành  Long</t>
  </si>
  <si>
    <t>Nguyễn Thái Long</t>
  </si>
  <si>
    <t>Lê Minh Long</t>
  </si>
  <si>
    <t>Lê Thanh Phong</t>
  </si>
  <si>
    <t>0908100465</t>
  </si>
  <si>
    <t>Lê Thị Hồng Nhung</t>
  </si>
  <si>
    <t>0903100465</t>
  </si>
  <si>
    <t xml:space="preserve">Quyết định quay trở lại trường - Ngày 20/08/2024; Quyết định tam ngừng học - Ngày 27/03/2024; </t>
  </si>
  <si>
    <t xml:space="preserve"> Nguyễn Nguyên Long</t>
  </si>
  <si>
    <t xml:space="preserve"> Bùi Duy Luật</t>
  </si>
  <si>
    <t xml:space="preserve"> Lê Văn Lượm</t>
  </si>
  <si>
    <t>NGUYỄN CAO  LƯƠNG</t>
  </si>
  <si>
    <t xml:space="preserve"> Trần Đức Mạnh</t>
  </si>
  <si>
    <t xml:space="preserve"> Nguyễn Đức Minh</t>
  </si>
  <si>
    <t>Nguyễn Quốc Minh</t>
  </si>
  <si>
    <t>Thân Hoàng Minh</t>
  </si>
  <si>
    <t xml:space="preserve"> Quản Hữu Ngọc Nam</t>
  </si>
  <si>
    <t xml:space="preserve"> Nguyễn Lê Trọng Nam</t>
  </si>
  <si>
    <t xml:space="preserve"> Nguyễn Phương Nam</t>
  </si>
  <si>
    <t xml:space="preserve"> Nguyễn Minh Nam</t>
  </si>
  <si>
    <t xml:space="preserve"> Trần Văn Nam</t>
  </si>
  <si>
    <t xml:space="preserve"> LÊ TRUNG NAM</t>
  </si>
  <si>
    <t xml:space="preserve"> Bùi Hải Nam</t>
  </si>
  <si>
    <t xml:space="preserve"> Nguyễn Thanh Nghị</t>
  </si>
  <si>
    <t xml:space="preserve"> Nguyễn Thoại Nghiêm</t>
  </si>
  <si>
    <t xml:space="preserve"> Vòng Thanh Nghiệp</t>
  </si>
  <si>
    <t xml:space="preserve"> Nguyễn Phước Trinh Nguyên</t>
  </si>
  <si>
    <t xml:space="preserve"> Đoàn Văn Nhân</t>
  </si>
  <si>
    <t xml:space="preserve"> Trương Huỳnh Nhân</t>
  </si>
  <si>
    <t xml:space="preserve"> Nguyễn Đình Nhân</t>
  </si>
  <si>
    <t xml:space="preserve"> Nguyễn Đức Nhật</t>
  </si>
  <si>
    <t xml:space="preserve"> Phạm Anh Nhựt</t>
  </si>
  <si>
    <t xml:space="preserve"> Lê Quang Ninh</t>
  </si>
  <si>
    <t xml:space="preserve"> Nguyễn Bá Phát</t>
  </si>
  <si>
    <t xml:space="preserve"> Nguyễn Tấn Phi</t>
  </si>
  <si>
    <t xml:space="preserve"> Huỳnh Thanh Phong</t>
  </si>
  <si>
    <t xml:space="preserve"> Trần Chế Phong</t>
  </si>
  <si>
    <t xml:space="preserve"> Lê Thanh Phong</t>
  </si>
  <si>
    <t xml:space="preserve"> Lê Huy Phúc</t>
  </si>
  <si>
    <t xml:space="preserve"> Lê Ngọc Phúc</t>
  </si>
  <si>
    <t xml:space="preserve"> Nguyễn Đào Minh Phương</t>
  </si>
  <si>
    <t xml:space="preserve"> Trần Thanh Phương</t>
  </si>
  <si>
    <t xml:space="preserve"> Đàm Minh Quân</t>
  </si>
  <si>
    <t xml:space="preserve"> Trần Văn Quân</t>
  </si>
  <si>
    <t xml:space="preserve"> Nguyễn Văn Quản</t>
  </si>
  <si>
    <t xml:space="preserve"> Phan Thanh Quang</t>
  </si>
  <si>
    <t xml:space="preserve"> Nguyễn Quang</t>
  </si>
  <si>
    <t>Nguyễn Hùng Quang</t>
  </si>
  <si>
    <t xml:space="preserve"> Đỗ Đình Quang</t>
  </si>
  <si>
    <t xml:space="preserve"> Nguyễn Thành Qui</t>
  </si>
  <si>
    <t xml:space="preserve"> Châu Văn Quí</t>
  </si>
  <si>
    <t xml:space="preserve"> Trần Văn Quốc</t>
  </si>
  <si>
    <t xml:space="preserve"> TRẦN ĐẶNG HOÀNG QUỐC</t>
  </si>
  <si>
    <t>Lưu Bá Quyền</t>
  </si>
  <si>
    <t xml:space="preserve"> LÊ VÕ NGỌC SANG</t>
  </si>
  <si>
    <t xml:space="preserve"> Châu Thanh Sang</t>
  </si>
  <si>
    <t xml:space="preserve"> Nguyễn Trường Sơn</t>
  </si>
  <si>
    <t xml:space="preserve"> Trần Tài</t>
  </si>
  <si>
    <t xml:space="preserve"> Đỗ Anh Tài</t>
  </si>
  <si>
    <t xml:space="preserve"> Lương Đức Tài</t>
  </si>
  <si>
    <t xml:space="preserve"> Bùi Chí Tâm</t>
  </si>
  <si>
    <t xml:space="preserve"> Phạm Minh Tâm</t>
  </si>
  <si>
    <t xml:space="preserve"> Lê Đình Trọng Tân</t>
  </si>
  <si>
    <t xml:space="preserve"> Nguyễn Đình Tàu</t>
  </si>
  <si>
    <t xml:space="preserve"> Hồ Văn Tây</t>
  </si>
  <si>
    <t xml:space="preserve"> Lê Văn Thạch</t>
  </si>
  <si>
    <t xml:space="preserve"> Võ Minh Thạch</t>
  </si>
  <si>
    <t xml:space="preserve"> Bạch Bá Thắng</t>
  </si>
  <si>
    <t xml:space="preserve"> Trần Yến Thanh</t>
  </si>
  <si>
    <t xml:space="preserve"> Phan Chí Thanh</t>
  </si>
  <si>
    <t xml:space="preserve"> Bùi Văn Thành</t>
  </si>
  <si>
    <t xml:space="preserve"> Nguyễn Văn Thành</t>
  </si>
  <si>
    <t xml:space="preserve"> Nguyễn Hiếu Thiện</t>
  </si>
  <si>
    <t xml:space="preserve"> Hồ Xuân Thịnh</t>
  </si>
  <si>
    <t>Trần Đức Thịnh</t>
  </si>
  <si>
    <t xml:space="preserve">Quyết định tam ngừng học - Ngày 26/10/2023; Quyết định quay trở lại trường - Ngày 18/09/2024; </t>
  </si>
  <si>
    <t xml:space="preserve"> Nguyễn Hổ Thông</t>
  </si>
  <si>
    <t xml:space="preserve"> Nguyễn Đức Thứ</t>
  </si>
  <si>
    <t xml:space="preserve"> Linh Hoàng Thuận</t>
  </si>
  <si>
    <t xml:space="preserve"> Nguyễn Anh Thức</t>
  </si>
  <si>
    <t xml:space="preserve"> Lê Trọng Tí</t>
  </si>
  <si>
    <t xml:space="preserve"> Nguyễn Anh Tiến</t>
  </si>
  <si>
    <t xml:space="preserve"> Phạm Minh Tiến</t>
  </si>
  <si>
    <t xml:space="preserve"> Trần Đại Tiến</t>
  </si>
  <si>
    <t>Đỗ Văn Tiến</t>
  </si>
  <si>
    <t>Hoàng Thị Hương Trà</t>
  </si>
  <si>
    <t xml:space="preserve"> Nguyễn Hoàng Trâm</t>
  </si>
  <si>
    <t xml:space="preserve"> Lê Thị  Trang</t>
  </si>
  <si>
    <t xml:space="preserve"> Nguyễn Duy Trí</t>
  </si>
  <si>
    <t>Nguyễn Hữu Trí</t>
  </si>
  <si>
    <t xml:space="preserve"> Nguyễn Đình Trí</t>
  </si>
  <si>
    <t xml:space="preserve"> Phạm Ngọc Triều</t>
  </si>
  <si>
    <t xml:space="preserve"> Đinh Văn Trọng</t>
  </si>
  <si>
    <t xml:space="preserve"> Phạm Lương Bảo Trọng</t>
  </si>
  <si>
    <t xml:space="preserve"> Lê Thái Trung</t>
  </si>
  <si>
    <t xml:space="preserve"> Nguyễn Phú Trung</t>
  </si>
  <si>
    <t xml:space="preserve"> Dương Doãn Trung</t>
  </si>
  <si>
    <t>Nguyễn Quốc Trường</t>
  </si>
  <si>
    <t xml:space="preserve">Quyết định quay trở lại trường - Ngày 03/11/2024; Quyết định tam ngừng học - Ngày 22/03/2024; </t>
  </si>
  <si>
    <t xml:space="preserve"> Kim Ngọc Dương Trường</t>
  </si>
  <si>
    <t xml:space="preserve"> Ngô Đình Ngọc Tú</t>
  </si>
  <si>
    <t xml:space="preserve"> Phạm Quốc Tú</t>
  </si>
  <si>
    <t xml:space="preserve"> Nguyễn Đình Tuân</t>
  </si>
  <si>
    <t xml:space="preserve"> Phùng Văn Tuấn</t>
  </si>
  <si>
    <t xml:space="preserve"> Nguyễn Quang Tuấn</t>
  </si>
  <si>
    <t xml:space="preserve"> Tô Ngọc Tuấn</t>
  </si>
  <si>
    <t>Nguyễn Ngọc Tuấn</t>
  </si>
  <si>
    <t>Trần Đình Tuấn</t>
  </si>
  <si>
    <t xml:space="preserve"> Vũ Duy Tùng</t>
  </si>
  <si>
    <t xml:space="preserve"> Nguyễn Thế Tùng</t>
  </si>
  <si>
    <t>Nguyễn Viết Tùng</t>
  </si>
  <si>
    <t xml:space="preserve">Quyết định tam ngừng học - Ngày 06/07/2023; Quyết định quay trở lại trường - Ngày 09/01/2024; </t>
  </si>
  <si>
    <t>Trương Văn Tường</t>
  </si>
  <si>
    <t xml:space="preserve"> Lê Hoàng Phương Uyên</t>
  </si>
  <si>
    <t xml:space="preserve"> Nguyễn Hà Vi</t>
  </si>
  <si>
    <t xml:space="preserve"> Trần Ngọc Vĩ</t>
  </si>
  <si>
    <t xml:space="preserve"> Nguyễn Quốc Việt</t>
  </si>
  <si>
    <t xml:space="preserve"> Đoàn Văn Việt</t>
  </si>
  <si>
    <t xml:space="preserve"> Nguyễn Công Vinh</t>
  </si>
  <si>
    <t xml:space="preserve"> Trần Hoàng Võ</t>
  </si>
  <si>
    <t xml:space="preserve"> LÊ THẾ VƯƠNG</t>
  </si>
  <si>
    <t xml:space="preserve">Quyết định quay trở lại trường - Ngày 01/11/2024; Quyết định tam ngừng học - Ngày 13/05/2024; </t>
  </si>
  <si>
    <t xml:space="preserve"> Lê Hoàng Vỹ</t>
  </si>
  <si>
    <t xml:space="preserve"> Vũ Đức Vỹ</t>
  </si>
  <si>
    <t xml:space="preserve"> Trần Thiện An</t>
  </si>
  <si>
    <t>CS2_HL_GT</t>
  </si>
  <si>
    <t>Nguyễn Hoàng Ân</t>
  </si>
  <si>
    <t xml:space="preserve"> Phạm Hoài Bảo</t>
  </si>
  <si>
    <t xml:space="preserve"> Huỳnh Thiên Bảo</t>
  </si>
  <si>
    <t xml:space="preserve"> Cao Thanh Bình</t>
  </si>
  <si>
    <t xml:space="preserve"> Trương Chí Bửu</t>
  </si>
  <si>
    <t xml:space="preserve"> Nguyễn Minh Chiến</t>
  </si>
  <si>
    <t xml:space="preserve"> An Quốc Cường</t>
  </si>
  <si>
    <t xml:space="preserve"> Nguyễn Công Danh</t>
  </si>
  <si>
    <t xml:space="preserve"> Trần Tiến Đạt</t>
  </si>
  <si>
    <t xml:space="preserve"> Trần Thành Đạt</t>
  </si>
  <si>
    <t xml:space="preserve"> Lữ Quốc Đạt</t>
  </si>
  <si>
    <t>Phạm Tiến Đạt</t>
  </si>
  <si>
    <t xml:space="preserve"> Phan Văn Đạt</t>
  </si>
  <si>
    <t xml:space="preserve"> Bùi Anh Dũng</t>
  </si>
  <si>
    <t xml:space="preserve"> Nguyễn Đình Thái Dương</t>
  </si>
  <si>
    <t xml:space="preserve"> Vũ Ngọc Duy</t>
  </si>
  <si>
    <t xml:space="preserve"> Trần Hải</t>
  </si>
  <si>
    <t xml:space="preserve"> Lê Công Hạt</t>
  </si>
  <si>
    <t>Nguyễn Thanh Hiền</t>
  </si>
  <si>
    <t xml:space="preserve"> Hồ Hữu Hiển</t>
  </si>
  <si>
    <t xml:space="preserve"> Ngô Văn Hiệp</t>
  </si>
  <si>
    <t xml:space="preserve"> Nguyễn Văn Hòa</t>
  </si>
  <si>
    <t xml:space="preserve"> La Nguyễn Thế Hoàng</t>
  </si>
  <si>
    <t>Tô Minh Hoàng</t>
  </si>
  <si>
    <t xml:space="preserve"> Tô Duy Hưng</t>
  </si>
  <si>
    <t xml:space="preserve"> Võ Văn Hưng</t>
  </si>
  <si>
    <t>Nguyễn Quốc Huy</t>
  </si>
  <si>
    <t xml:space="preserve"> Ngô Quang Huy</t>
  </si>
  <si>
    <t xml:space="preserve"> Vũ Tấn Huy</t>
  </si>
  <si>
    <t xml:space="preserve"> Phạm Cao Khả</t>
  </si>
  <si>
    <t xml:space="preserve"> Phạm Quang Khải</t>
  </si>
  <si>
    <t xml:space="preserve"> Trần Thiện Khiêm</t>
  </si>
  <si>
    <t xml:space="preserve"> Phạm Anh Khoa</t>
  </si>
  <si>
    <t xml:space="preserve"> Nguyễn Hữu Khôi</t>
  </si>
  <si>
    <t xml:space="preserve"> Nguyễn Sĩ Khương</t>
  </si>
  <si>
    <t xml:space="preserve"> Đặng Văn Khương</t>
  </si>
  <si>
    <t xml:space="preserve"> Đỗ Nguyễn Tuấn Kiệt</t>
  </si>
  <si>
    <t xml:space="preserve"> Nguyễn Đăng Anh Kiệt</t>
  </si>
  <si>
    <t xml:space="preserve"> Huỳnh Hữu Kiệt</t>
  </si>
  <si>
    <t xml:space="preserve"> Nguyễn Cao Anh Kỳ</t>
  </si>
  <si>
    <t xml:space="preserve"> Nguyễn Hữu Lãm</t>
  </si>
  <si>
    <t xml:space="preserve"> Tô Phúc Lộc</t>
  </si>
  <si>
    <t xml:space="preserve"> Nguyễn Văn Lợi</t>
  </si>
  <si>
    <t xml:space="preserve"> Thiều Minh  Long</t>
  </si>
  <si>
    <t xml:space="preserve"> Vi Tiến Mạnh</t>
  </si>
  <si>
    <t xml:space="preserve"> Lưu Quang Minh</t>
  </si>
  <si>
    <t>Nguyễn Hoàng Nam</t>
  </si>
  <si>
    <t>Lê Chí Nghĩa</t>
  </si>
  <si>
    <t>Võ Hồng Nguyên</t>
  </si>
  <si>
    <t xml:space="preserve"> Nguyễn Trung Nguyên</t>
  </si>
  <si>
    <t>Lê Ngọc Phát</t>
  </si>
  <si>
    <t xml:space="preserve"> Thái Văn Phi</t>
  </si>
  <si>
    <t xml:space="preserve"> Nguyễn Thanh Phong</t>
  </si>
  <si>
    <t xml:space="preserve"> Nguyễn Văn Minh Phụng</t>
  </si>
  <si>
    <t xml:space="preserve"> La Nhật Quang</t>
  </si>
  <si>
    <t xml:space="preserve"> Lê Đức Qúi</t>
  </si>
  <si>
    <t xml:space="preserve"> Lê Văn Quốc</t>
  </si>
  <si>
    <t xml:space="preserve"> Huỳnh Thanh Sang</t>
  </si>
  <si>
    <t xml:space="preserve"> Nguyễn Hải Sơn</t>
  </si>
  <si>
    <t xml:space="preserve"> Nguyễn Tấn Tài</t>
  </si>
  <si>
    <t xml:space="preserve"> Trần Chí Tài</t>
  </si>
  <si>
    <t xml:space="preserve"> Phan Thanh Tâm</t>
  </si>
  <si>
    <t xml:space="preserve"> Trần Minh Thái</t>
  </si>
  <si>
    <t xml:space="preserve"> Nguyễn Thọ Thành</t>
  </si>
  <si>
    <t xml:space="preserve"> Đinh Minh Thành</t>
  </si>
  <si>
    <t xml:space="preserve"> Nguyễn Văn  Thành</t>
  </si>
  <si>
    <t xml:space="preserve"> Nguyễn Trung Thảo</t>
  </si>
  <si>
    <t xml:space="preserve"> Lê Vũ Thế</t>
  </si>
  <si>
    <t xml:space="preserve"> Lương Vĩnh Thiên</t>
  </si>
  <si>
    <t xml:space="preserve"> Trần Kim Thiên</t>
  </si>
  <si>
    <t xml:space="preserve">Quyết định tam ngừng học - Ngày 13/10/2023; Quyết định quay trở lại trường - Ngày 15/05/2024; </t>
  </si>
  <si>
    <t xml:space="preserve"> Lê Văn Thiện</t>
  </si>
  <si>
    <t>Bùi Văn Thiệu</t>
  </si>
  <si>
    <t xml:space="preserve"> Mai Trọng Thông</t>
  </si>
  <si>
    <t xml:space="preserve"> Lê Duy Thường</t>
  </si>
  <si>
    <t xml:space="preserve"> Lê Hữu Tiến</t>
  </si>
  <si>
    <t xml:space="preserve"> Võ Cao Tín</t>
  </si>
  <si>
    <t xml:space="preserve"> Đào Huy Tín</t>
  </si>
  <si>
    <t xml:space="preserve"> Võ Phú Tông</t>
  </si>
  <si>
    <t xml:space="preserve"> Phạm Quốc Trọng</t>
  </si>
  <si>
    <t xml:space="preserve"> Phan Bảo Trung</t>
  </si>
  <si>
    <t xml:space="preserve"> Nguyễn Thọ Trường</t>
  </si>
  <si>
    <t xml:space="preserve"> Đặng Ưu Tú</t>
  </si>
  <si>
    <t xml:space="preserve"> Nguyễn Trần Tuân</t>
  </si>
  <si>
    <t>Trần Quốc Tuấn</t>
  </si>
  <si>
    <t xml:space="preserve"> Nguyễn Văn Ty</t>
  </si>
  <si>
    <t xml:space="preserve"> Phạm Đình Văn</t>
  </si>
  <si>
    <t xml:space="preserve"> Hồ Gia Văn</t>
  </si>
  <si>
    <t xml:space="preserve"> Võ Văn Việt</t>
  </si>
  <si>
    <t xml:space="preserve"> Đỗ Việt Vương</t>
  </si>
  <si>
    <t xml:space="preserve"> Phạm Hồng Vương</t>
  </si>
  <si>
    <t>Nguyễn Thị Khả Ái</t>
  </si>
  <si>
    <t>CS2_HL_KT</t>
  </si>
  <si>
    <t xml:space="preserve"> LƯƠNG THỊ CẨM ANH</t>
  </si>
  <si>
    <t xml:space="preserve"> NGUYỄN THỊ KIM ANH</t>
  </si>
  <si>
    <t xml:space="preserve"> Trần Thị Xuân Anh</t>
  </si>
  <si>
    <t xml:space="preserve"> Nguyễn Thị Ngọc Ánh</t>
  </si>
  <si>
    <t xml:space="preserve"> Lê Văn Bỉ</t>
  </si>
  <si>
    <t xml:space="preserve"> Phạm Ngọc Châu</t>
  </si>
  <si>
    <t xml:space="preserve"> Đặng Lê Linh Chi</t>
  </si>
  <si>
    <t xml:space="preserve"> Nguyễn Thị Ngọc Chi</t>
  </si>
  <si>
    <t xml:space="preserve"> Huỳnh Quốc Cường</t>
  </si>
  <si>
    <t>Cao Lê Kiên Cường</t>
  </si>
  <si>
    <t xml:space="preserve"> PhẠm Quốc Dũng</t>
  </si>
  <si>
    <t xml:space="preserve"> Nguyễn Thị Thùy Dương</t>
  </si>
  <si>
    <t xml:space="preserve"> Nguyễn Thị Thùy Duyên</t>
  </si>
  <si>
    <t xml:space="preserve"> Đặng Hương Giang</t>
  </si>
  <si>
    <t xml:space="preserve"> NGUYỄN THỊ NGỌC GIÀU</t>
  </si>
  <si>
    <t xml:space="preserve"> Dương Thị Ngọc Hà</t>
  </si>
  <si>
    <t xml:space="preserve"> Đào Kim Hạ</t>
  </si>
  <si>
    <t>Nguyễn Đào Bảo Hân</t>
  </si>
  <si>
    <t xml:space="preserve"> Nguyễn Thị Hằng</t>
  </si>
  <si>
    <t>Hồ Thị Mỹ Hạnh</t>
  </si>
  <si>
    <t xml:space="preserve"> Nguyễn Võ Hồng Hiếu</t>
  </si>
  <si>
    <t xml:space="preserve"> Đặng Thị Kim Hoa</t>
  </si>
  <si>
    <t xml:space="preserve"> Nguyễn An Hòa</t>
  </si>
  <si>
    <t xml:space="preserve"> LÊ THỊ KHÁNH HÒA</t>
  </si>
  <si>
    <t xml:space="preserve"> HUỲNH THỊ KIM HUỆ</t>
  </si>
  <si>
    <t xml:space="preserve"> HUỲNH THÚY HƯƠNG</t>
  </si>
  <si>
    <t xml:space="preserve"> Nguyễn Thị Hương</t>
  </si>
  <si>
    <t xml:space="preserve"> Trần Thị Thu Hường</t>
  </si>
  <si>
    <t xml:space="preserve"> Lương ThỊ Ngọc Huyền</t>
  </si>
  <si>
    <t xml:space="preserve"> Bành Kim Khá</t>
  </si>
  <si>
    <t xml:space="preserve"> Nguyễn Thị Phương Lan</t>
  </si>
  <si>
    <t xml:space="preserve"> Nguyễn Thị Thúy Liểu</t>
  </si>
  <si>
    <t xml:space="preserve"> Lại Phương Mai</t>
  </si>
  <si>
    <t xml:space="preserve"> Phạm Kim Mai</t>
  </si>
  <si>
    <t xml:space="preserve"> ĐOÀN TUỆ MẪN</t>
  </si>
  <si>
    <t xml:space="preserve"> TRẦN UYÊN MINH</t>
  </si>
  <si>
    <t xml:space="preserve"> NGUYỄN THỊ VIỆT MỸ</t>
  </si>
  <si>
    <t xml:space="preserve"> Hồ Thị Ngân</t>
  </si>
  <si>
    <t xml:space="preserve"> HỒ THỊ BẢO NGÂN</t>
  </si>
  <si>
    <t xml:space="preserve"> PHAN THU NGÂN</t>
  </si>
  <si>
    <t xml:space="preserve">Quyết định tam ngừng học - Ngày 24/02/2025; Quyết định quay trở lại trường - Ngày 22/09/2025; </t>
  </si>
  <si>
    <t xml:space="preserve"> Trần Thị Thanh Ngân</t>
  </si>
  <si>
    <t xml:space="preserve"> Bạch Huế Ngọc</t>
  </si>
  <si>
    <t xml:space="preserve"> PHẠM QUỲNH TUYẾT NHI</t>
  </si>
  <si>
    <t xml:space="preserve"> Trang Tuyết Nhi</t>
  </si>
  <si>
    <t xml:space="preserve"> ĐOÀN THỊ HUỲNH NHƯ</t>
  </si>
  <si>
    <t xml:space="preserve"> Nguyễn Thị Yến Như</t>
  </si>
  <si>
    <t xml:space="preserve"> Mạc Thị Thu Nhung</t>
  </si>
  <si>
    <t xml:space="preserve"> Hồ Thúy Kiều Oanh</t>
  </si>
  <si>
    <t xml:space="preserve"> DƯƠNG PHẠM CÚC PHƯƠNG</t>
  </si>
  <si>
    <t xml:space="preserve"> Nguyễn Thị Lan Phương</t>
  </si>
  <si>
    <t xml:space="preserve"> Nguyễn Thị Phương</t>
  </si>
  <si>
    <t xml:space="preserve"> Lê Thị Tố Quỳnh</t>
  </si>
  <si>
    <t xml:space="preserve"> Nguyễn Thị Như Quỳnh</t>
  </si>
  <si>
    <t xml:space="preserve"> Trần Thị Quỳnh</t>
  </si>
  <si>
    <t xml:space="preserve"> Lê Thị Tâm</t>
  </si>
  <si>
    <t xml:space="preserve"> Phạm Minh Thái</t>
  </si>
  <si>
    <t xml:space="preserve"> PHẠM PHƯƠNG THANH</t>
  </si>
  <si>
    <t xml:space="preserve"> Nguyễn Hữu Thành</t>
  </si>
  <si>
    <t xml:space="preserve"> Đặng Thị Thu Thảo</t>
  </si>
  <si>
    <t xml:space="preserve"> DƯƠNG ĐẶNG THU THẢO</t>
  </si>
  <si>
    <t xml:space="preserve"> TRẦN THỊ THANH THẢO</t>
  </si>
  <si>
    <t xml:space="preserve"> Nguyễn Thị Anh Thi</t>
  </si>
  <si>
    <t xml:space="preserve"> Trương Thị Anh Thơ</t>
  </si>
  <si>
    <t xml:space="preserve"> Lê Thị Mỹ Thọ</t>
  </si>
  <si>
    <t xml:space="preserve"> Nguyễn Thị Kim Thoại</t>
  </si>
  <si>
    <t xml:space="preserve"> Nguyễn Thị Bích Thu</t>
  </si>
  <si>
    <t xml:space="preserve"> TRẦN NGUYỄN ANH THƯ</t>
  </si>
  <si>
    <t xml:space="preserve"> Trần Thị Thúy</t>
  </si>
  <si>
    <t xml:space="preserve"> Lê Thị Thu Thủy</t>
  </si>
  <si>
    <t xml:space="preserve"> Nguyễn Thị Mỹ Tiên</t>
  </si>
  <si>
    <t xml:space="preserve"> Bùi Thị Lan Tiên</t>
  </si>
  <si>
    <t xml:space="preserve"> Nguyễn Thị Thủy Tiên</t>
  </si>
  <si>
    <t xml:space="preserve"> Mai Hữu Toàn</t>
  </si>
  <si>
    <t xml:space="preserve"> Nguyễn Thu Trà</t>
  </si>
  <si>
    <t xml:space="preserve"> TRƯƠNG THỊ MỸ TRÂM</t>
  </si>
  <si>
    <t>Võ Thị Ngọc Trang</t>
  </si>
  <si>
    <t xml:space="preserve"> Lê Thuỳ Trang</t>
  </si>
  <si>
    <t xml:space="preserve"> Trương ThỊ Thùy Trang</t>
  </si>
  <si>
    <t xml:space="preserve"> Nguyễn Thị Kiều Trinh</t>
  </si>
  <si>
    <t xml:space="preserve"> Nguyễn Thị Tuyết Trinh</t>
  </si>
  <si>
    <t xml:space="preserve"> Trương Cẩm Tú</t>
  </si>
  <si>
    <t xml:space="preserve"> Văn Thị Thúy Vân</t>
  </si>
  <si>
    <t xml:space="preserve"> Nguyễn Bảo Vinh</t>
  </si>
  <si>
    <t xml:space="preserve"> NGUYỄN THÀNH Ý</t>
  </si>
  <si>
    <t xml:space="preserve"> Nguyễn Thị Yến</t>
  </si>
  <si>
    <t xml:space="preserve"> Đàm Lương Anh</t>
  </si>
  <si>
    <t>CS2_HL_N</t>
  </si>
  <si>
    <t xml:space="preserve"> Đỗ Viết Tuấn Anh</t>
  </si>
  <si>
    <t xml:space="preserve"> Phạm Hữu Chí</t>
  </si>
  <si>
    <t xml:space="preserve"> Nguyễn Thành Đạt</t>
  </si>
  <si>
    <t xml:space="preserve"> Bùi Minh Hải</t>
  </si>
  <si>
    <t xml:space="preserve"> Trần Đức Hiệp</t>
  </si>
  <si>
    <t xml:space="preserve"> Đặng Minh Hiếu</t>
  </si>
  <si>
    <t xml:space="preserve"> Nguyễn Ngọc Hiếu</t>
  </si>
  <si>
    <t xml:space="preserve"> Huỳnh Thị Hồng</t>
  </si>
  <si>
    <t xml:space="preserve"> Nguyễn Kim Hồng</t>
  </si>
  <si>
    <t xml:space="preserve"> Trần Văn Hùng</t>
  </si>
  <si>
    <t xml:space="preserve"> Nguyễn Văn  Khải</t>
  </si>
  <si>
    <t xml:space="preserve"> Bùi Công Khanh</t>
  </si>
  <si>
    <t xml:space="preserve"> Nguyễn Hoàng Yến Khanh</t>
  </si>
  <si>
    <t xml:space="preserve"> Nguyễn Nhật Linh</t>
  </si>
  <si>
    <t xml:space="preserve"> Đặng Phương Nam</t>
  </si>
  <si>
    <t xml:space="preserve"> Nguyễn Thị Tuyết Ngân</t>
  </si>
  <si>
    <t xml:space="preserve"> Lâm Gia Nghi</t>
  </si>
  <si>
    <t xml:space="preserve"> Đồng Trung Nghĩa</t>
  </si>
  <si>
    <t xml:space="preserve"> Võ Quỳnh Nhi</t>
  </si>
  <si>
    <t xml:space="preserve"> Nguyễn Thành  Nhơn</t>
  </si>
  <si>
    <t xml:space="preserve"> Triệu Thị Kiều Oanh</t>
  </si>
  <si>
    <t xml:space="preserve"> Hồ Nhựt Quang</t>
  </si>
  <si>
    <t xml:space="preserve"> Lê Thành Quang</t>
  </si>
  <si>
    <t xml:space="preserve"> Mã Ngọc Quyền</t>
  </si>
  <si>
    <t xml:space="preserve"> Hoàng Ngọc Bảo Sinh</t>
  </si>
  <si>
    <t xml:space="preserve"> Võ Danh Thành</t>
  </si>
  <si>
    <t xml:space="preserve"> Nguyễn Hữu Tiến</t>
  </si>
  <si>
    <t xml:space="preserve"> Phạm Trung Tín</t>
  </si>
  <si>
    <t xml:space="preserve"> Đinh Quỳnh Mai Trang</t>
  </si>
  <si>
    <t xml:space="preserve"> Nguyễn Lê Huyền Trang</t>
  </si>
  <si>
    <t xml:space="preserve"> Phan Trần Tú</t>
  </si>
  <si>
    <t xml:space="preserve"> Hoàng Quỳnh Vân</t>
  </si>
  <si>
    <t xml:space="preserve"> Nguyễn Phan Hồng Việt</t>
  </si>
  <si>
    <t>NGUYỄN TUẤN ANH</t>
  </si>
  <si>
    <t>CS2_HL_QT</t>
  </si>
  <si>
    <t>Quản trị kinh doanh</t>
  </si>
  <si>
    <t xml:space="preserve"> LÊ THỊ LAN ANH</t>
  </si>
  <si>
    <t xml:space="preserve"> LÊ THỊ MINH ANH</t>
  </si>
  <si>
    <t xml:space="preserve"> Lê Thị Mỹ Anh</t>
  </si>
  <si>
    <t xml:space="preserve"> Nguyễn Thị Lan Anh</t>
  </si>
  <si>
    <t>Lương Tiến Đạt</t>
  </si>
  <si>
    <t xml:space="preserve"> VÕ LÊ MINH DŨNG</t>
  </si>
  <si>
    <t xml:space="preserve"> LÊ THÚY DUY</t>
  </si>
  <si>
    <t xml:space="preserve"> Trần Thị Cẩm Duyên</t>
  </si>
  <si>
    <t xml:space="preserve">Quyết định tam ngừng học - Ngày 13/05/2024; Quyết định quay trở lại trường - Ngày 22/10/2024; </t>
  </si>
  <si>
    <t xml:space="preserve"> TRẦN DIỆU DUYÊN</t>
  </si>
  <si>
    <t xml:space="preserve"> Lê Thị Hương Giang</t>
  </si>
  <si>
    <t xml:space="preserve"> NGUYỄN HỬU HÀ</t>
  </si>
  <si>
    <t xml:space="preserve"> NGUYỄN SƠN HÀ</t>
  </si>
  <si>
    <t xml:space="preserve"> Nguyễn Thị Ngân Hà</t>
  </si>
  <si>
    <t xml:space="preserve"> Nguyễn Thị Thu Hằng</t>
  </si>
  <si>
    <t xml:space="preserve"> NGUYỄN THANH HẢO</t>
  </si>
  <si>
    <t xml:space="preserve"> Nguyễn Minh Hoài</t>
  </si>
  <si>
    <t xml:space="preserve">Quyết định quay trở lại trường - Ngày 14/08/2024; Quyết định tam ngừng học - Ngày 22/02/2022; </t>
  </si>
  <si>
    <t xml:space="preserve"> Hoàng Nguyễn Thu Hương</t>
  </si>
  <si>
    <t xml:space="preserve"> Đoàn Lê Đức Huy</t>
  </si>
  <si>
    <t xml:space="preserve"> ĐẶNG NAM KHÁNH</t>
  </si>
  <si>
    <t xml:space="preserve"> Nguyễn Thanh Lam</t>
  </si>
  <si>
    <t xml:space="preserve"> Nhan Thái Minh</t>
  </si>
  <si>
    <t>LÝ THÙY MY</t>
  </si>
  <si>
    <t>Nguyễn Thị Ngân</t>
  </si>
  <si>
    <t xml:space="preserve"> NGUYỄN THỊ KIM NGÂN</t>
  </si>
  <si>
    <t>Nguyễn Tuyết Ngân</t>
  </si>
  <si>
    <t xml:space="preserve"> Nguyễn Hồ Bảo Ngân</t>
  </si>
  <si>
    <t xml:space="preserve"> Lê Thị Ánh Nguyệt</t>
  </si>
  <si>
    <t xml:space="preserve"> Nguyễn Thị Trúc Nhi</t>
  </si>
  <si>
    <t xml:space="preserve"> Trần Hoàng Thảo Nhi</t>
  </si>
  <si>
    <t xml:space="preserve"> Trần Tố Như</t>
  </si>
  <si>
    <t>VÕ THỊ THÙY NHƯ</t>
  </si>
  <si>
    <t xml:space="preserve"> Lương Thị Hồng Nhung</t>
  </si>
  <si>
    <t xml:space="preserve"> LÊ THỊ KIỀU OANH</t>
  </si>
  <si>
    <t xml:space="preserve"> PHAN THỊ NGỌC OANH</t>
  </si>
  <si>
    <t>NGUYỄN MẠNH PHÁT</t>
  </si>
  <si>
    <t>Nguyễn Thị Thu Phương</t>
  </si>
  <si>
    <t xml:space="preserve"> TRƯƠNG MINH PHƯƠNG</t>
  </si>
  <si>
    <t xml:space="preserve"> MAI THỊ KIM PHƯỢNG</t>
  </si>
  <si>
    <t>Cao Thị Tố Quyên</t>
  </si>
  <si>
    <t xml:space="preserve"> NGUYỄN THỊ NHƯ QUỲNH</t>
  </si>
  <si>
    <t xml:space="preserve"> Phan Nhật Quỳnh</t>
  </si>
  <si>
    <t xml:space="preserve"> Trần Thị Ngọc Quỳnh</t>
  </si>
  <si>
    <t xml:space="preserve"> Nguyễn Thị Ngọc Sang</t>
  </si>
  <si>
    <t xml:space="preserve"> NGUYỄN ĐẶNG NGỌC SƯƠNG</t>
  </si>
  <si>
    <t>ĐỖ THỊ THANH TÂM</t>
  </si>
  <si>
    <t xml:space="preserve"> NGUYỄN THANH TÂM</t>
  </si>
  <si>
    <t xml:space="preserve"> VÕ THỊ HỒNG THẮM</t>
  </si>
  <si>
    <t xml:space="preserve"> ĐỖ THANH THẢO</t>
  </si>
  <si>
    <t>HỨA THỊ THU THẢO</t>
  </si>
  <si>
    <t>DƯƠNG HOÀNG THẠCH THẢO</t>
  </si>
  <si>
    <t>Đào Lê Minh Thảo</t>
  </si>
  <si>
    <t>Nguyễn Thị Kim Thoa</t>
  </si>
  <si>
    <t>CAO THỊ THU THOẢNG</t>
  </si>
  <si>
    <t xml:space="preserve"> HỒ THỊ ANH THƯ</t>
  </si>
  <si>
    <t xml:space="preserve"> Nguyễn Thị Thiên Thư</t>
  </si>
  <si>
    <t xml:space="preserve"> PHẠM THỊ THU THÚY</t>
  </si>
  <si>
    <t xml:space="preserve"> NGUYỄN THANH TIẾN</t>
  </si>
  <si>
    <t>NGÔ PHƯƠNG TIẾN</t>
  </si>
  <si>
    <t xml:space="preserve"> Vương Quế Trân</t>
  </si>
  <si>
    <t xml:space="preserve"> ĐOÀN THỊ THÙY TRANG</t>
  </si>
  <si>
    <t xml:space="preserve"> TRẦN THỊ KIM TRANG</t>
  </si>
  <si>
    <t xml:space="preserve"> Trần Đức Trung</t>
  </si>
  <si>
    <t>NGUYỄN TẤN TRƯỜNG</t>
  </si>
  <si>
    <t xml:space="preserve"> TRẦN THỊ THANH TUYỀN</t>
  </si>
  <si>
    <t xml:space="preserve"> Lê Quốc Việt</t>
  </si>
  <si>
    <t xml:space="preserve"> Phùng Minh Vy</t>
  </si>
  <si>
    <t>BÙI THỊ DIỄM VY</t>
  </si>
  <si>
    <t xml:space="preserve"> Phí Hoàng Anh</t>
  </si>
  <si>
    <t>CS2_HL_TH</t>
  </si>
  <si>
    <t xml:space="preserve"> Trần Hải Âu</t>
  </si>
  <si>
    <t xml:space="preserve"> Vương Hoàng Bảo</t>
  </si>
  <si>
    <t xml:space="preserve"> Nguyễn Minh Cảnh</t>
  </si>
  <si>
    <t xml:space="preserve"> Trần Duy Cảnh</t>
  </si>
  <si>
    <t xml:space="preserve"> Phạm Thị Châm</t>
  </si>
  <si>
    <t xml:space="preserve"> Nguyễn Văn Cường</t>
  </si>
  <si>
    <t xml:space="preserve"> Phạm Duy Dương</t>
  </si>
  <si>
    <t xml:space="preserve"> NGUYỄN VƯƠNG HẢI</t>
  </si>
  <si>
    <t xml:space="preserve"> Nguyễn Hồ Quang Hiển</t>
  </si>
  <si>
    <t xml:space="preserve"> Đinh Hữu Hiếu</t>
  </si>
  <si>
    <t xml:space="preserve"> PHẠM BÁ HOÀI</t>
  </si>
  <si>
    <t xml:space="preserve"> Hà Huy Hoàng</t>
  </si>
  <si>
    <t xml:space="preserve"> NGUYỄN HƯNG</t>
  </si>
  <si>
    <t xml:space="preserve">Quyết định nghỉ học tạm thời - Ngày 23/04/2025; Quyết định quay trở lại trường - Ngày 27/08/2025; </t>
  </si>
  <si>
    <t xml:space="preserve"> Ngô Quý Huy</t>
  </si>
  <si>
    <t xml:space="preserve"> Nguyễn Trí Khắc</t>
  </si>
  <si>
    <t xml:space="preserve"> Trần Việt Khái</t>
  </si>
  <si>
    <t xml:space="preserve"> Lương Bỉnh Khang</t>
  </si>
  <si>
    <t xml:space="preserve"> Lê Văn Kiên</t>
  </si>
  <si>
    <t xml:space="preserve"> HOÀNG ANH KIỆT</t>
  </si>
  <si>
    <t xml:space="preserve"> NGUYỄN TIẾN HOÀNG LONG</t>
  </si>
  <si>
    <t xml:space="preserve"> Nguyễn Quang Phi Long</t>
  </si>
  <si>
    <t xml:space="preserve"> Lê Đức Mạnh</t>
  </si>
  <si>
    <t xml:space="preserve"> Trần Hồ Ngọc Minh</t>
  </si>
  <si>
    <t xml:space="preserve"> Nguyễn Thị Kiều Nga</t>
  </si>
  <si>
    <t xml:space="preserve"> Lưu Bá Ôn</t>
  </si>
  <si>
    <t xml:space="preserve"> Nguyễn Hồng Phận</t>
  </si>
  <si>
    <t xml:space="preserve"> Phan Tấn Phát</t>
  </si>
  <si>
    <t xml:space="preserve"> Nguyễn Châu Thiên Phú</t>
  </si>
  <si>
    <t xml:space="preserve"> Đào Xuân Phúc</t>
  </si>
  <si>
    <t xml:space="preserve"> Hoàng Văn Phúc</t>
  </si>
  <si>
    <t xml:space="preserve"> Nguyễn Lê Bảo Phúc</t>
  </si>
  <si>
    <t xml:space="preserve"> Tiếp SỸ Minh Phụng</t>
  </si>
  <si>
    <t>Trần Xuân Phước</t>
  </si>
  <si>
    <t>Trương Văn Hồng Quân</t>
  </si>
  <si>
    <t xml:space="preserve"> Đinh Xuân Quân</t>
  </si>
  <si>
    <t xml:space="preserve"> Trần Duy Quang</t>
  </si>
  <si>
    <t xml:space="preserve"> Ngô Đức Quang</t>
  </si>
  <si>
    <t xml:space="preserve"> Võ Nguyễn Xuân Quỳnh</t>
  </si>
  <si>
    <t xml:space="preserve"> Võ Thái Sơn</t>
  </si>
  <si>
    <t xml:space="preserve"> Nguyễn Anh Tài</t>
  </si>
  <si>
    <t xml:space="preserve"> TRỊNH PHÚC TÀI</t>
  </si>
  <si>
    <t xml:space="preserve">Quyết định tam ngừng học - Ngày 27/12/2023; Quyết định quay trở lại trường - Ngày 27/08/2025; Quyết định quay trở lại trường - Ngày 10/04/2024; Quyết định nghỉ học tạm thời - Ngày 18/04/2025; </t>
  </si>
  <si>
    <t xml:space="preserve"> Đặng Tố Tâm</t>
  </si>
  <si>
    <t xml:space="preserve"> Trần Thiện Tâm</t>
  </si>
  <si>
    <t>Mai Việt Thúc</t>
  </si>
  <si>
    <t xml:space="preserve"> Nguyễn Lộc Thức</t>
  </si>
  <si>
    <t xml:space="preserve"> Võ Nguyễn Minh Tiến</t>
  </si>
  <si>
    <t xml:space="preserve"> Huỳnh Trọng Tín</t>
  </si>
  <si>
    <t xml:space="preserve"> Bùi Minh Tuấn</t>
  </si>
  <si>
    <t xml:space="preserve"> Vũ Quang Vinh</t>
  </si>
  <si>
    <t xml:space="preserve"> Lê Anh Vũ</t>
  </si>
  <si>
    <t xml:space="preserve"> Nguyễn Đức Vương</t>
  </si>
  <si>
    <t>Trương Nguyễn Triều Vỹ</t>
  </si>
  <si>
    <t>20/11/1999</t>
  </si>
  <si>
    <t>16/09/1999</t>
  </si>
  <si>
    <t>17/05/1997</t>
  </si>
  <si>
    <t>09/02/1996</t>
  </si>
  <si>
    <t>26/12/1999</t>
  </si>
  <si>
    <t>21/03/1997</t>
  </si>
  <si>
    <t>01/11/1994</t>
  </si>
  <si>
    <t>02/03/1995</t>
  </si>
  <si>
    <t>02/10/1996</t>
  </si>
  <si>
    <t>08/05/1998</t>
  </si>
  <si>
    <t>25/08/1995</t>
  </si>
  <si>
    <t>06/05/1994</t>
  </si>
  <si>
    <t>13/06/1995</t>
  </si>
  <si>
    <t>25/07/1999</t>
  </si>
  <si>
    <t>04/11/1998</t>
  </si>
  <si>
    <t>26/04/1995</t>
  </si>
  <si>
    <t>05/11/1997</t>
  </si>
  <si>
    <t>26/07/1995</t>
  </si>
  <si>
    <t>24/01/1997</t>
  </si>
  <si>
    <t>06/01/1996</t>
  </si>
  <si>
    <t>04/01/1998</t>
  </si>
  <si>
    <t>06/07/1999</t>
  </si>
  <si>
    <t>17/01/1997</t>
  </si>
  <si>
    <t>25/06/1996</t>
  </si>
  <si>
    <t>17/07/1998</t>
  </si>
  <si>
    <t>26/10/1996</t>
  </si>
  <si>
    <t>22/01/1996</t>
  </si>
  <si>
    <t>23/04/1997</t>
  </si>
  <si>
    <t>29/10/1997</t>
  </si>
  <si>
    <t>18/10/1998</t>
  </si>
  <si>
    <t>10/11/1997</t>
  </si>
  <si>
    <t>28/02/1998</t>
  </si>
  <si>
    <t>03/02/1994</t>
  </si>
  <si>
    <t>03/09/1995</t>
  </si>
  <si>
    <t>11/08/1996</t>
  </si>
  <si>
    <t>26/02/1995</t>
  </si>
  <si>
    <t>18/05/1998</t>
  </si>
  <si>
    <t>15/06/1997</t>
  </si>
  <si>
    <t>05/07/1998</t>
  </si>
  <si>
    <t>09/05/1996</t>
  </si>
  <si>
    <t>02/05/1998</t>
  </si>
  <si>
    <t>20/01/1998</t>
  </si>
  <si>
    <t>28/03/1998</t>
  </si>
  <si>
    <t>02/12/1996</t>
  </si>
  <si>
    <t>22/12/1997</t>
  </si>
  <si>
    <t>05/10/1999</t>
  </si>
  <si>
    <t>13/08/1997</t>
  </si>
  <si>
    <t>28/04/1996</t>
  </si>
  <si>
    <t>10/02/1995</t>
  </si>
  <si>
    <t>10/10/1996</t>
  </si>
  <si>
    <t>15/08/1992</t>
  </si>
  <si>
    <t>03/10/1993</t>
  </si>
  <si>
    <t>15/06/1994</t>
  </si>
  <si>
    <t>16/01/1998</t>
  </si>
  <si>
    <t>06/04/1998</t>
  </si>
  <si>
    <t>09/09/1999</t>
  </si>
  <si>
    <t>06/09/1996</t>
  </si>
  <si>
    <t>01/12/1998</t>
  </si>
  <si>
    <t>23/01/1998</t>
  </si>
  <si>
    <t>06/01/1998</t>
  </si>
  <si>
    <t>26/06/1997</t>
  </si>
  <si>
    <t>30/04/1998</t>
  </si>
  <si>
    <t>15/08/1997</t>
  </si>
  <si>
    <t>03/06/1996</t>
  </si>
  <si>
    <t>10/01/1999</t>
  </si>
  <si>
    <t>19/09/1997</t>
  </si>
  <si>
    <t>15/12/1995</t>
  </si>
  <si>
    <t>21/09/1997</t>
  </si>
  <si>
    <t>02/08/1998</t>
  </si>
  <si>
    <t>15/11/1994</t>
  </si>
  <si>
    <t>07/09/1999</t>
  </si>
  <si>
    <t>30/09/1997</t>
  </si>
  <si>
    <t>18/11/1999</t>
  </si>
  <si>
    <t>18/04/1997</t>
  </si>
  <si>
    <t>23/11/1998</t>
  </si>
  <si>
    <t>07/11/1996</t>
  </si>
  <si>
    <t>26/04/2000</t>
  </si>
  <si>
    <t>12/03/1997</t>
  </si>
  <si>
    <t>02/08/1997</t>
  </si>
  <si>
    <t>05/06/1998</t>
  </si>
  <si>
    <t>10/12/1998</t>
  </si>
  <si>
    <t>04/12/1998</t>
  </si>
  <si>
    <t>03/01/1997</t>
  </si>
  <si>
    <t>22/04/1998</t>
  </si>
  <si>
    <t>03/05/2000</t>
  </si>
  <si>
    <t>24/04/1997</t>
  </si>
  <si>
    <t>09/10/1995</t>
  </si>
  <si>
    <t>18/12/1996</t>
  </si>
  <si>
    <t>19/09/1998</t>
  </si>
  <si>
    <t>26/01/2000</t>
  </si>
  <si>
    <t>13/08/2000</t>
  </si>
  <si>
    <t>08/10/1998</t>
  </si>
  <si>
    <t>23/04/1999</t>
  </si>
  <si>
    <t>16/01/1999</t>
  </si>
  <si>
    <t>17/12/1998</t>
  </si>
  <si>
    <t>26/02/1997</t>
  </si>
  <si>
    <t>11/08/1999</t>
  </si>
  <si>
    <t>24/03/1997</t>
  </si>
  <si>
    <t>20/07/1999</t>
  </si>
  <si>
    <t>10/08/1997</t>
  </si>
  <si>
    <t>26/06/2000</t>
  </si>
  <si>
    <t>10/03/1996</t>
  </si>
  <si>
    <t>03/02/1999</t>
  </si>
  <si>
    <t>11/07/1997</t>
  </si>
  <si>
    <t>15/11/1998</t>
  </si>
  <si>
    <t>28/07/1996</t>
  </si>
  <si>
    <t>03/05/1994</t>
  </si>
  <si>
    <t>04/03/1997</t>
  </si>
  <si>
    <t>20/02/1999</t>
  </si>
  <si>
    <t>05/11/1999</t>
  </si>
  <si>
    <t>19/04/1999</t>
  </si>
  <si>
    <t>20/10/1996</t>
  </si>
  <si>
    <t>08/11/1994</t>
  </si>
  <si>
    <t>16/09/1998</t>
  </si>
  <si>
    <t>28/03/2000</t>
  </si>
  <si>
    <t>21/11/2000</t>
  </si>
  <si>
    <t>09/07/1998</t>
  </si>
  <si>
    <t>16/06/1996</t>
  </si>
  <si>
    <t>16/12/1999</t>
  </si>
  <si>
    <t>21/05/1998</t>
  </si>
  <si>
    <t>20/02/1997</t>
  </si>
  <si>
    <t>24/11/1993</t>
  </si>
  <si>
    <t>24/08/1998</t>
  </si>
  <si>
    <t>20/04/1997</t>
  </si>
  <si>
    <t>26/12/1996</t>
  </si>
  <si>
    <t>07/03/1998</t>
  </si>
  <si>
    <t>10/07/1996</t>
  </si>
  <si>
    <t>24/12/1996</t>
  </si>
  <si>
    <t>09/07/1997</t>
  </si>
  <si>
    <t>31/08/1998</t>
  </si>
  <si>
    <t>12/01/1997</t>
  </si>
  <si>
    <t>15/01/1997</t>
  </si>
  <si>
    <t>24/04/1998</t>
  </si>
  <si>
    <t>09/01/1999</t>
  </si>
  <si>
    <t>21/01/1993</t>
  </si>
  <si>
    <t>04/12/1994</t>
  </si>
  <si>
    <t>08/05/1997</t>
  </si>
  <si>
    <t>07/04/1997</t>
  </si>
  <si>
    <t>27/01/1997</t>
  </si>
  <si>
    <t>14/07/1995</t>
  </si>
  <si>
    <t>12/10/1996</t>
  </si>
  <si>
    <t>27/10/1999</t>
  </si>
  <si>
    <t>03/07/2000</t>
  </si>
  <si>
    <t>24/06/1998</t>
  </si>
  <si>
    <t>12/02/1996</t>
  </si>
  <si>
    <t>15/08/1994</t>
  </si>
  <si>
    <t>29/04/1997</t>
  </si>
  <si>
    <t>14/09/1994</t>
  </si>
  <si>
    <t>06/02/1998</t>
  </si>
  <si>
    <t>24/10/1996</t>
  </si>
  <si>
    <t>15/12/1996</t>
  </si>
  <si>
    <t>14/03/1994</t>
  </si>
  <si>
    <t>03/04/1995</t>
  </si>
  <si>
    <t>24/05/1997</t>
  </si>
  <si>
    <t>18/11/1994</t>
  </si>
  <si>
    <t>09/12/1997</t>
  </si>
  <si>
    <t>21/01/1998</t>
  </si>
  <si>
    <t>22/08/1997</t>
  </si>
  <si>
    <t>11/11/1997</t>
  </si>
  <si>
    <t>09/08/1998</t>
  </si>
  <si>
    <t>20/11/1997</t>
  </si>
  <si>
    <t>23/10/1998</t>
  </si>
  <si>
    <t>12/04/1998</t>
  </si>
  <si>
    <t>14/12/1994</t>
  </si>
  <si>
    <t>01/11/1998</t>
  </si>
  <si>
    <t>10/09/1998</t>
  </si>
  <si>
    <t>23/05/1999</t>
  </si>
  <si>
    <t>14/11/1999</t>
  </si>
  <si>
    <t>17/07/1996</t>
  </si>
  <si>
    <t>25/02/1996</t>
  </si>
  <si>
    <t>16/09/1997</t>
  </si>
  <si>
    <t>29/11/1998</t>
  </si>
  <si>
    <t>17/12/1993</t>
  </si>
  <si>
    <t>25/12/1995</t>
  </si>
  <si>
    <t>04/09/1994</t>
  </si>
  <si>
    <t>10/10/1997</t>
  </si>
  <si>
    <t>22/12/1999</t>
  </si>
  <si>
    <t>18/08/1999</t>
  </si>
  <si>
    <t>24/08/1994</t>
  </si>
  <si>
    <t>31/05/1998</t>
  </si>
  <si>
    <t>01/10/1999</t>
  </si>
  <si>
    <t>20/06/1997</t>
  </si>
  <si>
    <t>05/05/1998</t>
  </si>
  <si>
    <t>16/07/2000</t>
  </si>
  <si>
    <t>02/06/1994</t>
  </si>
  <si>
    <t>20/08/1994</t>
  </si>
  <si>
    <t>11/01/2000</t>
  </si>
  <si>
    <t>14/04/2000</t>
  </si>
  <si>
    <t>13/07/2000</t>
  </si>
  <si>
    <t>17/10/1994</t>
  </si>
  <si>
    <t>22/10/1999</t>
  </si>
  <si>
    <t>01/04/1998</t>
  </si>
  <si>
    <t>30/09/1998</t>
  </si>
  <si>
    <t>16/04/1999</t>
  </si>
  <si>
    <t>02/11/1997</t>
  </si>
  <si>
    <t>21/11/1991</t>
  </si>
  <si>
    <t>13/04/1999</t>
  </si>
  <si>
    <t>18/12/1997</t>
  </si>
  <si>
    <t>25/01/1999</t>
  </si>
  <si>
    <t>05/10/1997</t>
  </si>
  <si>
    <t>29/10/1998</t>
  </si>
  <si>
    <t>05/08/1996</t>
  </si>
  <si>
    <t>20/07/1994</t>
  </si>
  <si>
    <t>06/01/1994</t>
  </si>
  <si>
    <t>10/08/1991</t>
  </si>
  <si>
    <t>15/05/1997</t>
  </si>
  <si>
    <t>20/10/1999</t>
  </si>
  <si>
    <t>20/03/1998</t>
  </si>
  <si>
    <t>15/03/1999</t>
  </si>
  <si>
    <t>16/08/1998</t>
  </si>
  <si>
    <t>25/08/1998</t>
  </si>
  <si>
    <t>09/01/1997</t>
  </si>
  <si>
    <t>20/03/1995</t>
  </si>
  <si>
    <t>25/07/1997</t>
  </si>
  <si>
    <t>27/08/1999</t>
  </si>
  <si>
    <t>14/03/1998</t>
  </si>
  <si>
    <t>08/06/1997</t>
  </si>
  <si>
    <t>16/10/1999</t>
  </si>
  <si>
    <t>09/04/1998</t>
  </si>
  <si>
    <t>04/02/1993</t>
  </si>
  <si>
    <t>06/03/1998</t>
  </si>
  <si>
    <t>12/05/1998</t>
  </si>
  <si>
    <t>04/04/1996</t>
  </si>
  <si>
    <t>27/12/1996</t>
  </si>
  <si>
    <t>22/05/1997</t>
  </si>
  <si>
    <t>04/04/1997</t>
  </si>
  <si>
    <t>15/04/1998</t>
  </si>
  <si>
    <t>01/02/1997</t>
  </si>
  <si>
    <t>09/11/1995</t>
  </si>
  <si>
    <t>25/04/1997</t>
  </si>
  <si>
    <t>25/06/1997</t>
  </si>
  <si>
    <t>20/08/1995</t>
  </si>
  <si>
    <t>09/09/1998</t>
  </si>
  <si>
    <t>06/12/1998</t>
  </si>
  <si>
    <t>17/05/1998</t>
  </si>
  <si>
    <t>16/06/1997</t>
  </si>
  <si>
    <t>09/10/1998</t>
  </si>
  <si>
    <t>10/05/1998</t>
  </si>
  <si>
    <t>22/12/1998</t>
  </si>
  <si>
    <t>13/02/1998</t>
  </si>
  <si>
    <t>16/11/1997</t>
  </si>
  <si>
    <t>20/12/1997</t>
  </si>
  <si>
    <t>20/12/1999</t>
  </si>
  <si>
    <t>10/01/1998</t>
  </si>
  <si>
    <t>18/09/1996</t>
  </si>
  <si>
    <t>18/10/1996</t>
  </si>
  <si>
    <t>08/02/1999</t>
  </si>
  <si>
    <t>01/01/1999</t>
  </si>
  <si>
    <t>30/06/1997</t>
  </si>
  <si>
    <t>31/10/2000</t>
  </si>
  <si>
    <t>01/04/1999</t>
  </si>
  <si>
    <t>02/09/1995</t>
  </si>
  <si>
    <t>27/05/1998</t>
  </si>
  <si>
    <t>04/03/1999</t>
  </si>
  <si>
    <t>25/03/1997</t>
  </si>
  <si>
    <t>15/05/1999</t>
  </si>
  <si>
    <t>30/08/1999</t>
  </si>
  <si>
    <t>12/08/1998</t>
  </si>
  <si>
    <t>09/05/1997</t>
  </si>
  <si>
    <t>12/10/1999</t>
  </si>
  <si>
    <t>23/08/1999</t>
  </si>
  <si>
    <t>01/10/1996</t>
  </si>
  <si>
    <t>22/08/1999</t>
  </si>
  <si>
    <t>19/07/1994</t>
  </si>
  <si>
    <t>11/10/1997</t>
  </si>
  <si>
    <t>25/12/1997</t>
  </si>
  <si>
    <t>03/07/1997</t>
  </si>
  <si>
    <t>09/08/1997</t>
  </si>
  <si>
    <t>06/08/1997</t>
  </si>
  <si>
    <t>28/04/2000</t>
  </si>
  <si>
    <t>20/11/2000</t>
  </si>
  <si>
    <t>29/01/1998</t>
  </si>
  <si>
    <t>27/01/1998</t>
  </si>
  <si>
    <t>16/08/1997</t>
  </si>
  <si>
    <t>22/07/1997</t>
  </si>
  <si>
    <t>02/10/1998</t>
  </si>
  <si>
    <t>11/12/1997</t>
  </si>
  <si>
    <t>20/11/1996</t>
  </si>
  <si>
    <t>24/09/1997</t>
  </si>
  <si>
    <t>06/07/1996</t>
  </si>
  <si>
    <t>27/02/1995</t>
  </si>
  <si>
    <t>12/12/1999</t>
  </si>
  <si>
    <t>07/05/2000</t>
  </si>
  <si>
    <t>25/10/1997</t>
  </si>
  <si>
    <t>17/09/1998</t>
  </si>
  <si>
    <t>02/12/1999</t>
  </si>
  <si>
    <t>02/09/1999</t>
  </si>
  <si>
    <t>01/07/2000</t>
  </si>
  <si>
    <t>25/11/1997</t>
  </si>
  <si>
    <t>10/11/1992</t>
  </si>
  <si>
    <t>02/08/1996</t>
  </si>
  <si>
    <t>10/09/1996</t>
  </si>
  <si>
    <t>16/10/1997</t>
  </si>
  <si>
    <t>24/11/1997</t>
  </si>
  <si>
    <t>07/09/1997</t>
  </si>
  <si>
    <t>26/03/1998</t>
  </si>
  <si>
    <t>01/08/1999</t>
  </si>
  <si>
    <t>19/04/2000</t>
  </si>
  <si>
    <t>01/01/1998</t>
  </si>
  <si>
    <t>07/01/1998</t>
  </si>
  <si>
    <t>02/10/1997</t>
  </si>
  <si>
    <t>14/05/1998</t>
  </si>
  <si>
    <t>12/08/1997</t>
  </si>
  <si>
    <t>12/11/1999</t>
  </si>
  <si>
    <t>19/02/1998</t>
  </si>
  <si>
    <t>20/09/1998</t>
  </si>
  <si>
    <t>24/10/1998</t>
  </si>
  <si>
    <t>05/12/1997</t>
  </si>
  <si>
    <t>21/02/1995</t>
  </si>
  <si>
    <t>29/11/1999</t>
  </si>
  <si>
    <t>04/09/1999</t>
  </si>
  <si>
    <t>30/03/1997</t>
  </si>
  <si>
    <t>30/10/1998</t>
  </si>
  <si>
    <t>01/11/2000</t>
  </si>
  <si>
    <t>22/02/1998</t>
  </si>
  <si>
    <t>13/07/1998</t>
  </si>
  <si>
    <t>10/09/1997</t>
  </si>
  <si>
    <t>27/10/1997</t>
  </si>
  <si>
    <t>30/03/1996</t>
  </si>
  <si>
    <t>09/01/1998</t>
  </si>
  <si>
    <t>04/10/1996</t>
  </si>
  <si>
    <t>06/03/2000</t>
  </si>
  <si>
    <t>14/09/2000</t>
  </si>
  <si>
    <t>08/11/1997</t>
  </si>
  <si>
    <t>28/07/1998</t>
  </si>
  <si>
    <t>19/06/1998</t>
  </si>
  <si>
    <t>15/02/1996</t>
  </si>
  <si>
    <t>28/02/1996</t>
  </si>
  <si>
    <t>08/10/1996</t>
  </si>
  <si>
    <t>11/02/1996</t>
  </si>
  <si>
    <t>14/09/1997</t>
  </si>
  <si>
    <t>21/04/1998</t>
  </si>
  <si>
    <t>21/04/1996</t>
  </si>
  <si>
    <t>18/12/1999</t>
  </si>
  <si>
    <t>08/06/1998</t>
  </si>
  <si>
    <t>18/03/1999</t>
  </si>
  <si>
    <t>07/06/1998</t>
  </si>
  <si>
    <t>23/12/1999</t>
  </si>
  <si>
    <t>26/07/1993</t>
  </si>
  <si>
    <t>28/10/1997</t>
  </si>
  <si>
    <t>26/07/1997</t>
  </si>
  <si>
    <t>02/09/1998</t>
  </si>
  <si>
    <t>11/03/1997</t>
  </si>
  <si>
    <t>07/06/1997</t>
  </si>
  <si>
    <t>17/11/1997</t>
  </si>
  <si>
    <t>24/07/1998</t>
  </si>
  <si>
    <t>08/12/1997</t>
  </si>
  <si>
    <t>24/06/1996</t>
  </si>
  <si>
    <t>20/02/2000</t>
  </si>
  <si>
    <t>02/07/1999</t>
  </si>
  <si>
    <t>27/11/1997</t>
  </si>
  <si>
    <t>22/04/1999</t>
  </si>
  <si>
    <t>13/05/1998</t>
  </si>
  <si>
    <t>19/08/1998</t>
  </si>
  <si>
    <t>18/12/1998</t>
  </si>
  <si>
    <t>16/01/1997</t>
  </si>
  <si>
    <t>22/12/1996</t>
  </si>
  <si>
    <t>12/08/1999</t>
  </si>
  <si>
    <t>06/10/1997</t>
  </si>
  <si>
    <t>05/03/1997</t>
  </si>
  <si>
    <t>12/02/1998</t>
  </si>
  <si>
    <t>27/10/1998</t>
  </si>
  <si>
    <t>12/05/1997</t>
  </si>
  <si>
    <t>22/02/1999</t>
  </si>
  <si>
    <t>17/04/1999</t>
  </si>
  <si>
    <t>23/12/1998</t>
  </si>
  <si>
    <t>13/05/1997</t>
  </si>
  <si>
    <t>11/01/1998</t>
  </si>
  <si>
    <t>10/04/1999</t>
  </si>
  <si>
    <t>12/06/1993</t>
  </si>
  <si>
    <t>26/02/1996</t>
  </si>
  <si>
    <t>19/07/1998</t>
  </si>
  <si>
    <t>05/02/2000</t>
  </si>
  <si>
    <t>15/05/2000</t>
  </si>
  <si>
    <t>23/02/1998</t>
  </si>
  <si>
    <t>25/06/1998</t>
  </si>
  <si>
    <t>17/07/1997</t>
  </si>
  <si>
    <t>01/07/1998</t>
  </si>
  <si>
    <t>12/03/1996</t>
  </si>
  <si>
    <t>15/07/1997</t>
  </si>
  <si>
    <t>25/08/1997</t>
  </si>
  <si>
    <t>13/09/1998</t>
  </si>
  <si>
    <t>27/01/1999</t>
  </si>
  <si>
    <t>12/12/1998</t>
  </si>
  <si>
    <t>20/10/1997</t>
  </si>
  <si>
    <t>22/09/1997</t>
  </si>
  <si>
    <t>20/09/1999</t>
  </si>
  <si>
    <t>06/12/1999</t>
  </si>
  <si>
    <t>11/01/1999</t>
  </si>
  <si>
    <t>06/02/1999</t>
  </si>
  <si>
    <t>02/01/1998</t>
  </si>
  <si>
    <t>14/02/1996</t>
  </si>
  <si>
    <t>28/09/1997</t>
  </si>
  <si>
    <t>23/10/1999</t>
  </si>
  <si>
    <t>21/07/1995</t>
  </si>
  <si>
    <t>29/08/1998</t>
  </si>
  <si>
    <t>15/10/1999</t>
  </si>
  <si>
    <t>18/09/1999</t>
  </si>
  <si>
    <t>29/09/1997</t>
  </si>
  <si>
    <t>11/10/1998</t>
  </si>
  <si>
    <t>06/12/1997</t>
  </si>
  <si>
    <t>27/03/2000</t>
  </si>
  <si>
    <t>02/08/2000</t>
  </si>
  <si>
    <t>09/02/1999</t>
  </si>
  <si>
    <t>28/12/1998</t>
  </si>
  <si>
    <t>21/11/1995</t>
  </si>
  <si>
    <t>26/05/1997</t>
  </si>
  <si>
    <t>05/06/1997</t>
  </si>
  <si>
    <t>11/04/1997</t>
  </si>
  <si>
    <t>23/04/1998</t>
  </si>
  <si>
    <t>02/01/1999</t>
  </si>
  <si>
    <t>10/02/1996</t>
  </si>
  <si>
    <t>11/01/1997</t>
  </si>
  <si>
    <t>05/03/1996</t>
  </si>
  <si>
    <t>09/01/2000</t>
  </si>
  <si>
    <t>05/12/1998</t>
  </si>
  <si>
    <t>28/08/1996</t>
  </si>
  <si>
    <t>02/02/1995</t>
  </si>
  <si>
    <t>17/08/1999</t>
  </si>
  <si>
    <t>04/05/2000</t>
  </si>
  <si>
    <t>09/06/1997</t>
  </si>
  <si>
    <t>16/01/1996</t>
  </si>
  <si>
    <t>10/11/1998</t>
  </si>
  <si>
    <t>03/11/1995</t>
  </si>
  <si>
    <t>17/03/1998</t>
  </si>
  <si>
    <t>29/12/1998</t>
  </si>
  <si>
    <t>27/01/1995</t>
  </si>
  <si>
    <t>17/09/1996</t>
  </si>
  <si>
    <t>16/12/1997</t>
  </si>
  <si>
    <t>15/08/1999</t>
  </si>
  <si>
    <t>07/08/1998</t>
  </si>
  <si>
    <t>15/12/1999</t>
  </si>
  <si>
    <t>10/06/1996</t>
  </si>
  <si>
    <t>15/09/1996</t>
  </si>
  <si>
    <t>19/05/1998</t>
  </si>
  <si>
    <t>01/05/1999</t>
  </si>
  <si>
    <t>30/04/1999</t>
  </si>
  <si>
    <t>24/03/1999</t>
  </si>
  <si>
    <t>20/04/1996</t>
  </si>
  <si>
    <t>25/09/1996</t>
  </si>
  <si>
    <t>26/09/1997</t>
  </si>
  <si>
    <t>25/01/1996</t>
  </si>
  <si>
    <t>19/04/1998</t>
  </si>
  <si>
    <t>23/03/1997</t>
  </si>
  <si>
    <t>01/08/1997</t>
  </si>
  <si>
    <t>19/06/1999</t>
  </si>
  <si>
    <t>05/02/1998</t>
  </si>
  <si>
    <t>23/08/1996</t>
  </si>
  <si>
    <t>28/09/1995</t>
  </si>
  <si>
    <t>21/11/1998</t>
  </si>
  <si>
    <t>24/06/1991</t>
  </si>
  <si>
    <t>26/04/1998</t>
  </si>
  <si>
    <t>05/12/1996</t>
  </si>
  <si>
    <t>09/09/1997</t>
  </si>
  <si>
    <t>19/12/1998</t>
  </si>
  <si>
    <t>12/04/1996</t>
  </si>
  <si>
    <t>30/03/1998</t>
  </si>
  <si>
    <t>04/11/1996</t>
  </si>
  <si>
    <t>21/09/1995</t>
  </si>
  <si>
    <t>14/04/1997</t>
  </si>
  <si>
    <t>09/06/1998</t>
  </si>
  <si>
    <t>26/11/1997</t>
  </si>
  <si>
    <t>25/10/1994</t>
  </si>
  <si>
    <t>14/07/1998</t>
  </si>
  <si>
    <t>28/03/1996</t>
  </si>
  <si>
    <t>28/01/1999</t>
  </si>
  <si>
    <t>11/04/1996</t>
  </si>
  <si>
    <t>02/11/1999</t>
  </si>
  <si>
    <t>15/08/1995</t>
  </si>
  <si>
    <t>30/04/1996</t>
  </si>
  <si>
    <t>17/06/1998</t>
  </si>
  <si>
    <t>16/02/1996</t>
  </si>
  <si>
    <t>29/07/1997</t>
  </si>
  <si>
    <t>21/09/1998</t>
  </si>
  <si>
    <t>21/11/1997</t>
  </si>
  <si>
    <t>04/05/1997</t>
  </si>
  <si>
    <t>08/07/1998</t>
  </si>
  <si>
    <t>15/04/1999</t>
  </si>
  <si>
    <t>06/06/2000</t>
  </si>
  <si>
    <t>17/07/2000</t>
  </si>
  <si>
    <t>13/12/2000</t>
  </si>
  <si>
    <t>25/08/1999</t>
  </si>
  <si>
    <t>02/08/1999</t>
  </si>
  <si>
    <t>17/01/2000</t>
  </si>
  <si>
    <t>25/05/1999</t>
  </si>
  <si>
    <t>11/02/1999</t>
  </si>
  <si>
    <t>27/11/1999</t>
  </si>
  <si>
    <t>18/11/2000</t>
  </si>
  <si>
    <t>12/02/1999</t>
  </si>
  <si>
    <t>10/11/1999</t>
  </si>
  <si>
    <t>24/10/2000</t>
  </si>
  <si>
    <t>10/10/2000</t>
  </si>
  <si>
    <t>05/01/2000</t>
  </si>
  <si>
    <t>04/11/1999</t>
  </si>
  <si>
    <t>29/07/1998</t>
  </si>
  <si>
    <t>16/08/1999</t>
  </si>
  <si>
    <t>19/05/1999</t>
  </si>
  <si>
    <t>05/09/1999</t>
  </si>
  <si>
    <t>07/07/2000</t>
  </si>
  <si>
    <t>18/03/2000</t>
  </si>
  <si>
    <t>07/12/1999</t>
  </si>
  <si>
    <t>09/08/1999</t>
  </si>
  <si>
    <t>27/07/1999</t>
  </si>
  <si>
    <t>26/07/2000</t>
  </si>
  <si>
    <t>11/04/1999</t>
  </si>
  <si>
    <t>17/03/1999</t>
  </si>
  <si>
    <t>23/12/2000</t>
  </si>
  <si>
    <t>03/01/2000</t>
  </si>
  <si>
    <t>20/01/1999</t>
  </si>
  <si>
    <t>02/12/2000</t>
  </si>
  <si>
    <t>26/10/2000</t>
  </si>
  <si>
    <t>08/12/2000</t>
  </si>
  <si>
    <t>11/10/1999</t>
  </si>
  <si>
    <t>18/08/2000</t>
  </si>
  <si>
    <t>25/11/2000</t>
  </si>
  <si>
    <t>11/06/2000</t>
  </si>
  <si>
    <t>14/11/2000</t>
  </si>
  <si>
    <t>31/03/2000</t>
  </si>
  <si>
    <t>12/09/2000</t>
  </si>
  <si>
    <t>10/05/1999</t>
  </si>
  <si>
    <t>08/03/1999</t>
  </si>
  <si>
    <t>17/11/1995</t>
  </si>
  <si>
    <t>28/04/1999</t>
  </si>
  <si>
    <t>24/07/2000</t>
  </si>
  <si>
    <t>05/08/2000</t>
  </si>
  <si>
    <t>28/02/2000</t>
  </si>
  <si>
    <t>12/08/2000</t>
  </si>
  <si>
    <t>22/03/2000</t>
  </si>
  <si>
    <t>29/04/1999</t>
  </si>
  <si>
    <t>26/08/2000</t>
  </si>
  <si>
    <t>11/12/2000</t>
  </si>
  <si>
    <t>26/02/2000</t>
  </si>
  <si>
    <t>07/10/1999</t>
  </si>
  <si>
    <t>11/09/1999</t>
  </si>
  <si>
    <t>19/11/2000</t>
  </si>
  <si>
    <t>15/09/2000</t>
  </si>
  <si>
    <t>03/03/1999</t>
  </si>
  <si>
    <t>08/11/1998</t>
  </si>
  <si>
    <t>24/12/2000</t>
  </si>
  <si>
    <t>27/05/2000</t>
  </si>
  <si>
    <t>30/07/1999</t>
  </si>
  <si>
    <t>04/06/1999</t>
  </si>
  <si>
    <t>24/06/1999</t>
  </si>
  <si>
    <t>27/08/2000</t>
  </si>
  <si>
    <t>15/08/2000</t>
  </si>
  <si>
    <t>08/08/2000</t>
  </si>
  <si>
    <t>07/05/1999</t>
  </si>
  <si>
    <t>06/04/1992</t>
  </si>
  <si>
    <t>24/01/2000</t>
  </si>
  <si>
    <t>14/10/1997</t>
  </si>
  <si>
    <t>05/10/1994</t>
  </si>
  <si>
    <t>02/02/1997</t>
  </si>
  <si>
    <t>08/01/1996</t>
  </si>
  <si>
    <t>20/12/1996</t>
  </si>
  <si>
    <t>11/03/1998</t>
  </si>
  <si>
    <t>04/03/1989</t>
  </si>
  <si>
    <t>08/04/1998</t>
  </si>
  <si>
    <t>04/02/1997</t>
  </si>
  <si>
    <t>30/05/1996</t>
  </si>
  <si>
    <t>11/05/1998</t>
  </si>
  <si>
    <t>16/04/1997</t>
  </si>
  <si>
    <t>05/08/1994</t>
  </si>
  <si>
    <t>01/01/1997</t>
  </si>
  <si>
    <t>21/12/1997</t>
  </si>
  <si>
    <t>24/08/1996</t>
  </si>
  <si>
    <t>06/09/1995</t>
  </si>
  <si>
    <t>06/02/1997</t>
  </si>
  <si>
    <t>07/01/1995</t>
  </si>
  <si>
    <t>01/06/1998</t>
  </si>
  <si>
    <t>24/11/2000</t>
  </si>
  <si>
    <t>23/05/2000</t>
  </si>
  <si>
    <t>04/08/2000</t>
  </si>
  <si>
    <t>30/04/2000</t>
  </si>
  <si>
    <t>03/10/2000</t>
  </si>
  <si>
    <t>09/02/2000</t>
  </si>
  <si>
    <t>02/10/1999</t>
  </si>
  <si>
    <t>11/03/2000</t>
  </si>
  <si>
    <t>07/03/2000</t>
  </si>
  <si>
    <t>04/09/2000</t>
  </si>
  <si>
    <t>04/09/1997</t>
  </si>
  <si>
    <t>30/10/2000</t>
  </si>
  <si>
    <t>25/08/2000</t>
  </si>
  <si>
    <t>03/04/2000</t>
  </si>
  <si>
    <t>18/09/2000</t>
  </si>
  <si>
    <t>06/04/2000</t>
  </si>
  <si>
    <t>15/01/2000</t>
  </si>
  <si>
    <t>11/04/1998</t>
  </si>
  <si>
    <t>19/01/2000</t>
  </si>
  <si>
    <t>08/07/2000</t>
  </si>
  <si>
    <t>30/12/2000</t>
  </si>
  <si>
    <t>07/08/2000</t>
  </si>
  <si>
    <t>10/04/2000</t>
  </si>
  <si>
    <t>16/09/2000</t>
  </si>
  <si>
    <t>01/06/2000</t>
  </si>
  <si>
    <t>09/08/2000</t>
  </si>
  <si>
    <t>12/01/2000</t>
  </si>
  <si>
    <t>23/07/2000</t>
  </si>
  <si>
    <t>03/02/2000</t>
  </si>
  <si>
    <t>04/12/2000</t>
  </si>
  <si>
    <t>13/10/2000</t>
  </si>
  <si>
    <t>19/04/1995</t>
  </si>
  <si>
    <t>19/09/2000</t>
  </si>
  <si>
    <t>10/07/2000</t>
  </si>
  <si>
    <t>04/01/2000</t>
  </si>
  <si>
    <t>12/11/2000</t>
  </si>
  <si>
    <t>02/11/2000</t>
  </si>
  <si>
    <t>05/11/2000</t>
  </si>
  <si>
    <t>18/07/1999</t>
  </si>
  <si>
    <t>01/05/1997</t>
  </si>
  <si>
    <t>02/02/1999</t>
  </si>
  <si>
    <t>13/07/1997</t>
  </si>
  <si>
    <t>15/11/2000</t>
  </si>
  <si>
    <t>26/12/2000</t>
  </si>
  <si>
    <t>18/06/2000</t>
  </si>
  <si>
    <t>27/07/2000</t>
  </si>
  <si>
    <t>05/11/1998</t>
  </si>
  <si>
    <t>12/10/2000</t>
  </si>
  <si>
    <t>18/01/1999</t>
  </si>
  <si>
    <t>21/09/2000</t>
  </si>
  <si>
    <t>27/03/1999</t>
  </si>
  <si>
    <t>08/02/2000</t>
  </si>
  <si>
    <t>03/12/2000</t>
  </si>
  <si>
    <t>19/10/1999</t>
  </si>
  <si>
    <t>03/09/1998</t>
  </si>
  <si>
    <t>20/05/1999</t>
  </si>
  <si>
    <t>03/11/1999</t>
  </si>
  <si>
    <t>30/10/1999</t>
  </si>
  <si>
    <t>21/12/2000</t>
  </si>
  <si>
    <t>16/07/1998</t>
  </si>
  <si>
    <t>21/12/1999</t>
  </si>
  <si>
    <t>16/11/1999</t>
  </si>
  <si>
    <t>17/10/1999</t>
  </si>
  <si>
    <t>11/12/1999</t>
  </si>
  <si>
    <t>27/04/1998</t>
  </si>
  <si>
    <t>10/10/1999</t>
  </si>
  <si>
    <t>13/11/1999</t>
  </si>
  <si>
    <t>29/08/1997</t>
  </si>
  <si>
    <t>21/09/1999</t>
  </si>
  <si>
    <t>06/08/1994</t>
  </si>
  <si>
    <t>Số HĐ</t>
  </si>
  <si>
    <t>Số SV theo QĐ</t>
  </si>
  <si>
    <t>Tổng</t>
  </si>
  <si>
    <t>Theo ngành</t>
  </si>
  <si>
    <t>Theo BM</t>
  </si>
  <si>
    <t xml:space="preserve">Không </t>
  </si>
  <si>
    <t xml:space="preserve">Tin Lành </t>
  </si>
  <si>
    <t xml:space="preserve">Phật </t>
  </si>
  <si>
    <t>Thiên Chúa</t>
  </si>
  <si>
    <t>Bà la môn</t>
  </si>
  <si>
    <t>KINH</t>
  </si>
  <si>
    <t xml:space="preserve">kinh </t>
  </si>
  <si>
    <t xml:space="preserve">Kinh </t>
  </si>
  <si>
    <t>Giarai</t>
  </si>
  <si>
    <t>kinh</t>
  </si>
  <si>
    <t xml:space="preserve">Đắk Lắk </t>
  </si>
  <si>
    <t>Hà Nội</t>
  </si>
  <si>
    <t>Bắc Ninh</t>
  </si>
  <si>
    <t xml:space="preserve">Đồng Nai </t>
  </si>
  <si>
    <t>Quãng Ngãi</t>
  </si>
  <si>
    <t>Gia lai</t>
  </si>
  <si>
    <t xml:space="preserve">Nghệ An </t>
  </si>
  <si>
    <t xml:space="preserve">Khánh Hòa </t>
  </si>
  <si>
    <t xml:space="preserve">Lâm Đồng </t>
  </si>
  <si>
    <t xml:space="preserve">Vĩnh Long </t>
  </si>
  <si>
    <t xml:space="preserve">Khánh Hoà </t>
  </si>
  <si>
    <t xml:space="preserve">Gia Lai </t>
  </si>
  <si>
    <t xml:space="preserve">Đồng Tháp </t>
  </si>
  <si>
    <t xml:space="preserve">Thành phố Hồ Chí Minh </t>
  </si>
  <si>
    <t>Hưng yên</t>
  </si>
  <si>
    <t>22/12/2025</t>
  </si>
  <si>
    <t>26/06/1460</t>
  </si>
  <si>
    <t>28/12/2000</t>
  </si>
  <si>
    <t>14/09/2025</t>
  </si>
  <si>
    <t>09/12/2003</t>
  </si>
  <si>
    <t>11/02/2003</t>
  </si>
  <si>
    <t>01/09/2000</t>
  </si>
  <si>
    <t xml:space="preserve">Phú Thọ </t>
  </si>
  <si>
    <t>Ninh bình</t>
  </si>
  <si>
    <t>Vĩnh long</t>
  </si>
  <si>
    <t xml:space="preserve">Hà Tĩnh </t>
  </si>
  <si>
    <t>Cà Màu</t>
  </si>
  <si>
    <t>PGS. TS. Lê Trung Phong</t>
  </si>
  <si>
    <t>Số SV HD</t>
  </si>
  <si>
    <t>Số SV có GVHD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</si>
</sst>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dd/mm/yyyy"/>
  </numFmts>
  <fonts count="17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sz val="10"/>
      <color indexed="8"/>
      <name val="Arial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  <charset val="163"/>
    </font>
    <font>
      <b/>
      <sz val="11"/>
      <color indexed="8"/>
      <name val="Calibri"/>
      <family val="2"/>
    </font>
    <font>
      <sz val="10"/>
      <name val="Time New Roman"/>
    </font>
    <font>
      <b/>
      <sz val="11"/>
      <color theme="1"/>
      <name val="Times New Roman"/>
      <family val="1"/>
    </font>
    <font>
      <b/>
      <sz val="14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43" fontId="16" fillId="0" borderId="0" applyFont="0" applyFill="0" applyBorder="0" applyAlignment="0" applyProtection="0"/>
  </cellStyleXfs>
  <cellXfs count="91">
    <xf numFmtId="0" fontId="0" fillId="0" borderId="0" xfId="0"/>
    <xf numFmtId="49" fontId="3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1" fontId="3" fillId="2" borderId="1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0" fontId="3" fillId="2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49" fontId="5" fillId="2" borderId="1" xfId="0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1" xfId="0" applyBorder="1"/>
    <xf numFmtId="0" fontId="0" fillId="0" borderId="0" xfId="0" applyFill="1"/>
    <xf numFmtId="0" fontId="5" fillId="2" borderId="1" xfId="0" applyNumberFormat="1" applyFont="1" applyFill="1" applyBorder="1" applyAlignment="1">
      <alignment horizontal="left" vertical="center"/>
    </xf>
    <xf numFmtId="0" fontId="0" fillId="0" borderId="0" xfId="0" applyNumberFormat="1"/>
    <xf numFmtId="49" fontId="3" fillId="0" borderId="1" xfId="0" applyNumberFormat="1" applyFont="1" applyBorder="1" applyAlignment="1">
      <alignment horizontal="left" vertical="center" wrapText="1"/>
    </xf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1" applyFont="1" applyBorder="1" applyAlignment="1">
      <alignment horizontal="center" vertical="center" wrapText="1"/>
    </xf>
    <xf numFmtId="0" fontId="3" fillId="2" borderId="0" xfId="0" applyFont="1" applyFill="1"/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3" fillId="0" borderId="1" xfId="0" quotePrefix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/>
    <xf numFmtId="0" fontId="9" fillId="0" borderId="1" xfId="0" applyFont="1" applyBorder="1" applyAlignment="1">
      <alignment wrapText="1"/>
    </xf>
    <xf numFmtId="0" fontId="10" fillId="0" borderId="8" xfId="0" applyFont="1" applyBorder="1" applyAlignment="1">
      <alignment horizontal="right" vertical="center" wrapText="1"/>
    </xf>
    <xf numFmtId="0" fontId="10" fillId="0" borderId="8" xfId="0" applyNumberFormat="1" applyFont="1" applyBorder="1" applyAlignment="1">
      <alignment horizontal="right" vertical="center" wrapText="1"/>
    </xf>
    <xf numFmtId="0" fontId="0" fillId="0" borderId="8" xfId="0" applyBorder="1" applyAlignment="1">
      <alignment horizontal="left" vertical="center"/>
    </xf>
    <xf numFmtId="164" fontId="0" fillId="0" borderId="8" xfId="0" applyNumberFormat="1" applyBorder="1"/>
    <xf numFmtId="0" fontId="0" fillId="0" borderId="8" xfId="0" applyBorder="1" applyAlignment="1">
      <alignment horizontal="left" vertical="center" wrapText="1"/>
    </xf>
    <xf numFmtId="0" fontId="7" fillId="0" borderId="0" xfId="0" applyFont="1" applyAlignment="1"/>
    <xf numFmtId="0" fontId="8" fillId="0" borderId="0" xfId="0" applyFont="1" applyAlignment="1"/>
    <xf numFmtId="49" fontId="2" fillId="0" borderId="1" xfId="0" applyNumberFormat="1" applyFont="1" applyBorder="1" applyAlignment="1">
      <alignment vertical="center"/>
    </xf>
    <xf numFmtId="0" fontId="0" fillId="0" borderId="0" xfId="0" applyBorder="1"/>
    <xf numFmtId="49" fontId="12" fillId="0" borderId="1" xfId="0" applyNumberFormat="1" applyFont="1" applyBorder="1" applyAlignment="1">
      <alignment horizontal="center" vertical="center"/>
    </xf>
    <xf numFmtId="0" fontId="15" fillId="2" borderId="1" xfId="0" applyNumberFormat="1" applyFont="1" applyFill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5" fillId="2" borderId="2" xfId="0" applyNumberFormat="1" applyFont="1" applyFill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12" fillId="0" borderId="2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5" fillId="2" borderId="1" xfId="2" applyNumberFormat="1" applyFont="1" applyFill="1" applyBorder="1" applyAlignment="1">
      <alignment horizontal="left" vertical="center"/>
    </xf>
    <xf numFmtId="49" fontId="5" fillId="2" borderId="1" xfId="2" applyNumberFormat="1" applyFont="1" applyFill="1" applyBorder="1" applyAlignment="1">
      <alignment horizontal="right" vertical="center"/>
    </xf>
    <xf numFmtId="49" fontId="0" fillId="0" borderId="0" xfId="0" applyNumberFormat="1"/>
    <xf numFmtId="14" fontId="3" fillId="2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left" vertical="center"/>
    </xf>
    <xf numFmtId="0" fontId="3" fillId="3" borderId="1" xfId="0" applyNumberFormat="1" applyFont="1" applyFill="1" applyBorder="1" applyAlignment="1">
      <alignment horizontal="left" vertical="center"/>
    </xf>
    <xf numFmtId="49" fontId="1" fillId="0" borderId="1" xfId="0" applyNumberFormat="1" applyFont="1" applyBorder="1" applyAlignment="1">
      <alignment vertical="center" wrapText="1"/>
    </xf>
    <xf numFmtId="0" fontId="0" fillId="0" borderId="1" xfId="0" applyNumberFormat="1" applyBorder="1"/>
    <xf numFmtId="49" fontId="1" fillId="0" borderId="2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12" fillId="0" borderId="2" xfId="0" applyNumberFormat="1" applyFont="1" applyBorder="1" applyAlignment="1">
      <alignment horizontal="center" vertical="center"/>
    </xf>
    <xf numFmtId="49" fontId="12" fillId="0" borderId="7" xfId="0" applyNumberFormat="1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 wrapText="1"/>
    </xf>
    <xf numFmtId="49" fontId="13" fillId="0" borderId="7" xfId="0" applyNumberFormat="1" applyFont="1" applyBorder="1" applyAlignment="1">
      <alignment horizontal="center" vertical="center" wrapText="1"/>
    </xf>
    <xf numFmtId="49" fontId="12" fillId="0" borderId="9" xfId="0" applyNumberFormat="1" applyFont="1" applyBorder="1" applyAlignment="1">
      <alignment horizontal="center" vertical="center"/>
    </xf>
    <xf numFmtId="49" fontId="12" fillId="0" borderId="10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</cellXfs>
  <cellStyles count="3">
    <cellStyle name="Comma" xfId="2" builtinId="3"/>
    <cellStyle name="Normal" xfId="0" builtinId="0"/>
    <cellStyle name="Normal 2 2" xfId="1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&#7853;p%20nh&#7853;t%20th&#244;ng%20tin%20h&#224;nh%20ch&#237;nh%202%20c&#7845;p%20%20(C&#226;u%20tr&#7843;%20l&#7901;i)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âu trả lời biểu mẫu 1"/>
      <sheetName val="Sheet2"/>
      <sheetName val="Sheet3"/>
      <sheetName val="Sheet1"/>
    </sheetNames>
    <sheetDataSet>
      <sheetData sheetId="0"/>
      <sheetData sheetId="1"/>
      <sheetData sheetId="2">
        <row r="1">
          <cell r="D1" t="str">
            <v>Mã số sinh viên</v>
          </cell>
          <cell r="E1" t="str">
            <v>Số điện thoại liên hệ</v>
          </cell>
          <cell r="F1" t="str">
            <v>mail liên hệ</v>
          </cell>
          <cell r="G1" t="str">
            <v>Ngày sinh</v>
          </cell>
          <cell r="H1" t="str">
            <v>Nơi sinh trước sát nhập (tỉnh)</v>
          </cell>
          <cell r="I1" t="str">
            <v>Nơi sinh sau sát nhập (tỉnh)</v>
          </cell>
          <cell r="J1" t="str">
            <v>Dân tộc</v>
          </cell>
          <cell r="K1" t="str">
            <v>Tôn Giáo</v>
          </cell>
        </row>
        <row r="2">
          <cell r="D2">
            <v>2151067623</v>
          </cell>
          <cell r="E2" t="str">
            <v>0868913631</v>
          </cell>
          <cell r="F2" t="str">
            <v>huynhnguyen.250603@gmail.com</v>
          </cell>
          <cell r="G2" t="str">
            <v>25/08/2003</v>
          </cell>
          <cell r="H2" t="str">
            <v>Tỉnh Bình Thuận</v>
          </cell>
          <cell r="I2" t="str">
            <v>Lâm Đồng</v>
          </cell>
          <cell r="J2" t="str">
            <v>Kinh</v>
          </cell>
          <cell r="K2" t="str">
            <v>Phật</v>
          </cell>
        </row>
        <row r="3">
          <cell r="D3">
            <v>2154027099</v>
          </cell>
          <cell r="E3" t="str">
            <v>0917121539</v>
          </cell>
          <cell r="F3" t="str">
            <v>markwolverine2003@gmail.com</v>
          </cell>
          <cell r="G3" t="str">
            <v>08/06/2003</v>
          </cell>
          <cell r="H3" t="str">
            <v>Cà Mau</v>
          </cell>
          <cell r="I3" t="str">
            <v>Cà Mau</v>
          </cell>
          <cell r="J3" t="str">
            <v>Kinh</v>
          </cell>
          <cell r="K3" t="str">
            <v>không</v>
          </cell>
        </row>
        <row r="4">
          <cell r="D4">
            <v>2154077195</v>
          </cell>
          <cell r="E4" t="str">
            <v>0935240103</v>
          </cell>
          <cell r="F4" t="str">
            <v>thanhthao.work@gmail.com</v>
          </cell>
          <cell r="G4" t="str">
            <v>25/03/2003</v>
          </cell>
          <cell r="H4" t="str">
            <v>Vũng Tàu</v>
          </cell>
          <cell r="I4" t="str">
            <v>Thành phố Hồ Chí Minh</v>
          </cell>
          <cell r="J4" t="str">
            <v>Kinh</v>
          </cell>
          <cell r="K4" t="str">
            <v>Không</v>
          </cell>
        </row>
        <row r="5">
          <cell r="D5">
            <v>2151017211</v>
          </cell>
          <cell r="E5" t="str">
            <v>0969954935</v>
          </cell>
          <cell r="F5" t="str">
            <v>Nguyenvanhuyendiennguyen@gmail.com</v>
          </cell>
          <cell r="G5" t="str">
            <v>18/05/1999</v>
          </cell>
          <cell r="H5" t="str">
            <v>Nghệ An</v>
          </cell>
          <cell r="I5" t="str">
            <v>Nghệ An</v>
          </cell>
          <cell r="J5" t="str">
            <v>Kinh</v>
          </cell>
          <cell r="K5" t="str">
            <v>Không</v>
          </cell>
        </row>
        <row r="6">
          <cell r="D6">
            <v>2031070253</v>
          </cell>
          <cell r="E6" t="str">
            <v>0987073829</v>
          </cell>
          <cell r="F6" t="str">
            <v>ngocson3719@gmail.com</v>
          </cell>
          <cell r="G6" t="str">
            <v>01/07/1987</v>
          </cell>
          <cell r="H6" t="str">
            <v>Bình Định</v>
          </cell>
          <cell r="I6" t="str">
            <v>Gia Lai</v>
          </cell>
          <cell r="J6" t="str">
            <v>Kinh</v>
          </cell>
          <cell r="K6" t="str">
            <v>Không</v>
          </cell>
        </row>
        <row r="7">
          <cell r="D7">
            <v>2154037154</v>
          </cell>
          <cell r="E7" t="str">
            <v>0868900135</v>
          </cell>
          <cell r="F7" t="str">
            <v>vanlinhcccd@gmail.com</v>
          </cell>
          <cell r="G7" t="str">
            <v>27/02/2003</v>
          </cell>
          <cell r="H7" t="str">
            <v>Tỉnh Đắk Lắk</v>
          </cell>
          <cell r="I7" t="str">
            <v>Đắk Lắk</v>
          </cell>
          <cell r="J7" t="str">
            <v>Kinh</v>
          </cell>
          <cell r="K7" t="str">
            <v>Không</v>
          </cell>
        </row>
        <row r="8">
          <cell r="D8">
            <v>2151017214</v>
          </cell>
          <cell r="E8" t="str">
            <v>0988029094</v>
          </cell>
          <cell r="F8" t="str">
            <v>tranxuanly205@gmail.com</v>
          </cell>
          <cell r="G8" t="str">
            <v>20/05/2003</v>
          </cell>
          <cell r="H8" t="str">
            <v>Đồng Nai</v>
          </cell>
          <cell r="I8" t="str">
            <v>Đồng Nai</v>
          </cell>
          <cell r="J8" t="str">
            <v>Kinh</v>
          </cell>
          <cell r="K8" t="str">
            <v>Thiên Chúa</v>
          </cell>
        </row>
        <row r="9">
          <cell r="D9">
            <v>2154037380</v>
          </cell>
          <cell r="E9" t="str">
            <v>0867115736</v>
          </cell>
          <cell r="F9" t="str">
            <v>Binhminh10101964@gmail.com</v>
          </cell>
          <cell r="G9" t="str">
            <v>12/05/2002</v>
          </cell>
          <cell r="H9" t="str">
            <v>Nghệ An</v>
          </cell>
          <cell r="I9" t="str">
            <v xml:space="preserve">Nghệ An </v>
          </cell>
          <cell r="J9" t="str">
            <v>Kinh</v>
          </cell>
          <cell r="K9" t="str">
            <v>Không</v>
          </cell>
        </row>
        <row r="10">
          <cell r="D10">
            <v>2154037161</v>
          </cell>
          <cell r="E10" t="str">
            <v>0963717967</v>
          </cell>
          <cell r="F10" t="str">
            <v>thaolethi737@gmail.com</v>
          </cell>
          <cell r="G10" t="str">
            <v>04/06/2003</v>
          </cell>
          <cell r="H10" t="str">
            <v>Xã Long Tân, Huyện Phú Riềng, Tỉnh Bình Phước</v>
          </cell>
          <cell r="I10" t="str">
            <v>Đồng Nai</v>
          </cell>
          <cell r="J10" t="str">
            <v>Kinh</v>
          </cell>
          <cell r="K10" t="str">
            <v>Không</v>
          </cell>
        </row>
        <row r="11">
          <cell r="D11">
            <v>2151017500</v>
          </cell>
          <cell r="E11" t="str">
            <v>0389237130</v>
          </cell>
          <cell r="F11" t="str">
            <v>Chicongnguyen134@gmail.com</v>
          </cell>
          <cell r="G11" t="str">
            <v>15/07/2003</v>
          </cell>
          <cell r="H11" t="str">
            <v>Thái Bình</v>
          </cell>
          <cell r="I11" t="str">
            <v>Hưng yên</v>
          </cell>
          <cell r="J11" t="str">
            <v>Kinh</v>
          </cell>
          <cell r="K11" t="str">
            <v>Không</v>
          </cell>
        </row>
        <row r="12">
          <cell r="D12">
            <v>2151017522</v>
          </cell>
          <cell r="E12" t="str">
            <v>0366689875</v>
          </cell>
          <cell r="F12" t="str">
            <v>hotri135@gmail.com</v>
          </cell>
          <cell r="G12" t="str">
            <v>11/05/2003</v>
          </cell>
          <cell r="H12" t="str">
            <v>Đắk Lắk</v>
          </cell>
          <cell r="I12" t="str">
            <v>Lâm Đồng</v>
          </cell>
          <cell r="J12" t="str">
            <v>Kinh</v>
          </cell>
          <cell r="K12" t="str">
            <v>Không</v>
          </cell>
        </row>
        <row r="13">
          <cell r="D13">
            <v>2151017220</v>
          </cell>
          <cell r="E13" t="str">
            <v>0366464596</v>
          </cell>
          <cell r="F13" t="str">
            <v>Vu178977@gmail.com</v>
          </cell>
          <cell r="G13" t="str">
            <v>24/09/2003</v>
          </cell>
          <cell r="H13" t="str">
            <v xml:space="preserve">Bình Dương </v>
          </cell>
          <cell r="I13" t="str">
            <v>Thành phố Hồ Chí Minh</v>
          </cell>
          <cell r="J13" t="str">
            <v>Kinh</v>
          </cell>
          <cell r="K13" t="str">
            <v>Không</v>
          </cell>
        </row>
        <row r="14">
          <cell r="D14">
            <v>2154037792</v>
          </cell>
          <cell r="E14" t="str">
            <v>0773464348</v>
          </cell>
          <cell r="F14" t="str">
            <v>thuylongson14@gmail.com</v>
          </cell>
          <cell r="G14" t="str">
            <v>14/11/2003</v>
          </cell>
          <cell r="H14" t="str">
            <v xml:space="preserve">Bình Phước </v>
          </cell>
          <cell r="I14" t="str">
            <v>Đồng Nai</v>
          </cell>
          <cell r="J14" t="str">
            <v>Kinh</v>
          </cell>
          <cell r="K14" t="str">
            <v>Không</v>
          </cell>
        </row>
        <row r="15">
          <cell r="D15">
            <v>2151017347</v>
          </cell>
          <cell r="E15" t="str">
            <v>0869209430</v>
          </cell>
          <cell r="F15" t="str">
            <v>lamvo.300603@gmail.com</v>
          </cell>
          <cell r="G15" t="str">
            <v>30/06/2003</v>
          </cell>
          <cell r="H15" t="str">
            <v>Khánh Hoà</v>
          </cell>
          <cell r="I15" t="str">
            <v>Khánh Hoà</v>
          </cell>
          <cell r="J15" t="str">
            <v>Kinh</v>
          </cell>
          <cell r="K15" t="str">
            <v>Phật</v>
          </cell>
        </row>
        <row r="16">
          <cell r="D16">
            <v>2154037769</v>
          </cell>
          <cell r="E16" t="str">
            <v>0383438990</v>
          </cell>
          <cell r="F16" t="str">
            <v>lethanhloan130403@gmail.com</v>
          </cell>
          <cell r="G16" t="str">
            <v>13/05/2003</v>
          </cell>
          <cell r="H16" t="str">
            <v>bình phước</v>
          </cell>
          <cell r="I16" t="str">
            <v>Đồng Nai</v>
          </cell>
          <cell r="J16" t="str">
            <v>Kinh</v>
          </cell>
          <cell r="K16" t="str">
            <v>Không</v>
          </cell>
        </row>
        <row r="17">
          <cell r="D17">
            <v>2154037157</v>
          </cell>
          <cell r="E17" t="str">
            <v>0706617927</v>
          </cell>
          <cell r="F17" t="str">
            <v>lvhnhuc121c3thdao@gmail.com</v>
          </cell>
          <cell r="G17" t="str">
            <v>24/12/2003</v>
          </cell>
          <cell r="H17" t="str">
            <v xml:space="preserve">Khánh Hoà </v>
          </cell>
          <cell r="I17" t="str">
            <v xml:space="preserve">Khánh Hoà </v>
          </cell>
          <cell r="J17" t="str">
            <v>Kinh</v>
          </cell>
          <cell r="K17" t="str">
            <v>Phật</v>
          </cell>
        </row>
        <row r="18">
          <cell r="D18">
            <v>2154037169</v>
          </cell>
          <cell r="E18" t="str">
            <v>0868207730</v>
          </cell>
          <cell r="F18" t="str">
            <v>Vinh745690@gmail.com</v>
          </cell>
          <cell r="G18" t="str">
            <v>26/06/1460</v>
          </cell>
          <cell r="H18" t="str">
            <v xml:space="preserve">Bình Định </v>
          </cell>
          <cell r="I18" t="str">
            <v xml:space="preserve">Gia Lai </v>
          </cell>
          <cell r="J18" t="str">
            <v xml:space="preserve">Kinh </v>
          </cell>
          <cell r="K18" t="str">
            <v xml:space="preserve">Phật </v>
          </cell>
        </row>
        <row r="19">
          <cell r="D19">
            <v>2154037384</v>
          </cell>
          <cell r="E19" t="str">
            <v>0362622744</v>
          </cell>
          <cell r="F19" t="str">
            <v>tranthihoaithu02051997@gmail.com</v>
          </cell>
          <cell r="G19" t="str">
            <v>05/02/1997</v>
          </cell>
          <cell r="H19" t="str">
            <v>Hà Tĩnh</v>
          </cell>
          <cell r="I19" t="str">
            <v>Hà Tĩnh</v>
          </cell>
          <cell r="J19" t="str">
            <v>Kinh</v>
          </cell>
          <cell r="K19" t="str">
            <v>Công giáo</v>
          </cell>
        </row>
        <row r="20">
          <cell r="D20">
            <v>2054037737</v>
          </cell>
          <cell r="E20" t="str">
            <v>0359242460</v>
          </cell>
          <cell r="F20" t="str">
            <v>Nguyenthibichngan2804@gmail.com</v>
          </cell>
          <cell r="G20" t="str">
            <v>28/04/2002</v>
          </cell>
          <cell r="H20" t="str">
            <v>Bình Định</v>
          </cell>
          <cell r="I20" t="str">
            <v>Gia lai</v>
          </cell>
          <cell r="J20" t="str">
            <v>Kinh</v>
          </cell>
          <cell r="K20" t="str">
            <v>Không</v>
          </cell>
        </row>
        <row r="21">
          <cell r="D21">
            <v>2154037322</v>
          </cell>
          <cell r="E21" t="str">
            <v>0364983492</v>
          </cell>
          <cell r="F21" t="str">
            <v>nguyentrang032904@gmail.com</v>
          </cell>
          <cell r="G21" t="str">
            <v>29/04/2003</v>
          </cell>
          <cell r="H21" t="str">
            <v xml:space="preserve">Ấp Bình Hoà, Xã Bình Thạnh, Huyện Trảng Bàng, Tỉnh Tây Ninh </v>
          </cell>
          <cell r="I21" t="str">
            <v>Tây Ninh</v>
          </cell>
          <cell r="J21" t="str">
            <v>Kinh</v>
          </cell>
          <cell r="K21" t="str">
            <v>Không</v>
          </cell>
        </row>
        <row r="22">
          <cell r="D22">
            <v>1851133239</v>
          </cell>
          <cell r="E22" t="str">
            <v>0376093077</v>
          </cell>
          <cell r="F22" t="str">
            <v>Tkt200091@gmail.com</v>
          </cell>
          <cell r="G22" t="str">
            <v>01/09/2000</v>
          </cell>
          <cell r="H22" t="str">
            <v>Tổ 6, ấp Vườn Rau, Thanh Phú, TX.Bình Long, Bình Phước</v>
          </cell>
          <cell r="I22" t="str">
            <v>Đồng Nai</v>
          </cell>
          <cell r="J22" t="str">
            <v>Kinh</v>
          </cell>
          <cell r="K22" t="str">
            <v>Không</v>
          </cell>
        </row>
        <row r="23">
          <cell r="D23">
            <v>2151067614</v>
          </cell>
          <cell r="E23" t="str">
            <v>0338053890</v>
          </cell>
          <cell r="F23" t="str">
            <v>nguyentruongnghia.pt@gmail.com</v>
          </cell>
          <cell r="G23" t="str">
            <v>27/10/2003</v>
          </cell>
          <cell r="H23" t="str">
            <v>Mỹ Đức, Thành phố Hà Tiên, Tỉnh Kiên Giang</v>
          </cell>
          <cell r="I23" t="str">
            <v>An Giang</v>
          </cell>
          <cell r="J23" t="str">
            <v>Kinh</v>
          </cell>
          <cell r="K23" t="str">
            <v>không</v>
          </cell>
        </row>
        <row r="24">
          <cell r="D24">
            <v>2151067628</v>
          </cell>
          <cell r="E24" t="str">
            <v>0789758065</v>
          </cell>
          <cell r="F24" t="str">
            <v>maithanh.tr7@gmail.com</v>
          </cell>
          <cell r="G24" t="str">
            <v>07/12/2003</v>
          </cell>
          <cell r="H24" t="str">
            <v xml:space="preserve">Thành phố Hồ Chí Minh </v>
          </cell>
          <cell r="I24" t="str">
            <v xml:space="preserve">Thành phố Hồ Chí Minh </v>
          </cell>
          <cell r="J24" t="str">
            <v>Kinh</v>
          </cell>
          <cell r="K24" t="str">
            <v>Thiên Chúa</v>
          </cell>
        </row>
        <row r="25">
          <cell r="D25">
            <v>2154037150</v>
          </cell>
          <cell r="E25" t="str">
            <v>0398991043</v>
          </cell>
          <cell r="F25" t="str">
            <v>builexuanbinh@gmail.com</v>
          </cell>
          <cell r="G25" t="str">
            <v>22/03/2003</v>
          </cell>
          <cell r="H25" t="str">
            <v>Thành phố Hồ Chí Minh</v>
          </cell>
          <cell r="I25" t="str">
            <v>Thành phố Hồ Chí Minh</v>
          </cell>
          <cell r="J25" t="str">
            <v>Kinh</v>
          </cell>
          <cell r="K25" t="str">
            <v>Phật</v>
          </cell>
        </row>
        <row r="26">
          <cell r="D26">
            <v>2154037762</v>
          </cell>
          <cell r="E26" t="str">
            <v>0764254927</v>
          </cell>
          <cell r="F26" t="str">
            <v>nguyenthithuhang0590@gmail.com</v>
          </cell>
          <cell r="G26" t="str">
            <v>01/01/2003</v>
          </cell>
          <cell r="H26" t="str">
            <v>Trà Vinh</v>
          </cell>
          <cell r="I26" t="str">
            <v xml:space="preserve">Vĩnh Long </v>
          </cell>
          <cell r="J26" t="str">
            <v>Kinh</v>
          </cell>
          <cell r="K26" t="str">
            <v>Không</v>
          </cell>
        </row>
        <row r="27">
          <cell r="D27">
            <v>2154027124</v>
          </cell>
          <cell r="E27" t="str">
            <v>0326094554</v>
          </cell>
          <cell r="F27" t="str">
            <v xml:space="preserve">quynhrom.tb1023@gmail.com </v>
          </cell>
          <cell r="G27" t="str">
            <v>10/10/2003</v>
          </cell>
          <cell r="H27" t="str">
            <v xml:space="preserve">Ninh Thuận </v>
          </cell>
          <cell r="I27" t="str">
            <v xml:space="preserve">Khánh Hòa </v>
          </cell>
          <cell r="J27" t="str">
            <v>Kinh</v>
          </cell>
          <cell r="K27" t="str">
            <v>Không</v>
          </cell>
        </row>
        <row r="28">
          <cell r="D28">
            <v>2154037153</v>
          </cell>
          <cell r="E28" t="str">
            <v>0866161752</v>
          </cell>
          <cell r="F28" t="str">
            <v>dinhhieu311203@gmail.com</v>
          </cell>
          <cell r="G28" t="str">
            <v>31/12/2003</v>
          </cell>
          <cell r="H28" t="str">
            <v>Tây Ninh</v>
          </cell>
          <cell r="I28" t="str">
            <v>Tây Ninh</v>
          </cell>
          <cell r="J28" t="str">
            <v>Kinh</v>
          </cell>
          <cell r="K28" t="str">
            <v>Không</v>
          </cell>
        </row>
        <row r="29">
          <cell r="D29">
            <v>2151067639</v>
          </cell>
          <cell r="E29" t="str">
            <v>0947385944</v>
          </cell>
          <cell r="F29" t="str">
            <v>giangnguyenhoangphuc003@gmail.com</v>
          </cell>
          <cell r="G29" t="str">
            <v>12/05/2003</v>
          </cell>
          <cell r="H29" t="str">
            <v>Bến Tre</v>
          </cell>
          <cell r="I29" t="str">
            <v>Vĩnh Long</v>
          </cell>
          <cell r="J29" t="str">
            <v>Kinh</v>
          </cell>
          <cell r="K29" t="str">
            <v>Không</v>
          </cell>
        </row>
        <row r="30">
          <cell r="D30">
            <v>1851013270</v>
          </cell>
          <cell r="E30" t="str">
            <v>0355225059</v>
          </cell>
          <cell r="F30" t="str">
            <v>npviet10@gmail.com</v>
          </cell>
          <cell r="G30" t="str">
            <v>01/02/2000</v>
          </cell>
          <cell r="H30" t="str">
            <v>Đắk Lắk</v>
          </cell>
          <cell r="I30" t="str">
            <v>Đắk Lắk</v>
          </cell>
          <cell r="J30" t="str">
            <v>Kinh</v>
          </cell>
          <cell r="K30" t="str">
            <v>Không</v>
          </cell>
        </row>
        <row r="31">
          <cell r="D31">
            <v>2151017006</v>
          </cell>
          <cell r="E31" t="str">
            <v>0944526775</v>
          </cell>
          <cell r="F31" t="str">
            <v>phamthithuyduyen19751963@gmail.com</v>
          </cell>
          <cell r="G31" t="str">
            <v>01/06/2003</v>
          </cell>
          <cell r="H31" t="str">
            <v>Bệnh viện Đa Khoa, thành phố Buôn Ma Thuột, tỉnh Đăk Lăk</v>
          </cell>
          <cell r="I31" t="str">
            <v>Đắk Lắk</v>
          </cell>
          <cell r="J31" t="str">
            <v>Kinh</v>
          </cell>
          <cell r="K31" t="str">
            <v>Không</v>
          </cell>
        </row>
        <row r="32">
          <cell r="D32">
            <v>2151017025</v>
          </cell>
          <cell r="E32" t="str">
            <v>0949344749</v>
          </cell>
          <cell r="F32" t="str">
            <v>nguyennhattruong22112003@gmail.com</v>
          </cell>
          <cell r="G32" t="str">
            <v>23/11/2003</v>
          </cell>
          <cell r="H32" t="str">
            <v>Phường Tân Lợi, thành phố Buôn Ma Thuột, tỉnh Đăk Lăk</v>
          </cell>
          <cell r="I32" t="str">
            <v>Đắk Lắk</v>
          </cell>
          <cell r="J32" t="str">
            <v>Kinh</v>
          </cell>
          <cell r="K32" t="str">
            <v>Không</v>
          </cell>
        </row>
        <row r="33">
          <cell r="D33">
            <v>2151017508</v>
          </cell>
          <cell r="E33" t="str">
            <v>0369045046</v>
          </cell>
          <cell r="F33" t="str">
            <v>Luankieu965@gmail.com</v>
          </cell>
          <cell r="G33" t="str">
            <v>18/07/2003</v>
          </cell>
          <cell r="H33" t="str">
            <v>Hoài Trung - Phước Thái - Ninh Phước - Ninh Thuận</v>
          </cell>
          <cell r="I33" t="str">
            <v>Khánh Hoà</v>
          </cell>
          <cell r="J33" t="str">
            <v>Chăm</v>
          </cell>
          <cell r="K33" t="str">
            <v>Bà la môn</v>
          </cell>
        </row>
        <row r="34">
          <cell r="D34">
            <v>2051017011</v>
          </cell>
          <cell r="E34" t="str">
            <v>0973962030</v>
          </cell>
          <cell r="F34" t="str">
            <v>vohuyhoa2689@gmail.com</v>
          </cell>
          <cell r="G34" t="str">
            <v>19/02/2002</v>
          </cell>
          <cell r="H34" t="str">
            <v xml:space="preserve">Thôn Vọng Sơn - Xã Tùng Ảnh - Huyện Đức Thọ - Tỉnh Hà Tĩnh </v>
          </cell>
          <cell r="I34" t="str">
            <v xml:space="preserve">Hà Tĩnh </v>
          </cell>
          <cell r="J34" t="str">
            <v xml:space="preserve">Kinh </v>
          </cell>
          <cell r="K34" t="str">
            <v>Không</v>
          </cell>
        </row>
        <row r="35">
          <cell r="D35">
            <v>2151017000</v>
          </cell>
          <cell r="E35" t="str">
            <v>0915915398</v>
          </cell>
          <cell r="F35" t="str">
            <v>duyanhhb1234567@gmail.com</v>
          </cell>
          <cell r="G35" t="str">
            <v>04/09/2003</v>
          </cell>
          <cell r="H35" t="str">
            <v>Tổ 4, Phường Đồng Tiến, Thành Phố Hoà Bình, Tỉnh Hoà Bình</v>
          </cell>
          <cell r="I35" t="str">
            <v xml:space="preserve">Phú Thọ </v>
          </cell>
          <cell r="J35" t="str">
            <v>Kinh</v>
          </cell>
          <cell r="K35" t="str">
            <v>Không</v>
          </cell>
        </row>
        <row r="36">
          <cell r="D36">
            <v>2151017008</v>
          </cell>
          <cell r="E36" t="str">
            <v>0962361761</v>
          </cell>
          <cell r="F36" t="str">
            <v>Hieumafia30@gmail.com</v>
          </cell>
          <cell r="G36" t="str">
            <v>30/07/2003</v>
          </cell>
          <cell r="H36" t="str">
            <v>Bình Định</v>
          </cell>
          <cell r="I36" t="str">
            <v>Gia Lai</v>
          </cell>
          <cell r="J36" t="str">
            <v>Kinh</v>
          </cell>
          <cell r="K36" t="str">
            <v>Không</v>
          </cell>
        </row>
        <row r="37">
          <cell r="D37">
            <v>2151017515</v>
          </cell>
          <cell r="E37" t="str">
            <v>0862793815</v>
          </cell>
          <cell r="F37" t="str">
            <v xml:space="preserve">tranbathai0910@gmail.com </v>
          </cell>
          <cell r="G37" t="str">
            <v>09/10/2003</v>
          </cell>
          <cell r="H37" t="str">
            <v xml:space="preserve">Tỉnh Nghệ An </v>
          </cell>
          <cell r="I37" t="str">
            <v xml:space="preserve">Nghệ An </v>
          </cell>
          <cell r="J37" t="str">
            <v xml:space="preserve">Kinh </v>
          </cell>
          <cell r="K37" t="str">
            <v xml:space="preserve">Không </v>
          </cell>
        </row>
        <row r="38">
          <cell r="D38">
            <v>2154037766</v>
          </cell>
          <cell r="E38" t="str">
            <v>0845011406</v>
          </cell>
          <cell r="F38" t="str">
            <v>hieplam1406@gmail.com</v>
          </cell>
          <cell r="G38" t="str">
            <v>14/06/2003</v>
          </cell>
          <cell r="H38" t="str">
            <v xml:space="preserve">Bình Thuận </v>
          </cell>
          <cell r="I38" t="str">
            <v xml:space="preserve">Lâm Đồng </v>
          </cell>
          <cell r="J38" t="str">
            <v>Kinh</v>
          </cell>
          <cell r="K38" t="str">
            <v>Không</v>
          </cell>
        </row>
        <row r="39">
          <cell r="D39">
            <v>2151017531</v>
          </cell>
          <cell r="E39" t="str">
            <v>0587098366</v>
          </cell>
          <cell r="F39" t="str">
            <v>vyphantuong887@gmail.com</v>
          </cell>
          <cell r="G39" t="str">
            <v>28/08/2003</v>
          </cell>
          <cell r="H39" t="str">
            <v>Bình Định</v>
          </cell>
          <cell r="I39" t="str">
            <v>Gia Lai</v>
          </cell>
          <cell r="J39" t="str">
            <v>Kinh</v>
          </cell>
          <cell r="K39" t="str">
            <v>Không</v>
          </cell>
        </row>
        <row r="40">
          <cell r="D40">
            <v>2151017208</v>
          </cell>
          <cell r="E40" t="str">
            <v>0347376878</v>
          </cell>
          <cell r="F40" t="str">
            <v>lephatdat281203@gmail.com</v>
          </cell>
          <cell r="G40" t="str">
            <v>28/12/2003</v>
          </cell>
          <cell r="H40" t="str">
            <v>Hòn Đất, Kiên Giang</v>
          </cell>
          <cell r="I40" t="str">
            <v>An Giang</v>
          </cell>
          <cell r="J40" t="str">
            <v>Kinh</v>
          </cell>
          <cell r="K40" t="str">
            <v>Không</v>
          </cell>
        </row>
        <row r="41">
          <cell r="D41">
            <v>2151017022</v>
          </cell>
          <cell r="E41" t="str">
            <v>0328867841</v>
          </cell>
          <cell r="F41" t="str">
            <v>caothithaosuongvta123@gmail.com</v>
          </cell>
          <cell r="G41" t="str">
            <v>15/12/2003</v>
          </cell>
          <cell r="H41" t="str">
            <v xml:space="preserve">BÌNH ĐỊNH </v>
          </cell>
          <cell r="I41" t="str">
            <v>Gia Lai</v>
          </cell>
          <cell r="J41" t="str">
            <v>KINH</v>
          </cell>
          <cell r="K41" t="str">
            <v>Phật</v>
          </cell>
        </row>
        <row r="42">
          <cell r="D42">
            <v>1951015560</v>
          </cell>
          <cell r="E42" t="str">
            <v>0947029062</v>
          </cell>
          <cell r="F42" t="str">
            <v>phuy4055@gmail.com</v>
          </cell>
          <cell r="G42" t="str">
            <v>21/09/2001</v>
          </cell>
          <cell r="H42" t="str">
            <v>thành phố Phan Thiết, tỉnh Bình Thuận</v>
          </cell>
          <cell r="I42" t="str">
            <v>Lâm Đồng</v>
          </cell>
          <cell r="J42" t="str">
            <v>Kinh</v>
          </cell>
          <cell r="K42" t="str">
            <v>Không</v>
          </cell>
        </row>
        <row r="43">
          <cell r="D43">
            <v>2051067521</v>
          </cell>
          <cell r="E43" t="str">
            <v>0834443679</v>
          </cell>
          <cell r="F43" t="str">
            <v>tranhuyhoang849@gmail.com</v>
          </cell>
          <cell r="G43" t="str">
            <v>28/04/2002</v>
          </cell>
          <cell r="H43" t="str">
            <v>Kon Tum</v>
          </cell>
          <cell r="I43" t="str">
            <v>Quảng Ngãi</v>
          </cell>
          <cell r="J43" t="str">
            <v>Kinh</v>
          </cell>
          <cell r="K43" t="str">
            <v>Không</v>
          </cell>
        </row>
        <row r="44">
          <cell r="D44">
            <v>2051117603</v>
          </cell>
          <cell r="E44" t="str">
            <v>0387935794</v>
          </cell>
          <cell r="F44" t="str">
            <v>Phdang7935@gmail.com</v>
          </cell>
          <cell r="G44" t="str">
            <v>01/01/2002</v>
          </cell>
          <cell r="H44" t="str">
            <v>Ấp Bàu Sầm , xã Bàu Trâm , TP Long Khánh , tỉnh Đồng Nai</v>
          </cell>
          <cell r="I44" t="str">
            <v>Đồng Nai</v>
          </cell>
          <cell r="J44" t="str">
            <v>Kinh</v>
          </cell>
          <cell r="K44" t="str">
            <v>Không</v>
          </cell>
        </row>
        <row r="45">
          <cell r="D45">
            <v>1951015717</v>
          </cell>
          <cell r="E45" t="str">
            <v>0981119267</v>
          </cell>
          <cell r="F45" t="str">
            <v>luulinhuyenul041401@gmail.com</v>
          </cell>
          <cell r="G45" t="str">
            <v>14/08/2000</v>
          </cell>
          <cell r="H45" t="str">
            <v>Yên lac-ninh khang-vĩnh Lộc- thanh hoá</v>
          </cell>
          <cell r="I45" t="str">
            <v>Thanh Hóa</v>
          </cell>
          <cell r="J45" t="str">
            <v>Kinh</v>
          </cell>
          <cell r="K45" t="str">
            <v>Không</v>
          </cell>
        </row>
        <row r="46">
          <cell r="D46">
            <v>1951040205</v>
          </cell>
          <cell r="E46" t="str">
            <v>0397939853</v>
          </cell>
          <cell r="F46" t="str">
            <v>theanhtlu@gmail.com</v>
          </cell>
          <cell r="G46" t="str">
            <v>25/09/2001</v>
          </cell>
          <cell r="H46" t="str">
            <v>Hà Tây</v>
          </cell>
          <cell r="I46" t="str">
            <v>Hà Nội</v>
          </cell>
          <cell r="J46" t="str">
            <v>Kinh</v>
          </cell>
          <cell r="K46" t="str">
            <v>Không</v>
          </cell>
        </row>
        <row r="47">
          <cell r="D47">
            <v>2151047032</v>
          </cell>
          <cell r="E47" t="str">
            <v>0387832980</v>
          </cell>
          <cell r="F47" t="str">
            <v>hohuuhuy123abc@gmail.com</v>
          </cell>
          <cell r="G47" t="str">
            <v>21/12/2003</v>
          </cell>
          <cell r="H47" t="str">
            <v>Bình Định</v>
          </cell>
          <cell r="I47" t="str">
            <v>Gia Lai</v>
          </cell>
          <cell r="J47" t="str">
            <v>Kinh</v>
          </cell>
          <cell r="K47" t="str">
            <v>Không</v>
          </cell>
        </row>
        <row r="48">
          <cell r="D48">
            <v>2151047222</v>
          </cell>
          <cell r="E48" t="str">
            <v>0816366531</v>
          </cell>
          <cell r="F48" t="str">
            <v>manhcuong.pt20199@gmail.com</v>
          </cell>
          <cell r="G48" t="str">
            <v>24/12/2003</v>
          </cell>
          <cell r="H48" t="str">
            <v>Phan Thiết, Bình Thuận</v>
          </cell>
          <cell r="I48" t="str">
            <v>Lâm Đồng</v>
          </cell>
          <cell r="J48" t="str">
            <v>Kinh</v>
          </cell>
          <cell r="K48" t="str">
            <v>Không</v>
          </cell>
        </row>
        <row r="49">
          <cell r="D49">
            <v>1951015150</v>
          </cell>
          <cell r="E49" t="str">
            <v>0973201361</v>
          </cell>
          <cell r="F49" t="str">
            <v>Quyenquyen3146@gmail.com</v>
          </cell>
          <cell r="G49" t="str">
            <v>03/06/2001</v>
          </cell>
          <cell r="H49" t="str">
            <v>Đồng Tháp</v>
          </cell>
          <cell r="I49" t="str">
            <v>Đồng Tháp</v>
          </cell>
          <cell r="J49" t="str">
            <v>Kinh</v>
          </cell>
          <cell r="K49" t="str">
            <v>Không</v>
          </cell>
        </row>
        <row r="50">
          <cell r="D50">
            <v>2051047095</v>
          </cell>
          <cell r="E50" t="str">
            <v>0961026848</v>
          </cell>
          <cell r="F50" t="str">
            <v>lamtunng02@gmail.com</v>
          </cell>
          <cell r="G50" t="str">
            <v>22/02/2002</v>
          </cell>
          <cell r="H50" t="str">
            <v>Vĩnh Phúc</v>
          </cell>
          <cell r="I50" t="str">
            <v>Phú Thọ</v>
          </cell>
          <cell r="J50" t="str">
            <v>Kinh</v>
          </cell>
          <cell r="K50" t="str">
            <v>Không</v>
          </cell>
        </row>
        <row r="51">
          <cell r="D51">
            <v>2051047478</v>
          </cell>
          <cell r="E51" t="str">
            <v>0792621197</v>
          </cell>
          <cell r="F51" t="str">
            <v>truongquocthinh151102@gmail.com</v>
          </cell>
          <cell r="G51" t="str">
            <v>15/11/2002</v>
          </cell>
          <cell r="H51" t="str">
            <v>TP Hồ Chí Minh</v>
          </cell>
          <cell r="I51" t="str">
            <v>Thành phố Hồ Chí Minh</v>
          </cell>
          <cell r="J51" t="str">
            <v>kinh</v>
          </cell>
          <cell r="K51" t="str">
            <v>Không</v>
          </cell>
        </row>
        <row r="52">
          <cell r="D52">
            <v>2051047481</v>
          </cell>
          <cell r="E52" t="str">
            <v>0562532524</v>
          </cell>
          <cell r="F52" t="str">
            <v>nguyendangkhoa218062@gmail.com</v>
          </cell>
          <cell r="G52" t="str">
            <v>16/04/2002</v>
          </cell>
          <cell r="H52" t="str">
            <v>Kiên Giang</v>
          </cell>
          <cell r="I52" t="str">
            <v>An Giang</v>
          </cell>
          <cell r="J52" t="str">
            <v>kinh</v>
          </cell>
          <cell r="K52" t="str">
            <v>Không</v>
          </cell>
        </row>
        <row r="53">
          <cell r="D53">
            <v>2151047532</v>
          </cell>
          <cell r="E53" t="str">
            <v>0843073529</v>
          </cell>
          <cell r="F53" t="str">
            <v>lamthituanh0219@gmail.com</v>
          </cell>
          <cell r="G53" t="str">
            <v>02/12/2003</v>
          </cell>
          <cell r="H53" t="str">
            <v>Bạc Liêu</v>
          </cell>
          <cell r="I53" t="str">
            <v>Cà Mau</v>
          </cell>
          <cell r="J53" t="str">
            <v>kinh</v>
          </cell>
          <cell r="K53" t="str">
            <v>Không</v>
          </cell>
        </row>
        <row r="54">
          <cell r="D54">
            <v>2151047031</v>
          </cell>
          <cell r="E54" t="str">
            <v>0862203077</v>
          </cell>
          <cell r="F54" t="str">
            <v>viethunggialai133@gmail.com</v>
          </cell>
          <cell r="G54" t="str">
            <v>16/10/2003</v>
          </cell>
          <cell r="H54" t="str">
            <v>Thành Phố Pleiku, Tỉnh Gia Lai</v>
          </cell>
          <cell r="I54" t="str">
            <v>Gia Lai</v>
          </cell>
          <cell r="J54" t="str">
            <v>Kinh</v>
          </cell>
          <cell r="K54" t="str">
            <v>Không</v>
          </cell>
        </row>
        <row r="55">
          <cell r="D55">
            <v>1951045651</v>
          </cell>
          <cell r="E55" t="str">
            <v>0935953306</v>
          </cell>
          <cell r="F55" t="str">
            <v>taihoanghuunguyen@gmail.com</v>
          </cell>
          <cell r="G55" t="str">
            <v>06/01/1997</v>
          </cell>
          <cell r="H55" t="str">
            <v>Số 2 Phạm Tu, phường Vĩnh Hải, thành phố Nha Trang, tỉnh Khánh Hoà</v>
          </cell>
          <cell r="I55" t="str">
            <v>Khánh Hoà</v>
          </cell>
          <cell r="J55" t="str">
            <v>Kinh</v>
          </cell>
          <cell r="K55" t="str">
            <v>Không</v>
          </cell>
        </row>
        <row r="56">
          <cell r="D56">
            <v>1851043176</v>
          </cell>
          <cell r="E56" t="str">
            <v>0372262732</v>
          </cell>
          <cell r="F56" t="str">
            <v>nguyencaoluong281200@gmail.con</v>
          </cell>
          <cell r="G56" t="str">
            <v>28/12/2000</v>
          </cell>
          <cell r="H56" t="str">
            <v xml:space="preserve">Tỉnh Thái Bình </v>
          </cell>
          <cell r="I56" t="str">
            <v>Hưng Yên</v>
          </cell>
          <cell r="J56" t="str">
            <v>Kinh</v>
          </cell>
          <cell r="K56" t="str">
            <v>Không</v>
          </cell>
        </row>
        <row r="57">
          <cell r="D57">
            <v>2151017212</v>
          </cell>
          <cell r="E57" t="str">
            <v>0981665010</v>
          </cell>
          <cell r="F57" t="str">
            <v>nguyentrungkiennnnnnn@gmail.com</v>
          </cell>
          <cell r="G57" t="str">
            <v>06/03/2003</v>
          </cell>
          <cell r="H57" t="str">
            <v>Cà Mau</v>
          </cell>
          <cell r="I57" t="str">
            <v>Cà Mau</v>
          </cell>
          <cell r="J57" t="str">
            <v>Kinh</v>
          </cell>
          <cell r="K57" t="str">
            <v>Không</v>
          </cell>
        </row>
        <row r="58">
          <cell r="D58">
            <v>2151047227</v>
          </cell>
          <cell r="E58" t="str">
            <v>0964560935</v>
          </cell>
          <cell r="F58" t="str">
            <v>nguyenduchuy6122003@gmail.com</v>
          </cell>
          <cell r="G58" t="str">
            <v>06/12/2003</v>
          </cell>
          <cell r="H58" t="str">
            <v xml:space="preserve">Bình Dương </v>
          </cell>
          <cell r="I58" t="str">
            <v xml:space="preserve">Thành phố Hồ Chí Minh </v>
          </cell>
          <cell r="J58" t="str">
            <v>Kinh</v>
          </cell>
          <cell r="K58" t="str">
            <v xml:space="preserve">Không </v>
          </cell>
        </row>
        <row r="59">
          <cell r="D59">
            <v>2151047537</v>
          </cell>
          <cell r="E59" t="str">
            <v>0855059056</v>
          </cell>
          <cell r="F59" t="str">
            <v>dungbmt2104@gmail.com</v>
          </cell>
          <cell r="G59" t="str">
            <v>21/04/2003</v>
          </cell>
          <cell r="H59" t="str">
            <v>Tỉnh Đắk Lắk thành phố Buôn Ma Thuột</v>
          </cell>
          <cell r="I59" t="str">
            <v xml:space="preserve">Đắk Lắk </v>
          </cell>
          <cell r="J59" t="str">
            <v>Kinh</v>
          </cell>
          <cell r="K59" t="str">
            <v>Phật</v>
          </cell>
        </row>
        <row r="60">
          <cell r="D60">
            <v>2151047533</v>
          </cell>
          <cell r="E60" t="str">
            <v>0358474161</v>
          </cell>
          <cell r="F60" t="str">
            <v>nguyennamanhvanson@gmail.com</v>
          </cell>
          <cell r="G60" t="str">
            <v>13/11/2003</v>
          </cell>
          <cell r="H60" t="str">
            <v>vân sơn triệu sơn thanh hoá</v>
          </cell>
          <cell r="I60" t="str">
            <v>Thanh Hóa</v>
          </cell>
          <cell r="J60" t="str">
            <v>kinh</v>
          </cell>
          <cell r="K60" t="str">
            <v>Không</v>
          </cell>
        </row>
        <row r="61">
          <cell r="D61">
            <v>2151047574</v>
          </cell>
          <cell r="E61" t="str">
            <v>0333856160</v>
          </cell>
          <cell r="F61" t="str">
            <v>tvy1209.03@gmail.com</v>
          </cell>
          <cell r="G61" t="str">
            <v>12/09/2003</v>
          </cell>
          <cell r="H61" t="str">
            <v>Cần Thơ</v>
          </cell>
          <cell r="I61" t="str">
            <v>Cần Thơ</v>
          </cell>
          <cell r="J61" t="str">
            <v>Kinh</v>
          </cell>
          <cell r="K61" t="str">
            <v>Công giáo</v>
          </cell>
        </row>
        <row r="62">
          <cell r="D62">
            <v>2151047560</v>
          </cell>
          <cell r="E62" t="str">
            <v>0824657988</v>
          </cell>
          <cell r="F62" t="str">
            <v>huusonngo11@gmail.com</v>
          </cell>
          <cell r="G62" t="str">
            <v>30/10/2003</v>
          </cell>
          <cell r="H62" t="str">
            <v>Huyện Buôn Đôn, tỉnh Đăk Lăk</v>
          </cell>
          <cell r="I62" t="str">
            <v xml:space="preserve">Đắk Lắk </v>
          </cell>
          <cell r="J62" t="str">
            <v>Kinh</v>
          </cell>
          <cell r="K62" t="str">
            <v>Không</v>
          </cell>
        </row>
        <row r="63">
          <cell r="D63">
            <v>2154077183</v>
          </cell>
          <cell r="E63" t="str">
            <v>0849537889</v>
          </cell>
          <cell r="F63" t="str">
            <v>nghia12cb1@gmail.com</v>
          </cell>
          <cell r="G63" t="str">
            <v>10/09/2003</v>
          </cell>
          <cell r="H63" t="str">
            <v>Kiên Giang</v>
          </cell>
          <cell r="I63" t="str">
            <v>An Giang</v>
          </cell>
          <cell r="J63" t="str">
            <v>Kinh</v>
          </cell>
          <cell r="K63" t="str">
            <v xml:space="preserve">Không </v>
          </cell>
        </row>
        <row r="64">
          <cell r="D64">
            <v>2151047549</v>
          </cell>
          <cell r="E64" t="str">
            <v>0944450418</v>
          </cell>
          <cell r="F64" t="str">
            <v>quangkien12345678900@gmail.com</v>
          </cell>
          <cell r="G64" t="str">
            <v>09/12/2003</v>
          </cell>
          <cell r="H64" t="str">
            <v xml:space="preserve"> Kinh Hòn, Khánh Bình Tây, Trần Văn Thời, Cà Mau</v>
          </cell>
          <cell r="I64" t="str">
            <v>Cà Mau</v>
          </cell>
          <cell r="J64" t="str">
            <v>Kinh</v>
          </cell>
          <cell r="K64" t="str">
            <v>không</v>
          </cell>
        </row>
        <row r="65">
          <cell r="D65">
            <v>2151047368</v>
          </cell>
          <cell r="E65" t="str">
            <v>0984649004</v>
          </cell>
          <cell r="F65" t="str">
            <v>huynguyen.120603@gmail.com</v>
          </cell>
          <cell r="G65" t="str">
            <v>12/06/2003</v>
          </cell>
          <cell r="H65" t="str">
            <v>Gia Lai</v>
          </cell>
          <cell r="I65" t="str">
            <v>Gia Lai</v>
          </cell>
          <cell r="J65" t="str">
            <v>Kinh</v>
          </cell>
          <cell r="K65" t="str">
            <v>Không</v>
          </cell>
        </row>
        <row r="66">
          <cell r="D66">
            <v>2151047044</v>
          </cell>
          <cell r="E66" t="str">
            <v>0399199530</v>
          </cell>
          <cell r="F66" t="str">
            <v>nguyenduyphuong16032003@gmail.com</v>
          </cell>
          <cell r="G66" t="str">
            <v>16/03/2003</v>
          </cell>
          <cell r="H66" t="str">
            <v>Khu dân cư số 15, Tổ dân phố 3, Thị trấn Mộ Đức, huyện Mộ Đức, tỉnh Quảng Ngãi</v>
          </cell>
          <cell r="I66" t="str">
            <v>Quảng Ngãi</v>
          </cell>
          <cell r="J66" t="str">
            <v>Kinh</v>
          </cell>
          <cell r="K66" t="str">
            <v>Không</v>
          </cell>
        </row>
        <row r="67">
          <cell r="D67">
            <v>2154077881</v>
          </cell>
          <cell r="E67" t="str">
            <v>0393622243</v>
          </cell>
          <cell r="F67" t="str">
            <v>Huynhminhdong123@gmail.com</v>
          </cell>
          <cell r="G67" t="str">
            <v>20/01/2003</v>
          </cell>
          <cell r="H67" t="str">
            <v>Hải hậu , Nam Định</v>
          </cell>
          <cell r="I67" t="str">
            <v>Ninh bình</v>
          </cell>
          <cell r="J67" t="str">
            <v>Kinh</v>
          </cell>
          <cell r="K67" t="str">
            <v>Không</v>
          </cell>
        </row>
        <row r="68">
          <cell r="D68">
            <v>2151017509</v>
          </cell>
          <cell r="E68" t="str">
            <v>0909792431</v>
          </cell>
          <cell r="F68" t="str">
            <v>nguyenquangminh14102003@gmail.com</v>
          </cell>
          <cell r="G68" t="str">
            <v>14/10/2003</v>
          </cell>
          <cell r="H68" t="str">
            <v>Thành phố Hồ Chí Minh</v>
          </cell>
          <cell r="I68" t="str">
            <v>Thành phố Hồ Chí Minh</v>
          </cell>
          <cell r="J68" t="str">
            <v>Kinh</v>
          </cell>
          <cell r="K68" t="str">
            <v>Phật</v>
          </cell>
        </row>
        <row r="69">
          <cell r="D69">
            <v>2151047559</v>
          </cell>
          <cell r="E69" t="str">
            <v>0812898601</v>
          </cell>
          <cell r="F69" t="str">
            <v>caovanquoc8601@gmail.com</v>
          </cell>
          <cell r="G69" t="str">
            <v>13/02/2003</v>
          </cell>
          <cell r="H69" t="str">
            <v>Cát Văn Thanh Chương Nghệ An</v>
          </cell>
          <cell r="I69" t="str">
            <v>Nghệ An</v>
          </cell>
          <cell r="J69" t="str">
            <v>kinh</v>
          </cell>
          <cell r="K69" t="str">
            <v>Không</v>
          </cell>
        </row>
        <row r="70">
          <cell r="D70">
            <v>2151047225</v>
          </cell>
          <cell r="E70" t="str">
            <v>0325904155</v>
          </cell>
          <cell r="F70" t="str">
            <v>ledach451@gmail.com</v>
          </cell>
          <cell r="G70" t="str">
            <v>24/01/2003</v>
          </cell>
          <cell r="H70" t="str">
            <v>ĐỒNG NAI</v>
          </cell>
          <cell r="I70" t="str">
            <v>Đồng Nai</v>
          </cell>
          <cell r="J70" t="str">
            <v>KINH</v>
          </cell>
          <cell r="K70" t="str">
            <v>Không</v>
          </cell>
        </row>
        <row r="71">
          <cell r="D71">
            <v>2051047092</v>
          </cell>
          <cell r="E71" t="str">
            <v>0987972119</v>
          </cell>
          <cell r="F71" t="str">
            <v>vanhuy070101@gmail.com</v>
          </cell>
          <cell r="G71" t="str">
            <v>07/01/2001</v>
          </cell>
          <cell r="H71" t="str">
            <v xml:space="preserve">Thôn Thượng An 3, xã Song An, Tx A Khê, tỉnh Gia Lai </v>
          </cell>
          <cell r="I71" t="str">
            <v>Gia Lai</v>
          </cell>
          <cell r="J71" t="str">
            <v xml:space="preserve">Kinh </v>
          </cell>
          <cell r="K71" t="str">
            <v xml:space="preserve">Không </v>
          </cell>
        </row>
        <row r="72">
          <cell r="D72">
            <v>1951015231</v>
          </cell>
          <cell r="E72" t="str">
            <v>0359093468</v>
          </cell>
          <cell r="F72" t="str">
            <v>dinhtaitradoai@gmail.com</v>
          </cell>
          <cell r="G72" t="str">
            <v>01/12/2001</v>
          </cell>
          <cell r="H72" t="str">
            <v>Xã Quang Trung huyện Kiến Xương tỉnh Thái Bình</v>
          </cell>
          <cell r="I72" t="str">
            <v>Hưng Yên</v>
          </cell>
          <cell r="J72" t="str">
            <v>Kinh</v>
          </cell>
          <cell r="K72" t="str">
            <v>Không</v>
          </cell>
        </row>
        <row r="73">
          <cell r="D73">
            <v>1851042736</v>
          </cell>
          <cell r="E73" t="str">
            <v>0966904916</v>
          </cell>
          <cell r="F73" t="str">
            <v>Phamhoangngoclong1409@gmail.c</v>
          </cell>
          <cell r="G73" t="str">
            <v>14/09/2025</v>
          </cell>
          <cell r="H73" t="str">
            <v>Lâm đồng</v>
          </cell>
          <cell r="I73" t="str">
            <v>Lâm Đồng</v>
          </cell>
          <cell r="J73" t="str">
            <v>Kinh</v>
          </cell>
          <cell r="K73" t="str">
            <v>Không</v>
          </cell>
        </row>
        <row r="74">
          <cell r="D74">
            <v>2151047554</v>
          </cell>
          <cell r="E74" t="str">
            <v>0398425935</v>
          </cell>
          <cell r="F74" t="str">
            <v>nhando.10032003@gmail.com</v>
          </cell>
          <cell r="G74" t="str">
            <v>10/03/2003</v>
          </cell>
          <cell r="H74" t="str">
            <v>Vân Tường, Bình Hòa, Tây Sơn, Bình Định</v>
          </cell>
          <cell r="I74" t="str">
            <v>Gia Lai</v>
          </cell>
          <cell r="J74" t="str">
            <v>Kinh</v>
          </cell>
          <cell r="K74" t="str">
            <v>Không</v>
          </cell>
        </row>
        <row r="75">
          <cell r="D75">
            <v>2151047543</v>
          </cell>
          <cell r="E75" t="str">
            <v>0353157723</v>
          </cell>
          <cell r="F75" t="str">
            <v>hoang942k3@gmail.com</v>
          </cell>
          <cell r="G75" t="str">
            <v>09/04/2003</v>
          </cell>
          <cell r="H75" t="str">
            <v>112 Trường Chinh, Phường Nhơn Hưng, Thị xã An Nhơn, Tỉnh Bình Định</v>
          </cell>
          <cell r="I75" t="str">
            <v>Gia Lai</v>
          </cell>
          <cell r="J75" t="str">
            <v>Kinh</v>
          </cell>
          <cell r="K75" t="str">
            <v>Không</v>
          </cell>
        </row>
        <row r="76">
          <cell r="D76">
            <v>2151047040</v>
          </cell>
          <cell r="E76" t="str">
            <v>0867445222</v>
          </cell>
          <cell r="F76" t="str">
            <v>minh.hpm209@gmail.com</v>
          </cell>
          <cell r="G76" t="str">
            <v>20/09/2003</v>
          </cell>
          <cell r="H76" t="str">
            <v xml:space="preserve">Thành Phố Hồ Chí Minh </v>
          </cell>
          <cell r="I76" t="str">
            <v>Thành phố Hồ Chí Minh</v>
          </cell>
          <cell r="J76" t="str">
            <v xml:space="preserve">Kinh </v>
          </cell>
          <cell r="K76" t="str">
            <v>Phật</v>
          </cell>
        </row>
        <row r="77">
          <cell r="D77">
            <v>2151047045</v>
          </cell>
          <cell r="E77" t="str">
            <v>0325383106</v>
          </cell>
          <cell r="F77" t="str">
            <v>sepduong123456789@gmail.com</v>
          </cell>
          <cell r="G77" t="str">
            <v>11/02/2003</v>
          </cell>
          <cell r="H77" t="str">
            <v>tỉnh Trà Vinh</v>
          </cell>
          <cell r="I77" t="str">
            <v>Vĩnh long</v>
          </cell>
          <cell r="J77" t="str">
            <v>kinh</v>
          </cell>
          <cell r="K77" t="str">
            <v>Không</v>
          </cell>
        </row>
        <row r="78">
          <cell r="D78">
            <v>2151047567</v>
          </cell>
          <cell r="E78" t="str">
            <v>0984265743</v>
          </cell>
          <cell r="F78" t="str">
            <v>nnnguyenngocminhtien@gmail.com</v>
          </cell>
          <cell r="G78" t="str">
            <v>24/03/2003</v>
          </cell>
          <cell r="H78" t="str">
            <v>Bình Phước</v>
          </cell>
          <cell r="I78" t="str">
            <v>Đồng Nai</v>
          </cell>
          <cell r="J78" t="str">
            <v>Kinh</v>
          </cell>
          <cell r="K78" t="str">
            <v>Công giáo</v>
          </cell>
        </row>
        <row r="79">
          <cell r="D79">
            <v>2154027271</v>
          </cell>
          <cell r="E79" t="str">
            <v>0966933407</v>
          </cell>
          <cell r="F79" t="str">
            <v>nghitnt2002@gmail.com</v>
          </cell>
          <cell r="G79" t="str">
            <v>11/06/2003</v>
          </cell>
          <cell r="H79" t="str">
            <v xml:space="preserve">Khu phố 1 phường Phú Thạnh TP Tuy Hòa tỉnh Phú Yên </v>
          </cell>
          <cell r="I79" t="str">
            <v xml:space="preserve">Đắk Lắk </v>
          </cell>
          <cell r="J79" t="str">
            <v>Kinh</v>
          </cell>
          <cell r="K79" t="str">
            <v xml:space="preserve">Không </v>
          </cell>
        </row>
        <row r="80">
          <cell r="D80">
            <v>2154077316</v>
          </cell>
          <cell r="E80" t="str">
            <v>0965120006</v>
          </cell>
          <cell r="F80" t="str">
            <v>truongkhavy363@gmail.com</v>
          </cell>
          <cell r="G80" t="str">
            <v>30/06/2003</v>
          </cell>
          <cell r="H80" t="str">
            <v>Bệnh viện an nhơn</v>
          </cell>
          <cell r="I80" t="str">
            <v>Gia Lai</v>
          </cell>
          <cell r="J80" t="str">
            <v>Kinh</v>
          </cell>
          <cell r="K80" t="str">
            <v>Không</v>
          </cell>
        </row>
        <row r="81">
          <cell r="D81">
            <v>2151067585</v>
          </cell>
          <cell r="E81" t="str">
            <v>0975259312</v>
          </cell>
          <cell r="F81" t="str">
            <v>thoaillbebcakenddev@gmail.com</v>
          </cell>
          <cell r="G81" t="str">
            <v>11/05/2003</v>
          </cell>
          <cell r="H81" t="str">
            <v>Bình Định</v>
          </cell>
          <cell r="I81" t="str">
            <v>Gia Lai</v>
          </cell>
          <cell r="J81" t="str">
            <v>Kinh</v>
          </cell>
          <cell r="K81" t="str">
            <v>không</v>
          </cell>
        </row>
        <row r="82">
          <cell r="D82">
            <v>2151017525</v>
          </cell>
          <cell r="E82" t="str">
            <v>0345351612</v>
          </cell>
          <cell r="F82" t="str">
            <v>Truongngocnguyen0000@gmail.com</v>
          </cell>
          <cell r="G82" t="str">
            <v>28/12/2003</v>
          </cell>
          <cell r="H82" t="str">
            <v xml:space="preserve">Thôn phú hưng xã hàm mỹ huyện hàm thuận nam tỉnh bình thuận </v>
          </cell>
          <cell r="I82" t="str">
            <v>Lâm Đồng</v>
          </cell>
          <cell r="J82" t="str">
            <v xml:space="preserve">Kinh </v>
          </cell>
          <cell r="K82" t="str">
            <v>Không</v>
          </cell>
        </row>
        <row r="83">
          <cell r="D83">
            <v>2154027278</v>
          </cell>
          <cell r="E83" t="str">
            <v>0915494203</v>
          </cell>
          <cell r="F83" t="str">
            <v>hyphongcao825@gmail.com</v>
          </cell>
          <cell r="G83" t="str">
            <v>27/05/2003</v>
          </cell>
          <cell r="H83" t="str">
            <v>Thành phố Hồ Chí Minh</v>
          </cell>
          <cell r="I83" t="str">
            <v>Thành phố Hồ Chí Minh</v>
          </cell>
          <cell r="J83" t="str">
            <v>Hoa</v>
          </cell>
          <cell r="K83" t="str">
            <v>Không</v>
          </cell>
        </row>
        <row r="84">
          <cell r="D84">
            <v>2154027279</v>
          </cell>
          <cell r="E84" t="str">
            <v>0365827587</v>
          </cell>
          <cell r="F84" t="str">
            <v>lehoangphong12h2nh2021@gmail.com</v>
          </cell>
          <cell r="G84" t="str">
            <v>22/02/2003</v>
          </cell>
          <cell r="H84" t="str">
            <v>BÀ RỊA - VŨNG TÀU</v>
          </cell>
          <cell r="I84" t="str">
            <v>Thành phố Hồ Chí Minh</v>
          </cell>
          <cell r="J84" t="str">
            <v>Kinh</v>
          </cell>
          <cell r="K84" t="str">
            <v>Không</v>
          </cell>
        </row>
        <row r="85">
          <cell r="D85">
            <v>2154037756</v>
          </cell>
          <cell r="E85" t="str">
            <v>0868940957</v>
          </cell>
          <cell r="F85" t="str">
            <v>myduyen270423@gmail.com</v>
          </cell>
          <cell r="G85" t="str">
            <v>27/04/2003</v>
          </cell>
          <cell r="H85" t="str">
            <v>Thành phố Hồ Chí Minh</v>
          </cell>
          <cell r="I85" t="str">
            <v>Thành phố Hồ Chí Minh</v>
          </cell>
          <cell r="J85" t="str">
            <v>Kinh</v>
          </cell>
          <cell r="K85" t="str">
            <v>Phật</v>
          </cell>
        </row>
        <row r="86">
          <cell r="D86">
            <v>2151047540</v>
          </cell>
          <cell r="E86" t="str">
            <v>0379563625</v>
          </cell>
          <cell r="F86" t="str">
            <v>hanhkhuyen098@gmail.com</v>
          </cell>
          <cell r="G86" t="str">
            <v>18/08/2003</v>
          </cell>
          <cell r="H86" t="str">
            <v>Đồng Tháp</v>
          </cell>
          <cell r="I86" t="str">
            <v>Đồng Tháp</v>
          </cell>
          <cell r="J86" t="str">
            <v>Kinh</v>
          </cell>
          <cell r="K86" t="str">
            <v>Không</v>
          </cell>
        </row>
        <row r="87">
          <cell r="D87">
            <v>2154027653</v>
          </cell>
          <cell r="E87" t="str">
            <v>0964546590</v>
          </cell>
          <cell r="F87" t="str">
            <v>Hachau3290@gmail.com</v>
          </cell>
          <cell r="G87" t="str">
            <v>23/09/2003</v>
          </cell>
          <cell r="H87" t="str">
            <v>Tp Hà Nội</v>
          </cell>
          <cell r="I87" t="str">
            <v>Hà Nội</v>
          </cell>
          <cell r="J87" t="str">
            <v>Kinh</v>
          </cell>
          <cell r="K87" t="str">
            <v>Không</v>
          </cell>
        </row>
        <row r="88">
          <cell r="D88">
            <v>2151067646</v>
          </cell>
          <cell r="E88" t="str">
            <v>0347465122</v>
          </cell>
          <cell r="F88" t="str">
            <v>leminhduc2k3.hcm@gmail.com</v>
          </cell>
          <cell r="G88" t="str">
            <v>12/11/2003</v>
          </cell>
          <cell r="H88" t="str">
            <v>TPHCM</v>
          </cell>
          <cell r="I88" t="str">
            <v>Thành phố Hồ Chí Minh</v>
          </cell>
          <cell r="J88" t="str">
            <v>Kinh</v>
          </cell>
          <cell r="K88" t="str">
            <v>Thiên Chúa</v>
          </cell>
        </row>
        <row r="89">
          <cell r="D89">
            <v>2151017019</v>
          </cell>
          <cell r="E89" t="str">
            <v>0565730647</v>
          </cell>
          <cell r="F89" t="str">
            <v>votonhu311@gmail.com</v>
          </cell>
          <cell r="G89" t="str">
            <v>24/06/2003</v>
          </cell>
          <cell r="H89" t="str">
            <v>Đất Đỏ BR-VT</v>
          </cell>
          <cell r="I89" t="str">
            <v>Thành phố Hồ Chí Minh</v>
          </cell>
          <cell r="J89" t="str">
            <v>Kinh</v>
          </cell>
          <cell r="K89" t="str">
            <v>Không</v>
          </cell>
        </row>
        <row r="90">
          <cell r="D90">
            <v>2154037772</v>
          </cell>
          <cell r="E90" t="str">
            <v>0983024876</v>
          </cell>
          <cell r="F90" t="str">
            <v>buinga0305@gmail.com</v>
          </cell>
          <cell r="G90" t="str">
            <v>02/06/2003</v>
          </cell>
          <cell r="H90" t="str">
            <v>Bà rịa vũng tàu</v>
          </cell>
          <cell r="I90" t="str">
            <v>Thành phố Hồ Chí Minh</v>
          </cell>
          <cell r="J90" t="str">
            <v>Kinh</v>
          </cell>
          <cell r="K90" t="str">
            <v xml:space="preserve">Không </v>
          </cell>
        </row>
        <row r="91">
          <cell r="D91">
            <v>2154037794</v>
          </cell>
          <cell r="E91" t="str">
            <v>0947122496</v>
          </cell>
          <cell r="F91" t="str">
            <v>thunguyen0264@gmail.com</v>
          </cell>
          <cell r="G91" t="str">
            <v>02/02/2003</v>
          </cell>
          <cell r="H91" t="str">
            <v>Thành phố Hồ Chí Minh</v>
          </cell>
          <cell r="I91" t="str">
            <v>Thành phố Hồ Chí Minh</v>
          </cell>
          <cell r="J91" t="str">
            <v>Kinh</v>
          </cell>
          <cell r="K91" t="str">
            <v>Không</v>
          </cell>
        </row>
        <row r="92">
          <cell r="D92">
            <v>2154037773</v>
          </cell>
          <cell r="E92" t="str">
            <v>0329224407</v>
          </cell>
          <cell r="F92" t="str">
            <v>ngan81330@gmail.com</v>
          </cell>
          <cell r="G92" t="str">
            <v>26/08/2003</v>
          </cell>
          <cell r="H92" t="str">
            <v>Quảng Ngãi</v>
          </cell>
          <cell r="I92" t="str">
            <v>Quảng Ngãi</v>
          </cell>
          <cell r="J92" t="str">
            <v>Kinh</v>
          </cell>
          <cell r="K92" t="str">
            <v>không</v>
          </cell>
        </row>
        <row r="93">
          <cell r="D93">
            <v>2154027262</v>
          </cell>
          <cell r="E93" t="str">
            <v>0988472385</v>
          </cell>
          <cell r="F93" t="str">
            <v>nguyenthilan633040402@gmail.com</v>
          </cell>
          <cell r="G93" t="str">
            <v>04/04/2002</v>
          </cell>
          <cell r="H93" t="str">
            <v>Bắc Giang</v>
          </cell>
          <cell r="I93" t="str">
            <v>Bắc Ninh</v>
          </cell>
          <cell r="J93" t="str">
            <v>Kinh</v>
          </cell>
          <cell r="K93" t="str">
            <v>Không</v>
          </cell>
        </row>
        <row r="94">
          <cell r="D94">
            <v>2154027131</v>
          </cell>
          <cell r="E94" t="str">
            <v>0333694520</v>
          </cell>
          <cell r="F94" t="str">
            <v>hhoaithuong00@gmail.com</v>
          </cell>
          <cell r="G94" t="str">
            <v>19/02/2003</v>
          </cell>
          <cell r="H94" t="str">
            <v>Đắk Lắk</v>
          </cell>
          <cell r="I94" t="str">
            <v>Đắk Lắk</v>
          </cell>
          <cell r="J94" t="str">
            <v>Tày</v>
          </cell>
          <cell r="K94" t="str">
            <v>Không</v>
          </cell>
        </row>
        <row r="95">
          <cell r="D95">
            <v>2154027702</v>
          </cell>
          <cell r="E95" t="str">
            <v>0369143382</v>
          </cell>
          <cell r="F95" t="str">
            <v>trungson150423@gmail.com</v>
          </cell>
          <cell r="G95" t="str">
            <v>15/04/2003</v>
          </cell>
          <cell r="H95" t="str">
            <v>Bình Thuận</v>
          </cell>
          <cell r="I95" t="str">
            <v>Lâm Đồng</v>
          </cell>
          <cell r="J95" t="str">
            <v>Kinh</v>
          </cell>
          <cell r="K95" t="str">
            <v>Không</v>
          </cell>
        </row>
        <row r="96">
          <cell r="D96">
            <v>2154027747</v>
          </cell>
          <cell r="E96" t="str">
            <v>0867011025</v>
          </cell>
          <cell r="F96" t="str">
            <v>nguyentuyet552002@gmail.com</v>
          </cell>
          <cell r="G96" t="str">
            <v>05/05/2002</v>
          </cell>
          <cell r="H96" t="str">
            <v xml:space="preserve">Đắk lắk </v>
          </cell>
          <cell r="I96" t="str">
            <v>Đắk Lắk</v>
          </cell>
          <cell r="J96" t="str">
            <v>Kinh</v>
          </cell>
          <cell r="K96" t="str">
            <v xml:space="preserve">Không </v>
          </cell>
        </row>
        <row r="97">
          <cell r="D97">
            <v>2154027714</v>
          </cell>
          <cell r="E97" t="str">
            <v>0369407321</v>
          </cell>
          <cell r="F97" t="str">
            <v>dungtran77dz@gmail.com</v>
          </cell>
          <cell r="G97" t="str">
            <v>07/07/2003</v>
          </cell>
          <cell r="H97" t="str">
            <v>thành phố tây ninh</v>
          </cell>
          <cell r="I97" t="str">
            <v>Tây Ninh</v>
          </cell>
          <cell r="J97" t="str">
            <v>Kinh</v>
          </cell>
          <cell r="K97" t="str">
            <v>Phật</v>
          </cell>
        </row>
        <row r="98">
          <cell r="D98">
            <v>2154025061</v>
          </cell>
          <cell r="E98" t="str">
            <v>0779274671</v>
          </cell>
          <cell r="F98" t="str">
            <v>nguyenplinh22@gmail.com</v>
          </cell>
          <cell r="G98" t="str">
            <v>22/03/2002</v>
          </cell>
          <cell r="H98" t="str">
            <v>Nam Định</v>
          </cell>
          <cell r="I98" t="str">
            <v>Ninh Bình</v>
          </cell>
          <cell r="J98" t="str">
            <v>Kinh</v>
          </cell>
          <cell r="K98" t="str">
            <v>Không</v>
          </cell>
        </row>
        <row r="99">
          <cell r="D99">
            <v>2031070259</v>
          </cell>
          <cell r="E99" t="str">
            <v>0932685989</v>
          </cell>
          <cell r="F99" t="str">
            <v>nltoan89@gmail.com</v>
          </cell>
          <cell r="G99" t="str">
            <v>13/03/1989</v>
          </cell>
          <cell r="H99" t="str">
            <v>TP.HCM</v>
          </cell>
          <cell r="I99" t="str">
            <v>Thành phố Hồ Chí Minh</v>
          </cell>
          <cell r="J99" t="str">
            <v>Kinh</v>
          </cell>
          <cell r="K99" t="str">
            <v>Không</v>
          </cell>
        </row>
        <row r="100">
          <cell r="D100">
            <v>2154027725</v>
          </cell>
          <cell r="E100" t="str">
            <v>0935513062</v>
          </cell>
          <cell r="F100" t="str">
            <v>ltham5646@gmail.com</v>
          </cell>
          <cell r="G100" t="str">
            <v>17/02/2003</v>
          </cell>
          <cell r="H100" t="str">
            <v>B8/20 ấp 2a, Vĩnh Lộc B, Bình Chánh , Tp. Hồ Chí Minh</v>
          </cell>
          <cell r="I100" t="str">
            <v>Thành phố Hồ Chí Minh</v>
          </cell>
          <cell r="J100" t="str">
            <v>Kinh</v>
          </cell>
          <cell r="K100" t="str">
            <v>Không</v>
          </cell>
        </row>
        <row r="101">
          <cell r="D101">
            <v>2051027048</v>
          </cell>
          <cell r="E101" t="str">
            <v>0969574843</v>
          </cell>
          <cell r="F101" t="str">
            <v>binhsubale@gmail.com</v>
          </cell>
          <cell r="G101" t="str">
            <v>01/10/2002</v>
          </cell>
          <cell r="H101" t="str">
            <v>Đồng Nai</v>
          </cell>
          <cell r="I101" t="str">
            <v>Đồng Nai</v>
          </cell>
          <cell r="J101" t="str">
            <v>Kinh</v>
          </cell>
          <cell r="K101" t="str">
            <v>Không</v>
          </cell>
        </row>
        <row r="102">
          <cell r="D102">
            <v>2151017342</v>
          </cell>
          <cell r="E102" t="str">
            <v>0903910921</v>
          </cell>
          <cell r="F102" t="str">
            <v>phungmyngoc0202@gmail.com</v>
          </cell>
          <cell r="G102" t="str">
            <v>02/02/2003</v>
          </cell>
          <cell r="H102" t="str">
            <v>Thành phố Hồ Chí Minh</v>
          </cell>
          <cell r="I102" t="str">
            <v>Thành phố Hồ Chí Minh</v>
          </cell>
          <cell r="J102" t="str">
            <v>Hoa</v>
          </cell>
          <cell r="K102" t="str">
            <v>Không</v>
          </cell>
        </row>
        <row r="103">
          <cell r="D103">
            <v>2151017343</v>
          </cell>
          <cell r="E103" t="str">
            <v>0768736171</v>
          </cell>
          <cell r="F103" t="str">
            <v>ngochoaidung3008@gmail.com</v>
          </cell>
          <cell r="G103" t="str">
            <v>30/08/2003</v>
          </cell>
          <cell r="H103" t="str">
            <v>TP Hồ Chí Minh</v>
          </cell>
          <cell r="I103" t="str">
            <v>Thành phố Hồ Chí Minh</v>
          </cell>
          <cell r="J103" t="str">
            <v>Kinh</v>
          </cell>
          <cell r="K103" t="str">
            <v>Phật</v>
          </cell>
        </row>
        <row r="104">
          <cell r="D104">
            <v>2151017502</v>
          </cell>
          <cell r="E104" t="str">
            <v>0396144830</v>
          </cell>
          <cell r="F104" t="str">
            <v>gn946095@gmail.com</v>
          </cell>
          <cell r="G104" t="str">
            <v>15/04/2003</v>
          </cell>
          <cell r="H104" t="str">
            <v>Bình Định</v>
          </cell>
          <cell r="I104" t="str">
            <v>Gia Lai</v>
          </cell>
          <cell r="J104" t="str">
            <v>Kinh</v>
          </cell>
          <cell r="K104" t="str">
            <v>Không</v>
          </cell>
        </row>
        <row r="105">
          <cell r="D105">
            <v>2154077824</v>
          </cell>
          <cell r="E105" t="str">
            <v>0707995872</v>
          </cell>
          <cell r="F105" t="str">
            <v>thongtran20310@gmail.com</v>
          </cell>
          <cell r="G105" t="str">
            <v>13/10/2003</v>
          </cell>
          <cell r="H105" t="str">
            <v>TPHCM</v>
          </cell>
          <cell r="I105" t="str">
            <v>Thành phố Hồ Chí Minh</v>
          </cell>
          <cell r="J105" t="str">
            <v>Kinh</v>
          </cell>
          <cell r="K105" t="str">
            <v>Không</v>
          </cell>
        </row>
        <row r="106">
          <cell r="D106">
            <v>2154077172</v>
          </cell>
          <cell r="E106" t="str">
            <v>0347323365</v>
          </cell>
          <cell r="F106" t="str">
            <v>duonganh1843@gmail.com</v>
          </cell>
          <cell r="G106" t="str">
            <v>18/04/2003</v>
          </cell>
          <cell r="H106" t="str">
            <v>Long An</v>
          </cell>
          <cell r="I106" t="str">
            <v>Tây Ninh</v>
          </cell>
          <cell r="J106" t="str">
            <v>Kinh</v>
          </cell>
          <cell r="K106" t="str">
            <v>Không</v>
          </cell>
        </row>
        <row r="107">
          <cell r="D107">
            <v>2154077857</v>
          </cell>
          <cell r="E107" t="str">
            <v>0866680429</v>
          </cell>
          <cell r="F107" t="str">
            <v>helloyen2002@gmail.com</v>
          </cell>
          <cell r="G107" t="str">
            <v>25/03/2002</v>
          </cell>
          <cell r="H107" t="str">
            <v>Bình Phước</v>
          </cell>
          <cell r="I107" t="str">
            <v xml:space="preserve">Đồng Nai </v>
          </cell>
          <cell r="J107" t="str">
            <v xml:space="preserve">kinh </v>
          </cell>
          <cell r="K107" t="str">
            <v xml:space="preserve">Tin Lành </v>
          </cell>
        </row>
        <row r="108">
          <cell r="D108">
            <v>2154077878</v>
          </cell>
          <cell r="E108" t="str">
            <v>0988513657</v>
          </cell>
          <cell r="F108" t="str">
            <v>vanlinhnguyen29102003@gmail.com</v>
          </cell>
          <cell r="G108" t="str">
            <v>29/10/2003</v>
          </cell>
          <cell r="H108" t="str">
            <v xml:space="preserve"> Xã Mỹ Quang, huyện Phù Mỹ, tỉnh Bình Định</v>
          </cell>
          <cell r="I108" t="str">
            <v>Gia Lai</v>
          </cell>
          <cell r="J108" t="str">
            <v>Kinh</v>
          </cell>
          <cell r="K108" t="str">
            <v>Không</v>
          </cell>
        </row>
        <row r="109">
          <cell r="D109">
            <v>2154077387</v>
          </cell>
          <cell r="E109" t="str">
            <v>0824442161</v>
          </cell>
          <cell r="F109" t="str">
            <v>thanhngan20030205@gmail.com</v>
          </cell>
          <cell r="G109" t="str">
            <v>05/02/2003</v>
          </cell>
          <cell r="H109" t="str">
            <v>KON TUM</v>
          </cell>
          <cell r="I109" t="str">
            <v>Quãng Ngãi</v>
          </cell>
          <cell r="J109" t="str">
            <v>KINH</v>
          </cell>
          <cell r="K109" t="str">
            <v>Không</v>
          </cell>
        </row>
        <row r="110">
          <cell r="D110">
            <v>2154077848</v>
          </cell>
          <cell r="E110" t="str">
            <v>0346943703</v>
          </cell>
          <cell r="F110" t="str">
            <v xml:space="preserve">Nguyetanh79031808@gmail.com </v>
          </cell>
          <cell r="G110" t="str">
            <v>07/09/2003</v>
          </cell>
          <cell r="H110" t="str">
            <v xml:space="preserve">Đồng Nai </v>
          </cell>
          <cell r="I110" t="str">
            <v xml:space="preserve">Đồng Nai </v>
          </cell>
          <cell r="J110" t="str">
            <v>Kinh</v>
          </cell>
          <cell r="K110" t="str">
            <v>Không</v>
          </cell>
        </row>
        <row r="111">
          <cell r="D111">
            <v>2051027473</v>
          </cell>
          <cell r="E111" t="str">
            <v>0377997828</v>
          </cell>
          <cell r="F111" t="str">
            <v>Rmahyennt@gmail.com</v>
          </cell>
          <cell r="G111" t="str">
            <v>24/02/2002</v>
          </cell>
          <cell r="H111" t="str">
            <v>Thôn Marin 3, xã iamrơn, huyện iapa, Tỉnh Gia lai</v>
          </cell>
          <cell r="I111" t="str">
            <v>Gia Lai</v>
          </cell>
          <cell r="J111" t="str">
            <v>Giarai</v>
          </cell>
          <cell r="K111" t="str">
            <v xml:space="preserve">Tin Lành </v>
          </cell>
        </row>
        <row r="112">
          <cell r="D112">
            <v>2154077309</v>
          </cell>
          <cell r="E112" t="str">
            <v>0387119712</v>
          </cell>
          <cell r="F112" t="str">
            <v>phuong27092003@gmail.com</v>
          </cell>
          <cell r="G112" t="str">
            <v>27/09/2003</v>
          </cell>
          <cell r="H112" t="str">
            <v>Ninh Bình</v>
          </cell>
          <cell r="I112" t="str">
            <v>Ninh Bình</v>
          </cell>
          <cell r="J112" t="str">
            <v>kinh</v>
          </cell>
          <cell r="K112" t="str">
            <v>Không</v>
          </cell>
        </row>
        <row r="113">
          <cell r="D113">
            <v>2154077889</v>
          </cell>
          <cell r="E113" t="str">
            <v>0931755465</v>
          </cell>
          <cell r="F113" t="str">
            <v>teocon247@gmail.com</v>
          </cell>
          <cell r="G113" t="str">
            <v>10/10/2003</v>
          </cell>
          <cell r="H113" t="str">
            <v>TP HCM</v>
          </cell>
          <cell r="I113" t="str">
            <v>Thành phố Hồ Chí Minh</v>
          </cell>
          <cell r="J113" t="str">
            <v>Kinh</v>
          </cell>
          <cell r="K113" t="str">
            <v>Không</v>
          </cell>
        </row>
        <row r="114">
          <cell r="D114">
            <v>2154027263</v>
          </cell>
          <cell r="E114" t="str">
            <v>0839518990</v>
          </cell>
          <cell r="F114" t="str">
            <v>Nguyenkieulien2003@gmail.com</v>
          </cell>
          <cell r="G114" t="str">
            <v>20/12/2025</v>
          </cell>
          <cell r="H114" t="str">
            <v>Phú Yên</v>
          </cell>
          <cell r="I114" t="str">
            <v>Đắk Lắk</v>
          </cell>
          <cell r="J114" t="str">
            <v>Kinh</v>
          </cell>
          <cell r="K114" t="str">
            <v>Không</v>
          </cell>
        </row>
        <row r="115">
          <cell r="D115">
            <v>2154077895</v>
          </cell>
          <cell r="E115" t="str">
            <v>0376615508</v>
          </cell>
          <cell r="F115" t="str">
            <v>nguyencongtin308lduan@gmail.com</v>
          </cell>
          <cell r="G115" t="str">
            <v>23/01/2003</v>
          </cell>
          <cell r="H115" t="str">
            <v>kv. Chánh thạnh tx. An nhơn p. Nhơn hưng T. Bình định</v>
          </cell>
          <cell r="I115" t="str">
            <v>Gia Lai</v>
          </cell>
          <cell r="J115" t="str">
            <v>Kinh</v>
          </cell>
          <cell r="K115" t="str">
            <v>Không</v>
          </cell>
        </row>
        <row r="116">
          <cell r="D116">
            <v>2154037301</v>
          </cell>
          <cell r="E116" t="str">
            <v>0964581112</v>
          </cell>
          <cell r="F116" t="str">
            <v>baonhiss71@gmail.com</v>
          </cell>
          <cell r="G116" t="str">
            <v>13/12/2003</v>
          </cell>
          <cell r="H116" t="str">
            <v>Thị trấn Thường Thới Tiền, huyện Hồng Ngự, tỉnh Đồng Tháp</v>
          </cell>
          <cell r="I116" t="str">
            <v>Đồng Tháp</v>
          </cell>
          <cell r="J116" t="str">
            <v>Kinh</v>
          </cell>
          <cell r="K116" t="str">
            <v>Phật</v>
          </cell>
        </row>
        <row r="117">
          <cell r="D117">
            <v>2151017356</v>
          </cell>
          <cell r="E117" t="str">
            <v>0934351151</v>
          </cell>
          <cell r="F117" t="str">
            <v>hothanhnhan160601@gmail.com</v>
          </cell>
          <cell r="G117" t="str">
            <v>16/06/2001</v>
          </cell>
          <cell r="H117" t="str">
            <v>An Giang</v>
          </cell>
          <cell r="I117" t="str">
            <v>An Giang</v>
          </cell>
          <cell r="J117" t="str">
            <v>Kinh</v>
          </cell>
          <cell r="K117" t="str">
            <v>Không</v>
          </cell>
        </row>
        <row r="118">
          <cell r="D118">
            <v>2154077204</v>
          </cell>
          <cell r="E118" t="str">
            <v>0365621217</v>
          </cell>
          <cell r="F118" t="str">
            <v>dvinh510@gmail.com</v>
          </cell>
          <cell r="G118" t="str">
            <v>23/12/2003</v>
          </cell>
          <cell r="H118" t="str">
            <v xml:space="preserve">Mỹ cang, phước sơn, tuy phước, bình định </v>
          </cell>
          <cell r="I118" t="str">
            <v>Bình Định</v>
          </cell>
          <cell r="J118" t="str">
            <v>Kinh</v>
          </cell>
          <cell r="K118" t="str">
            <v xml:space="preserve">Không </v>
          </cell>
        </row>
        <row r="119">
          <cell r="D119">
            <v>2154077313</v>
          </cell>
          <cell r="E119" t="str">
            <v>0939477987</v>
          </cell>
          <cell r="F119" t="str">
            <v>vutrithanhh@gmail.com</v>
          </cell>
          <cell r="G119" t="str">
            <v>01/07/2003</v>
          </cell>
          <cell r="H119" t="str">
            <v>Tp.HCM</v>
          </cell>
          <cell r="I119" t="str">
            <v>Thành phố Hồ Chí Minh</v>
          </cell>
          <cell r="J119" t="str">
            <v>Kinh</v>
          </cell>
          <cell r="K119" t="str">
            <v>Không</v>
          </cell>
        </row>
        <row r="120">
          <cell r="D120">
            <v>2154077855</v>
          </cell>
          <cell r="E120" t="str">
            <v>0834388376</v>
          </cell>
          <cell r="F120" t="str">
            <v>quando0310@gmail.com</v>
          </cell>
          <cell r="G120" t="str">
            <v>03/10/2003</v>
          </cell>
          <cell r="H120" t="str">
            <v>Thành phố Hồ Chí Minh</v>
          </cell>
          <cell r="I120" t="str">
            <v>Thành phố Hồ Chí Minh</v>
          </cell>
          <cell r="J120" t="str">
            <v>Hoa</v>
          </cell>
          <cell r="K120" t="str">
            <v>Không</v>
          </cell>
        </row>
        <row r="121">
          <cell r="D121">
            <v>2154077893</v>
          </cell>
          <cell r="E121" t="str">
            <v>0387076907</v>
          </cell>
          <cell r="F121" t="str">
            <v>tranthithuthao03012003@gmail.com</v>
          </cell>
          <cell r="G121" t="str">
            <v>03/01/2003</v>
          </cell>
          <cell r="H121" t="str">
            <v>Bình Định</v>
          </cell>
          <cell r="I121" t="str">
            <v>Gia Lai</v>
          </cell>
          <cell r="J121" t="str">
            <v>Kinh</v>
          </cell>
          <cell r="K121" t="str">
            <v>Không</v>
          </cell>
        </row>
        <row r="122">
          <cell r="D122">
            <v>2154027692</v>
          </cell>
          <cell r="E122" t="str">
            <v>0932732578</v>
          </cell>
          <cell r="F122" t="str">
            <v>hoduyanh312@gmail.com</v>
          </cell>
          <cell r="G122" t="str">
            <v>20/01/2003</v>
          </cell>
          <cell r="H122" t="str">
            <v>TP. HỒ CHÍ MINN</v>
          </cell>
          <cell r="I122" t="str">
            <v>Thành phố Hồ Chí Minh</v>
          </cell>
          <cell r="J122" t="str">
            <v>Kinh</v>
          </cell>
          <cell r="K122" t="str">
            <v>Không</v>
          </cell>
        </row>
        <row r="123">
          <cell r="D123">
            <v>2154077386</v>
          </cell>
          <cell r="E123" t="str">
            <v>0858363092</v>
          </cell>
          <cell r="F123" t="str">
            <v>pm221203@gmail.com</v>
          </cell>
          <cell r="G123" t="str">
            <v>22/12/2025</v>
          </cell>
          <cell r="H123" t="str">
            <v>Đak Lak</v>
          </cell>
          <cell r="I123" t="str">
            <v>Đắk Lắk</v>
          </cell>
          <cell r="J123" t="str">
            <v>Kinh</v>
          </cell>
          <cell r="K123" t="str">
            <v>Không</v>
          </cell>
        </row>
        <row r="124">
          <cell r="D124">
            <v>2154077856</v>
          </cell>
          <cell r="E124" t="str">
            <v>0379425350</v>
          </cell>
          <cell r="F124" t="str">
            <v>nganbt1602@gmail.com</v>
          </cell>
          <cell r="G124" t="str">
            <v>16/02/2003</v>
          </cell>
          <cell r="H124" t="str">
            <v>tỉnh Bến Tre</v>
          </cell>
          <cell r="I124" t="str">
            <v>Vĩnh Long</v>
          </cell>
          <cell r="J124" t="str">
            <v>Kinh</v>
          </cell>
          <cell r="K124" t="str">
            <v>Không</v>
          </cell>
        </row>
        <row r="125">
          <cell r="D125">
            <v>2154027672</v>
          </cell>
          <cell r="E125" t="str">
            <v>0966493492</v>
          </cell>
          <cell r="F125" t="str">
            <v>doanblink107@gmail.com</v>
          </cell>
          <cell r="G125" t="str">
            <v>28/11/2003</v>
          </cell>
          <cell r="H125" t="str">
            <v>Tây Ninh</v>
          </cell>
          <cell r="I125" t="str">
            <v>Tây Ninh</v>
          </cell>
          <cell r="J125" t="str">
            <v>Kinh</v>
          </cell>
          <cell r="K125" t="str">
            <v>Không</v>
          </cell>
        </row>
        <row r="126">
          <cell r="D126">
            <v>2151017520</v>
          </cell>
          <cell r="E126" t="str">
            <v>0901920510</v>
          </cell>
          <cell r="F126" t="str">
            <v>toannguyenquoc47@gmail.com</v>
          </cell>
          <cell r="G126" t="str">
            <v>20/08/2003</v>
          </cell>
          <cell r="H126" t="str">
            <v>Gia Lai</v>
          </cell>
          <cell r="I126" t="str">
            <v>Gia Lai</v>
          </cell>
          <cell r="J126" t="str">
            <v>Kinh</v>
          </cell>
          <cell r="K126" t="str">
            <v>Không</v>
          </cell>
        </row>
        <row r="127">
          <cell r="D127">
            <v>1851022689</v>
          </cell>
          <cell r="E127" t="str">
            <v>0339490292</v>
          </cell>
          <cell r="F127" t="str">
            <v>duonghaiduy2401@gmail.com</v>
          </cell>
          <cell r="G127" t="str">
            <v>24/01/2000</v>
          </cell>
          <cell r="H127" t="str">
            <v xml:space="preserve">Đồng kho tánh linh bình thuận </v>
          </cell>
          <cell r="I127" t="str">
            <v>Lâm Đồng</v>
          </cell>
          <cell r="J127" t="str">
            <v xml:space="preserve">kinh </v>
          </cell>
          <cell r="K127" t="str">
            <v>Không</v>
          </cell>
        </row>
        <row r="128">
          <cell r="D128">
            <v>2051027046</v>
          </cell>
          <cell r="E128" t="str">
            <v>0779959672</v>
          </cell>
          <cell r="F128" t="str">
            <v>Nguyendaithuyan2002@gmail.com</v>
          </cell>
          <cell r="G128" t="str">
            <v>30/08/2002</v>
          </cell>
          <cell r="H128" t="str">
            <v>Tp. Hồ Chí Minh</v>
          </cell>
          <cell r="I128" t="str">
            <v>Thành phố Hồ Chí Minh</v>
          </cell>
          <cell r="J128" t="str">
            <v>Kinh</v>
          </cell>
          <cell r="K128" t="str">
            <v>Không</v>
          </cell>
        </row>
        <row r="129">
          <cell r="D129">
            <v>2154027668</v>
          </cell>
          <cell r="E129" t="str">
            <v>0364810142</v>
          </cell>
          <cell r="F129" t="str">
            <v>Chauman142@gmail.com</v>
          </cell>
          <cell r="G129" t="str">
            <v>12/10/2003</v>
          </cell>
          <cell r="H129" t="str">
            <v xml:space="preserve">Bến Tre </v>
          </cell>
          <cell r="I129" t="str">
            <v xml:space="preserve">Vĩnh Long </v>
          </cell>
          <cell r="J129" t="str">
            <v>Kinh</v>
          </cell>
          <cell r="K129" t="str">
            <v xml:space="preserve">Không </v>
          </cell>
        </row>
        <row r="130">
          <cell r="D130">
            <v>2051137294</v>
          </cell>
          <cell r="E130" t="str">
            <v>0964359626</v>
          </cell>
          <cell r="F130" t="str">
            <v>nguyenvanlinh3663@gmail.com</v>
          </cell>
          <cell r="G130" t="str">
            <v>16/10/2001</v>
          </cell>
          <cell r="H130" t="str">
            <v>Ấp Hoà Đức, Xã Hoà Tú 1, Huyện Mỹ Xuyên, Tỉnh Sóc Trăng</v>
          </cell>
          <cell r="I130" t="str">
            <v>Cần Thơ</v>
          </cell>
          <cell r="J130" t="str">
            <v>Kinh</v>
          </cell>
          <cell r="K130" t="str">
            <v>Không</v>
          </cell>
        </row>
        <row r="131">
          <cell r="D131">
            <v>2154077312</v>
          </cell>
          <cell r="E131" t="str">
            <v>0937247747</v>
          </cell>
          <cell r="F131" t="str">
            <v>thanh.nguyen10102003@gmail.com</v>
          </cell>
          <cell r="G131" t="str">
            <v>10/10/2003</v>
          </cell>
          <cell r="H131" t="str">
            <v>Tp hồ chí minh</v>
          </cell>
          <cell r="I131" t="str">
            <v>Thành phố Hồ Chí Minh</v>
          </cell>
          <cell r="J131" t="str">
            <v>Kinh</v>
          </cell>
          <cell r="K131" t="str">
            <v>Không</v>
          </cell>
        </row>
        <row r="132">
          <cell r="D132">
            <v>2154077854</v>
          </cell>
          <cell r="E132" t="str">
            <v>0384964003</v>
          </cell>
          <cell r="F132" t="str">
            <v>Nhungchu642@gmail.com</v>
          </cell>
          <cell r="G132" t="str">
            <v>04/01/2003</v>
          </cell>
          <cell r="H132" t="str">
            <v>Kon Tum</v>
          </cell>
          <cell r="I132" t="str">
            <v>Quảng Ngãi</v>
          </cell>
          <cell r="J132" t="str">
            <v>Kinh</v>
          </cell>
          <cell r="K132" t="str">
            <v>Không</v>
          </cell>
        </row>
        <row r="133">
          <cell r="D133">
            <v>2154077823</v>
          </cell>
          <cell r="E133" t="str">
            <v>0363153417</v>
          </cell>
          <cell r="F133" t="str">
            <v xml:space="preserve">hieulepye@gmail.com </v>
          </cell>
          <cell r="G133" t="str">
            <v>17/11/2003</v>
          </cell>
          <cell r="H133" t="str">
            <v xml:space="preserve">Đắk Lắk </v>
          </cell>
          <cell r="I133" t="str">
            <v>Đắk Lắk</v>
          </cell>
          <cell r="J133" t="str">
            <v>Kinh</v>
          </cell>
          <cell r="K133" t="str">
            <v>Không</v>
          </cell>
        </row>
        <row r="134">
          <cell r="D134">
            <v>2154037764</v>
          </cell>
          <cell r="E134" t="str">
            <v>0937802402</v>
          </cell>
          <cell r="F134" t="str">
            <v>hoanghuyenhan2411@gmail.com</v>
          </cell>
          <cell r="G134" t="str">
            <v>24/11/2003</v>
          </cell>
          <cell r="H134" t="str">
            <v>TP HCM</v>
          </cell>
          <cell r="I134" t="str">
            <v>Thành phố Hồ Chí Minh</v>
          </cell>
          <cell r="J134" t="str">
            <v xml:space="preserve">Kinh </v>
          </cell>
          <cell r="K134" t="str">
            <v>Phật</v>
          </cell>
        </row>
        <row r="135">
          <cell r="D135">
            <v>2154077840</v>
          </cell>
          <cell r="E135" t="str">
            <v>0964764119</v>
          </cell>
          <cell r="F135" t="str">
            <v>phamvodangkhoa2122003@gmail.com</v>
          </cell>
          <cell r="G135" t="str">
            <v>02/12/2003</v>
          </cell>
          <cell r="H135" t="str">
            <v>Bình Dương</v>
          </cell>
          <cell r="I135" t="str">
            <v>Thành phố Hồ Chí Minh</v>
          </cell>
          <cell r="J135" t="str">
            <v>Kinh</v>
          </cell>
          <cell r="K135" t="str">
            <v>Không</v>
          </cell>
        </row>
        <row r="136">
          <cell r="D136">
            <v>2154077862</v>
          </cell>
          <cell r="E136" t="str">
            <v>0833904155</v>
          </cell>
          <cell r="F136" t="str">
            <v>minhthong030303@gmail.com</v>
          </cell>
          <cell r="G136" t="str">
            <v>10/03/2003</v>
          </cell>
          <cell r="H136" t="str">
            <v>TP Vũng Tàu</v>
          </cell>
          <cell r="I136" t="str">
            <v>Thành phố Hồ Chí Minh</v>
          </cell>
          <cell r="J136" t="str">
            <v>Kinh</v>
          </cell>
          <cell r="K136" t="str">
            <v>Không</v>
          </cell>
        </row>
        <row r="137">
          <cell r="D137">
            <v>2051077592</v>
          </cell>
          <cell r="E137" t="str">
            <v>0972834098</v>
          </cell>
          <cell r="F137" t="str">
            <v>hungleq000@gmail.com</v>
          </cell>
          <cell r="G137" t="str">
            <v>16/08/2002</v>
          </cell>
          <cell r="H137" t="str">
            <v>TP. Hồ Chí Minh</v>
          </cell>
          <cell r="I137" t="str">
            <v>Thành phố Hồ Chí Minh</v>
          </cell>
          <cell r="J137" t="str">
            <v>Kinh</v>
          </cell>
          <cell r="K137" t="str">
            <v>Không</v>
          </cell>
        </row>
        <row r="138">
          <cell r="D138">
            <v>2151067077</v>
          </cell>
          <cell r="E138" t="str">
            <v>0386591222</v>
          </cell>
          <cell r="F138" t="str">
            <v>cntt7001@gmail.com</v>
          </cell>
          <cell r="G138" t="str">
            <v>11/09/2003</v>
          </cell>
          <cell r="H138" t="str">
            <v>Huyện Krông Buk tỉnh Đắk Lắk</v>
          </cell>
          <cell r="I138" t="str">
            <v>Đắk Lắk</v>
          </cell>
          <cell r="J138" t="str">
            <v>Kinh</v>
          </cell>
          <cell r="K138" t="str">
            <v>Không</v>
          </cell>
        </row>
        <row r="139">
          <cell r="D139">
            <v>2151067600</v>
          </cell>
          <cell r="E139" t="str">
            <v>0862698054</v>
          </cell>
          <cell r="F139" t="str">
            <v>thaituan01022525@gmail.com</v>
          </cell>
          <cell r="G139" t="str">
            <v>24/08/2003</v>
          </cell>
          <cell r="H139" t="str">
            <v>TP.HCM</v>
          </cell>
          <cell r="I139" t="str">
            <v>Thành phố Hồ Chí Minh</v>
          </cell>
          <cell r="J139" t="str">
            <v>Kinh</v>
          </cell>
          <cell r="K139" t="str">
            <v>Không</v>
          </cell>
        </row>
        <row r="140">
          <cell r="D140">
            <v>2151067371</v>
          </cell>
          <cell r="E140" t="str">
            <v>0392395457</v>
          </cell>
          <cell r="F140" t="str">
            <v>ngotungnghia624@gmail.com</v>
          </cell>
          <cell r="G140" t="str">
            <v>11/11/2003</v>
          </cell>
          <cell r="H140" t="str">
            <v>Phú Yên</v>
          </cell>
          <cell r="I140" t="str">
            <v>Đắk Lắk</v>
          </cell>
          <cell r="J140" t="str">
            <v>Kinh</v>
          </cell>
          <cell r="K140" t="str">
            <v>Không</v>
          </cell>
        </row>
        <row r="141">
          <cell r="D141">
            <v>2151067575</v>
          </cell>
          <cell r="E141" t="str">
            <v>0765944488</v>
          </cell>
          <cell r="F141" t="str">
            <v>nthoc2017.thcsbth@gmail.com</v>
          </cell>
          <cell r="G141" t="str">
            <v>12/10/2003</v>
          </cell>
          <cell r="H141" t="str">
            <v>Đồng Tháp</v>
          </cell>
          <cell r="I141" t="str">
            <v>Đồng Tháp</v>
          </cell>
          <cell r="J141" t="str">
            <v>Kinh</v>
          </cell>
          <cell r="K141" t="str">
            <v>Không</v>
          </cell>
        </row>
        <row r="142">
          <cell r="D142">
            <v>2151017353</v>
          </cell>
          <cell r="E142" t="str">
            <v>0397008869</v>
          </cell>
          <cell r="F142" t="str">
            <v>hieuilbarca@gmail.com</v>
          </cell>
          <cell r="G142" t="str">
            <v>19/12/2002</v>
          </cell>
          <cell r="H142" t="str">
            <v>Lagi, Bình Thuận</v>
          </cell>
          <cell r="I142" t="str">
            <v>Lâm Đồng</v>
          </cell>
          <cell r="J142" t="str">
            <v>Kinh</v>
          </cell>
          <cell r="K142" t="str">
            <v>Phật</v>
          </cell>
        </row>
        <row r="143">
          <cell r="D143">
            <v>1951045142</v>
          </cell>
          <cell r="E143" t="str">
            <v>0338221128</v>
          </cell>
          <cell r="F143" t="str">
            <v>planhkiet304@gmail.com</v>
          </cell>
          <cell r="G143" t="str">
            <v>30/04/2001</v>
          </cell>
          <cell r="H143" t="str">
            <v>Đạ Tẻh, Lâm Đồng</v>
          </cell>
          <cell r="I143" t="str">
            <v>Lâm Đồng</v>
          </cell>
          <cell r="J143" t="str">
            <v>Kinh</v>
          </cell>
          <cell r="K143" t="str">
            <v>Không</v>
          </cell>
        </row>
        <row r="144">
          <cell r="D144">
            <v>2151067635</v>
          </cell>
          <cell r="E144" t="str">
            <v>0944220767</v>
          </cell>
          <cell r="F144" t="str">
            <v>nguyenconghuy1230@gmail.com</v>
          </cell>
          <cell r="G144" t="str">
            <v>27/02/2003</v>
          </cell>
          <cell r="H144" t="str">
            <v>Đăk Nông</v>
          </cell>
          <cell r="I144" t="str">
            <v>Lâm Đồng</v>
          </cell>
          <cell r="J144" t="str">
            <v>Kinh</v>
          </cell>
          <cell r="K144" t="str">
            <v>Không</v>
          </cell>
        </row>
        <row r="145">
          <cell r="D145">
            <v>2151067612</v>
          </cell>
          <cell r="E145" t="str">
            <v>0913713531</v>
          </cell>
          <cell r="F145" t="str">
            <v>chanhungsocola@gmail.com</v>
          </cell>
          <cell r="G145" t="str">
            <v>07/11/2003</v>
          </cell>
          <cell r="H145" t="str">
            <v>Tổ 3 phường Lê Hồng Phong thành phố Quảng Ngãi tỉnh Quảng Ngãi</v>
          </cell>
          <cell r="I145" t="str">
            <v>Quảng Ngãi</v>
          </cell>
          <cell r="J145" t="str">
            <v>Kinh</v>
          </cell>
          <cell r="K145" t="str">
            <v>Không</v>
          </cell>
        </row>
        <row r="146">
          <cell r="D146">
            <v>2051067231</v>
          </cell>
          <cell r="E146" t="str">
            <v>0354137268</v>
          </cell>
          <cell r="F146" t="str">
            <v>quocthaidz@gmail.com</v>
          </cell>
          <cell r="G146" t="str">
            <v>23/12/2002</v>
          </cell>
          <cell r="H146" t="str">
            <v>C12/24 ấp 3 xã Tân Quý Tây, huyện Bình Chánh TPHCM</v>
          </cell>
          <cell r="I146" t="str">
            <v>Thành phố Hồ Chí Minh</v>
          </cell>
          <cell r="J146" t="str">
            <v>Kinh</v>
          </cell>
          <cell r="K146" t="str">
            <v>Không</v>
          </cell>
        </row>
        <row r="147">
          <cell r="D147">
            <v>2051047109</v>
          </cell>
          <cell r="E147" t="str">
            <v>0916135433</v>
          </cell>
          <cell r="F147" t="str">
            <v>phongphu232323@gmail.com</v>
          </cell>
          <cell r="G147" t="str">
            <v>10/12/2002</v>
          </cell>
          <cell r="H147" t="str">
            <v>Hồ chí minh</v>
          </cell>
          <cell r="I147" t="str">
            <v>Thành phố Hồ Chí Minh</v>
          </cell>
          <cell r="J147" t="str">
            <v xml:space="preserve">kinh </v>
          </cell>
          <cell r="K147" t="str">
            <v>không</v>
          </cell>
        </row>
        <row r="148">
          <cell r="D148">
            <v>2151067587</v>
          </cell>
          <cell r="E148" t="str">
            <v>0359908697</v>
          </cell>
          <cell r="F148" t="str">
            <v>haisonnguyen28112003@gmail.com</v>
          </cell>
          <cell r="G148" t="str">
            <v>28/11/2003</v>
          </cell>
          <cell r="H148" t="str">
            <v xml:space="preserve">Thành phố Hồ Chí Minh </v>
          </cell>
          <cell r="I148" t="str">
            <v>Thành phố Hồ Chí Minh</v>
          </cell>
          <cell r="J148" t="str">
            <v>Kinh</v>
          </cell>
          <cell r="K148" t="str">
            <v xml:space="preserve">Không </v>
          </cell>
        </row>
        <row r="149">
          <cell r="D149">
            <v>2151067645</v>
          </cell>
          <cell r="E149" t="str">
            <v>0819631138</v>
          </cell>
          <cell r="F149" t="str">
            <v>ducphuhang@gmail.com</v>
          </cell>
          <cell r="G149" t="str">
            <v>07/08/2003</v>
          </cell>
          <cell r="H149" t="str">
            <v xml:space="preserve">Thành phố Hồ Chí Minh </v>
          </cell>
          <cell r="I149" t="str">
            <v>Thành phố Hồ Chí Minh</v>
          </cell>
          <cell r="J149" t="str">
            <v>Kinh</v>
          </cell>
          <cell r="K149" t="str">
            <v>Không</v>
          </cell>
        </row>
        <row r="150">
          <cell r="D150">
            <v>2051067538</v>
          </cell>
          <cell r="E150" t="str">
            <v>0906784393</v>
          </cell>
          <cell r="F150" t="str">
            <v>phuocdang0620@gmail.com</v>
          </cell>
          <cell r="G150" t="str">
            <v>20/06/2002</v>
          </cell>
          <cell r="H150" t="str">
            <v>TPHCM</v>
          </cell>
          <cell r="I150" t="str">
            <v>Thành phố Hồ Chí Minh</v>
          </cell>
          <cell r="J150" t="str">
            <v>Kinh</v>
          </cell>
          <cell r="K150" t="str">
            <v>Thiên Chúa</v>
          </cell>
        </row>
        <row r="151">
          <cell r="D151">
            <v>2051067522</v>
          </cell>
          <cell r="E151" t="str">
            <v>0799095467</v>
          </cell>
          <cell r="F151" t="str">
            <v>Nbao22122002@gmail.com</v>
          </cell>
          <cell r="G151" t="str">
            <v>22/12/2002</v>
          </cell>
          <cell r="H151" t="str">
            <v>Phù cát, bình định</v>
          </cell>
          <cell r="I151" t="str">
            <v>Gia Lai</v>
          </cell>
          <cell r="J151" t="str">
            <v>Kinh</v>
          </cell>
          <cell r="K151" t="str">
            <v>Không</v>
          </cell>
        </row>
        <row r="152">
          <cell r="D152">
            <v>1854033064</v>
          </cell>
          <cell r="E152" t="str">
            <v>0327228038</v>
          </cell>
          <cell r="F152" t="str">
            <v>5thehuan@gmail.com</v>
          </cell>
          <cell r="G152" t="str">
            <v>26/10/2000</v>
          </cell>
          <cell r="H152" t="str">
            <v>Nghệ An</v>
          </cell>
          <cell r="I152" t="str">
            <v>Nghệ An</v>
          </cell>
          <cell r="J152" t="str">
            <v>Kinh</v>
          </cell>
          <cell r="K152" t="str">
            <v>Không</v>
          </cell>
        </row>
        <row r="153">
          <cell r="D153">
            <v>2151017344</v>
          </cell>
          <cell r="E153" t="str">
            <v>0333020442</v>
          </cell>
          <cell r="F153" t="str">
            <v>nguyentuananh02012003@gmail.com</v>
          </cell>
          <cell r="G153" t="str">
            <v>02/01/2003</v>
          </cell>
          <cell r="H153" t="str">
            <v xml:space="preserve">Bến Tre </v>
          </cell>
          <cell r="I153" t="str">
            <v xml:space="preserve">Vĩnh Long </v>
          </cell>
          <cell r="J153" t="str">
            <v>Kinh</v>
          </cell>
          <cell r="K153" t="str">
            <v xml:space="preserve">Không </v>
          </cell>
        </row>
        <row r="154">
          <cell r="D154">
            <v>2151017507</v>
          </cell>
          <cell r="E154" t="str">
            <v>0986767964</v>
          </cell>
          <cell r="F154" t="str">
            <v>khoi02115@gmail.com</v>
          </cell>
          <cell r="G154" t="str">
            <v>11/06/2003</v>
          </cell>
          <cell r="H154" t="str">
            <v>Bệnh viện An Phước ,235 Trần Phú, Phường Phú Trinh, TP. Phan Thiết, Tỉnh Bình Thuận</v>
          </cell>
          <cell r="I154" t="str">
            <v>Lâm Đồng</v>
          </cell>
          <cell r="J154" t="str">
            <v>Kinh</v>
          </cell>
          <cell r="K154" t="str">
            <v>không</v>
          </cell>
        </row>
        <row r="155">
          <cell r="D155">
            <v>2151017351</v>
          </cell>
          <cell r="E155" t="str">
            <v>0836885707</v>
          </cell>
          <cell r="F155" t="str">
            <v>t.binhvn1234@gmail.com</v>
          </cell>
          <cell r="G155" t="str">
            <v>27/12/2003</v>
          </cell>
          <cell r="H155" t="str">
            <v>Bệnh viện Sản Nhi, TP Cà Mau</v>
          </cell>
          <cell r="I155" t="str">
            <v>Cà Mau</v>
          </cell>
          <cell r="J155" t="str">
            <v>Kinh</v>
          </cell>
          <cell r="K155" t="str">
            <v>không</v>
          </cell>
        </row>
        <row r="156">
          <cell r="D156">
            <v>2051017456</v>
          </cell>
          <cell r="E156" t="str">
            <v>0352008994</v>
          </cell>
          <cell r="F156" t="str">
            <v xml:space="preserve">phamducnguyen.vts@gmail.com </v>
          </cell>
          <cell r="G156" t="str">
            <v>04/03/2002</v>
          </cell>
          <cell r="H156" t="str">
            <v>Lâm Đồng</v>
          </cell>
          <cell r="I156" t="str">
            <v>Lâm Đồng</v>
          </cell>
          <cell r="J156" t="str">
            <v>Kinh</v>
          </cell>
          <cell r="K156" t="str">
            <v>Không</v>
          </cell>
        </row>
        <row r="157">
          <cell r="D157">
            <v>2051017012</v>
          </cell>
          <cell r="E157" t="str">
            <v>0354340348</v>
          </cell>
          <cell r="F157" t="str">
            <v>phuhung08112k2@gmail.com</v>
          </cell>
          <cell r="G157" t="str">
            <v>08/11/2002</v>
          </cell>
          <cell r="H157" t="str">
            <v>Đồng Nai</v>
          </cell>
          <cell r="I157" t="str">
            <v>Đồng Nai</v>
          </cell>
          <cell r="J157" t="str">
            <v>Kinh</v>
          </cell>
          <cell r="K157" t="str">
            <v>Không</v>
          </cell>
        </row>
        <row r="158">
          <cell r="D158">
            <v>2154077192</v>
          </cell>
          <cell r="E158" t="str">
            <v>0396104344</v>
          </cell>
          <cell r="F158" t="str">
            <v>Ngovanthach234@gmail.com</v>
          </cell>
          <cell r="G158" t="str">
            <v>23/04/2002</v>
          </cell>
          <cell r="H158" t="str">
            <v xml:space="preserve">Thôn Phú Điền, Hàm Phú, Hàm Thuận Bắc, Bình Thuận </v>
          </cell>
          <cell r="I158" t="str">
            <v>Lâm Đồng</v>
          </cell>
          <cell r="J158" t="str">
            <v>Kinh</v>
          </cell>
          <cell r="K158" t="str">
            <v xml:space="preserve">Không </v>
          </cell>
        </row>
        <row r="159">
          <cell r="D159">
            <v>2151017506</v>
          </cell>
          <cell r="E159" t="str">
            <v>0796975293</v>
          </cell>
          <cell r="F159" t="str">
            <v>minhhuy1532@gmail.com</v>
          </cell>
          <cell r="G159" t="str">
            <v>11/03/2003</v>
          </cell>
          <cell r="H159" t="str">
            <v xml:space="preserve">Thành phố Hồ Chí Minh </v>
          </cell>
          <cell r="I159" t="str">
            <v xml:space="preserve">Thành phố Hồ Chí Minh </v>
          </cell>
          <cell r="J159" t="str">
            <v>Kinh</v>
          </cell>
          <cell r="K159" t="str">
            <v xml:space="preserve">Phật </v>
          </cell>
        </row>
        <row r="160">
          <cell r="D160">
            <v>2151017518</v>
          </cell>
          <cell r="E160" t="str">
            <v>0967816044</v>
          </cell>
          <cell r="F160" t="str">
            <v>dangthinh1708@gmail.com</v>
          </cell>
          <cell r="G160" t="str">
            <v>17/08/2003</v>
          </cell>
          <cell r="H160" t="str">
            <v>MỹTho, Tiền Giang</v>
          </cell>
          <cell r="I160" t="str">
            <v>Đồng Tháp</v>
          </cell>
          <cell r="J160" t="str">
            <v>Kinh</v>
          </cell>
          <cell r="K160" t="str">
            <v>Không</v>
          </cell>
        </row>
        <row r="161">
          <cell r="D161">
            <v>2151017513</v>
          </cell>
          <cell r="E161" t="str">
            <v>0868083416</v>
          </cell>
          <cell r="F161" t="str">
            <v>nguyenthiyennhi300503@gmail.com</v>
          </cell>
          <cell r="G161" t="str">
            <v>30/05/2003</v>
          </cell>
          <cell r="H161" t="str">
            <v xml:space="preserve">Bình Thuận </v>
          </cell>
          <cell r="I161" t="str">
            <v xml:space="preserve">Lâm Đồng </v>
          </cell>
          <cell r="J161" t="str">
            <v xml:space="preserve">Kinh </v>
          </cell>
          <cell r="K161" t="str">
            <v>Không</v>
          </cell>
        </row>
        <row r="162">
          <cell r="D162">
            <v>2151047536</v>
          </cell>
          <cell r="E162" t="str">
            <v>0982324710</v>
          </cell>
          <cell r="F162" t="str">
            <v>Lyngoc578@gmail.com</v>
          </cell>
          <cell r="G162" t="str">
            <v>23/04/2003</v>
          </cell>
          <cell r="H162" t="str">
            <v>Lâm Đồng</v>
          </cell>
          <cell r="I162" t="str">
            <v>Lâm Đồng</v>
          </cell>
          <cell r="J162" t="str">
            <v>Kinh</v>
          </cell>
          <cell r="K162" t="str">
            <v>Không</v>
          </cell>
        </row>
        <row r="163">
          <cell r="D163">
            <v>2051067806</v>
          </cell>
          <cell r="E163" t="str">
            <v>0773038872</v>
          </cell>
          <cell r="F163" t="str">
            <v>minhvu19112002@gmail.com</v>
          </cell>
          <cell r="G163" t="str">
            <v>19/11/2002</v>
          </cell>
          <cell r="H163" t="str">
            <v>Thành phố Hồ Chí Minh</v>
          </cell>
          <cell r="I163" t="str">
            <v>Thành phố Hồ Chí Minh</v>
          </cell>
          <cell r="J163" t="str">
            <v>Kinh</v>
          </cell>
          <cell r="K163" t="str">
            <v>Không</v>
          </cell>
        </row>
        <row r="164">
          <cell r="D164">
            <v>2151067053</v>
          </cell>
          <cell r="E164" t="str">
            <v>0765115309</v>
          </cell>
          <cell r="F164" t="str">
            <v>minhanhho8008@gmail.com</v>
          </cell>
          <cell r="G164" t="str">
            <v>20/09/2003</v>
          </cell>
          <cell r="H164" t="str">
            <v>xã Thường Thới Hậu A, huyện Hồng Ngự, tỉnh Đồng Tháp</v>
          </cell>
          <cell r="I164" t="str">
            <v>Đồng Tháp</v>
          </cell>
          <cell r="J164" t="str">
            <v>Kinh</v>
          </cell>
          <cell r="K164" t="str">
            <v>Không</v>
          </cell>
        </row>
        <row r="165">
          <cell r="D165">
            <v>2051017000</v>
          </cell>
          <cell r="E165" t="str">
            <v>0912724571</v>
          </cell>
          <cell r="F165" t="str">
            <v>khanhan02tl@gmail.com</v>
          </cell>
          <cell r="G165" t="str">
            <v>29/09/2002</v>
          </cell>
          <cell r="H165" t="str">
            <v>Hà Nội</v>
          </cell>
          <cell r="I165" t="str">
            <v>Hà Nội</v>
          </cell>
          <cell r="J165" t="str">
            <v>Kinh</v>
          </cell>
          <cell r="K165" t="str">
            <v>Không</v>
          </cell>
        </row>
        <row r="166">
          <cell r="D166">
            <v>2051067571</v>
          </cell>
          <cell r="E166" t="str">
            <v>0777595072</v>
          </cell>
          <cell r="F166" t="str">
            <v>conghautran2k2@gmail.com</v>
          </cell>
          <cell r="G166" t="str">
            <v>15/11/2002</v>
          </cell>
          <cell r="H166" t="str">
            <v>Hòa Vinh, Thị xã Đông Hòa, Tỉnh Phú Yên</v>
          </cell>
          <cell r="I166" t="str">
            <v>Đắk Lắk</v>
          </cell>
          <cell r="J166" t="str">
            <v>Kinh</v>
          </cell>
          <cell r="K166" t="str">
            <v>Không</v>
          </cell>
        </row>
        <row r="167">
          <cell r="D167">
            <v>2151017010</v>
          </cell>
          <cell r="E167" t="str">
            <v>0383478443</v>
          </cell>
          <cell r="F167" t="str">
            <v>hung44926@gmail.com</v>
          </cell>
          <cell r="G167" t="str">
            <v>18/09/2003</v>
          </cell>
          <cell r="H167" t="str">
            <v>Tây Ninh</v>
          </cell>
          <cell r="I167" t="str">
            <v>Tây Ninh</v>
          </cell>
          <cell r="J167" t="str">
            <v>Kinh</v>
          </cell>
          <cell r="K167" t="str">
            <v>Không</v>
          </cell>
        </row>
        <row r="168">
          <cell r="D168">
            <v>2151067051</v>
          </cell>
          <cell r="E168" t="str">
            <v>0332452511</v>
          </cell>
          <cell r="F168" t="str">
            <v>khanhan8887@gmail.com</v>
          </cell>
          <cell r="G168" t="str">
            <v>11/12/2002</v>
          </cell>
          <cell r="H168" t="str">
            <v xml:space="preserve"> tỉnh đồng tháp</v>
          </cell>
          <cell r="I168" t="str">
            <v>Đồng Tháp</v>
          </cell>
          <cell r="J168" t="str">
            <v>Kinh</v>
          </cell>
          <cell r="K168" t="str">
            <v>Không</v>
          </cell>
        </row>
        <row r="169">
          <cell r="D169">
            <v>2154027740</v>
          </cell>
          <cell r="E169">
            <v>906645561</v>
          </cell>
          <cell r="F169" t="str">
            <v xml:space="preserve">vananhhh0711@gmail.com </v>
          </cell>
          <cell r="G169" t="str">
            <v>24/08/2003</v>
          </cell>
          <cell r="H169" t="str">
            <v>177/27/15 Nguyễn Văn Đậu phường 11 quận Bình Thạnh TPHCM</v>
          </cell>
          <cell r="I169" t="str">
            <v>Thành phố Hồ Chí Minh</v>
          </cell>
          <cell r="J169" t="str">
            <v>Kinh</v>
          </cell>
          <cell r="K169" t="str">
            <v>Không</v>
          </cell>
        </row>
        <row r="170">
          <cell r="D170">
            <v>1951045587</v>
          </cell>
          <cell r="E170" t="str">
            <v>0366486165</v>
          </cell>
          <cell r="F170" t="str">
            <v>nhambui008@gmail.com</v>
          </cell>
          <cell r="G170" t="str">
            <v>10/08/2001</v>
          </cell>
          <cell r="H170" t="str">
            <v>Ninh Thuận</v>
          </cell>
          <cell r="I170" t="str">
            <v>Khánh Hòa</v>
          </cell>
          <cell r="J170" t="str">
            <v>Kinh</v>
          </cell>
          <cell r="K170" t="str">
            <v>Không</v>
          </cell>
        </row>
        <row r="171">
          <cell r="D171">
            <v>2154077900</v>
          </cell>
          <cell r="E171" t="str">
            <v>0325621234</v>
          </cell>
          <cell r="F171" t="str">
            <v>tt290103@gmail.com</v>
          </cell>
          <cell r="G171" t="str">
            <v>29/01/2003</v>
          </cell>
          <cell r="H171" t="str">
            <v>Thành phố Hồ Chí Minh</v>
          </cell>
          <cell r="I171" t="str">
            <v>Thành phố Hồ Chí Minh</v>
          </cell>
          <cell r="J171" t="str">
            <v>Kinh</v>
          </cell>
          <cell r="K171" t="str">
            <v>Không</v>
          </cell>
        </row>
        <row r="172">
          <cell r="D172">
            <v>2151067580</v>
          </cell>
          <cell r="E172" t="str">
            <v>0336776023</v>
          </cell>
          <cell r="F172" t="str">
            <v>zubach2112@gmail.com</v>
          </cell>
          <cell r="G172" t="str">
            <v>21/12/2003</v>
          </cell>
          <cell r="H172" t="str">
            <v>Thanh Hóa</v>
          </cell>
          <cell r="I172" t="str">
            <v>Thanh Hóa</v>
          </cell>
          <cell r="J172" t="str">
            <v>Kinh</v>
          </cell>
          <cell r="K172" t="str">
            <v>Không</v>
          </cell>
        </row>
        <row r="173">
          <cell r="D173">
            <v>2154077886</v>
          </cell>
          <cell r="E173" t="str">
            <v>0899930273</v>
          </cell>
          <cell r="F173" t="str">
            <v>nguyenthinhubinh248@gmail.com</v>
          </cell>
          <cell r="G173" t="str">
            <v>20/04/2003</v>
          </cell>
          <cell r="H173" t="str">
            <v xml:space="preserve">Xóm 2 Thuận Hiệp/xa Bình Thuận/Huyen Tây Sơn/Tinh Bình Định </v>
          </cell>
          <cell r="I173" t="str">
            <v>Gia Lai</v>
          </cell>
          <cell r="J173" t="str">
            <v>Kinh</v>
          </cell>
          <cell r="K173" t="str">
            <v>Không</v>
          </cell>
        </row>
        <row r="174">
          <cell r="D174">
            <v>2154027741</v>
          </cell>
          <cell r="E174" t="str">
            <v>0764117758</v>
          </cell>
          <cell r="F174" t="str">
            <v>tranngocbaochau11a406@gmail.com</v>
          </cell>
          <cell r="G174" t="str">
            <v>07/06/2003</v>
          </cell>
          <cell r="H174" t="str">
            <v xml:space="preserve">TP Hồ Chí Minh </v>
          </cell>
          <cell r="I174" t="str">
            <v>Thành phố Hồ Chí Minh</v>
          </cell>
          <cell r="J174" t="str">
            <v>Kinh</v>
          </cell>
          <cell r="K174" t="str">
            <v>Phật</v>
          </cell>
        </row>
        <row r="175">
          <cell r="D175">
            <v>1851132863</v>
          </cell>
          <cell r="E175" t="str">
            <v>0969762117</v>
          </cell>
          <cell r="F175" t="str">
            <v>vbao4743@gmail.com</v>
          </cell>
          <cell r="G175" t="str">
            <v>04/05/2000</v>
          </cell>
          <cell r="H175" t="str">
            <v>Xã Tân Lập Huyện Tân Thạnh Tỉnh Long An</v>
          </cell>
          <cell r="I175" t="str">
            <v>Tây Ninh</v>
          </cell>
          <cell r="J175" t="str">
            <v>Kinh</v>
          </cell>
          <cell r="K175" t="str">
            <v>Không</v>
          </cell>
        </row>
        <row r="176">
          <cell r="D176">
            <v>2151017021</v>
          </cell>
          <cell r="E176" t="str">
            <v>0326180903</v>
          </cell>
          <cell r="F176" t="str">
            <v>nguyenhuuminhquang1@gmail.com</v>
          </cell>
          <cell r="G176" t="str">
            <v>18/09/2003</v>
          </cell>
          <cell r="H176" t="str">
            <v>TPHCM</v>
          </cell>
          <cell r="I176" t="str">
            <v>Thành phố Hồ Chí Minh</v>
          </cell>
          <cell r="J176" t="str">
            <v>Kinh</v>
          </cell>
          <cell r="K176" t="str">
            <v>Không</v>
          </cell>
        </row>
        <row r="177">
          <cell r="D177">
            <v>2051047120</v>
          </cell>
          <cell r="E177" t="str">
            <v>0333045216</v>
          </cell>
          <cell r="F177" t="str">
            <v>ngoducthinh16062002@gmail.com</v>
          </cell>
          <cell r="G177" t="str">
            <v>16/06/2002</v>
          </cell>
          <cell r="H177" t="str">
            <v>Long An</v>
          </cell>
          <cell r="I177" t="str">
            <v>Tây Ninh</v>
          </cell>
          <cell r="J177" t="str">
            <v>Kinh</v>
          </cell>
          <cell r="K177" t="str">
            <v>Không</v>
          </cell>
        </row>
        <row r="178">
          <cell r="D178">
            <v>2154027264</v>
          </cell>
          <cell r="E178" t="str">
            <v>0971185823</v>
          </cell>
          <cell r="F178" t="str">
            <v>duongngoclinhkg2003@gmail.com</v>
          </cell>
          <cell r="G178" t="str">
            <v>29/11/2003</v>
          </cell>
          <cell r="H178" t="str">
            <v xml:space="preserve">Kiên Giang </v>
          </cell>
          <cell r="I178" t="str">
            <v>An Giang</v>
          </cell>
          <cell r="J178" t="str">
            <v xml:space="preserve">Kinh </v>
          </cell>
          <cell r="K178" t="str">
            <v xml:space="preserve">Không </v>
          </cell>
        </row>
        <row r="179">
          <cell r="D179">
            <v>2154027285</v>
          </cell>
          <cell r="E179" t="str">
            <v>0364749902</v>
          </cell>
          <cell r="F179" t="str">
            <v>nguyenthiminhthu13052003@gmail.com</v>
          </cell>
          <cell r="G179" t="str">
            <v>13/05/2003</v>
          </cell>
          <cell r="H179" t="str">
            <v>Trạm y tế Xã Cẩm Sơn, Ấp Nhuận Trạch , Xã Cẩm Sơn, Huyện Mỏ Cày Nam, Tỉnh Bến Tre</v>
          </cell>
          <cell r="I179" t="str">
            <v xml:space="preserve">Vĩnh Long </v>
          </cell>
          <cell r="J179" t="str">
            <v>Kinh</v>
          </cell>
          <cell r="K179" t="str">
            <v>Không</v>
          </cell>
        </row>
        <row r="180">
          <cell r="D180">
            <v>2051067773</v>
          </cell>
          <cell r="E180" t="str">
            <v>0339251038</v>
          </cell>
          <cell r="F180" t="str">
            <v xml:space="preserve">hao181202@gmail.com </v>
          </cell>
          <cell r="G180" t="str">
            <v>18/12/2002</v>
          </cell>
          <cell r="H180" t="str">
            <v xml:space="preserve">Tiền Giang </v>
          </cell>
          <cell r="I180" t="str">
            <v xml:space="preserve">Đồng Tháp </v>
          </cell>
          <cell r="J180" t="str">
            <v>Kinh</v>
          </cell>
          <cell r="K180" t="str">
            <v>Không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01"/>
  <sheetViews>
    <sheetView tabSelected="1" zoomScaleNormal="100" workbookViewId="0">
      <pane xSplit="3" ySplit="3" topLeftCell="I4" activePane="bottomRight" state="frozen"/>
      <selection pane="topRight" activeCell="D1" sqref="D1"/>
      <selection pane="bottomLeft" activeCell="A4" sqref="A4"/>
      <selection pane="bottomRight" activeCell="Q6" sqref="Q6"/>
    </sheetView>
  </sheetViews>
  <sheetFormatPr defaultRowHeight="15"/>
  <cols>
    <col min="1" max="1" width="9.140625" style="31"/>
    <col min="2" max="2" width="12.85546875" bestFit="1" customWidth="1"/>
    <col min="3" max="3" width="28.5703125" bestFit="1" customWidth="1"/>
    <col min="4" max="6" width="13.85546875" customWidth="1"/>
    <col min="7" max="7" width="17.85546875" customWidth="1"/>
    <col min="8" max="8" width="67.140625" customWidth="1"/>
    <col min="9" max="9" width="27.7109375" customWidth="1"/>
    <col min="10" max="10" width="25.5703125" customWidth="1"/>
    <col min="11" max="14" width="9" customWidth="1"/>
    <col min="15" max="15" width="15.140625" customWidth="1"/>
    <col min="16" max="16" width="19" customWidth="1"/>
    <col min="17" max="17" width="18.140625" bestFit="1" customWidth="1"/>
    <col min="18" max="18" width="41.140625" bestFit="1" customWidth="1"/>
    <col min="19" max="19" width="11.7109375" style="33" customWidth="1"/>
    <col min="20" max="20" width="13.42578125" customWidth="1"/>
    <col min="21" max="21" width="10.85546875" style="60" customWidth="1"/>
    <col min="22" max="22" width="76.140625" style="32" customWidth="1"/>
    <col min="23" max="23" width="31" customWidth="1"/>
    <col min="24" max="24" width="24.85546875" style="35" bestFit="1" customWidth="1"/>
    <col min="25" max="25" width="49" customWidth="1"/>
    <col min="26" max="26" width="28.5703125" bestFit="1" customWidth="1"/>
    <col min="27" max="27" width="15.140625" bestFit="1" customWidth="1"/>
    <col min="28" max="28" width="28.5703125" bestFit="1" customWidth="1"/>
    <col min="29" max="29" width="15.140625" bestFit="1" customWidth="1"/>
  </cols>
  <sheetData>
    <row r="1" spans="1:29" s="1" customFormat="1" ht="15.75">
      <c r="A1" s="70" t="s">
        <v>0</v>
      </c>
      <c r="B1" s="70" t="s">
        <v>1</v>
      </c>
      <c r="C1" s="70" t="s">
        <v>2</v>
      </c>
      <c r="D1" s="67" t="s">
        <v>3869</v>
      </c>
      <c r="E1" s="67" t="s">
        <v>7319</v>
      </c>
      <c r="F1" s="67"/>
      <c r="G1" s="67" t="s">
        <v>3870</v>
      </c>
      <c r="H1" s="67" t="s">
        <v>7320</v>
      </c>
      <c r="I1" s="67"/>
      <c r="J1" s="67" t="s">
        <v>756</v>
      </c>
      <c r="K1" s="67" t="s">
        <v>7091</v>
      </c>
      <c r="L1" s="67" t="s">
        <v>7321</v>
      </c>
      <c r="M1" s="67"/>
      <c r="N1" s="67" t="s">
        <v>7092</v>
      </c>
      <c r="O1" s="67" t="s">
        <v>7322</v>
      </c>
      <c r="P1" s="67"/>
      <c r="Q1" s="70" t="s">
        <v>6</v>
      </c>
      <c r="R1" s="70" t="s">
        <v>7</v>
      </c>
      <c r="S1" s="70" t="s">
        <v>8</v>
      </c>
      <c r="T1" s="70" t="s">
        <v>9</v>
      </c>
      <c r="U1" s="70" t="s">
        <v>10</v>
      </c>
      <c r="V1" s="70" t="s">
        <v>11</v>
      </c>
      <c r="W1" s="70" t="s">
        <v>12</v>
      </c>
      <c r="X1" s="71" t="s">
        <v>13</v>
      </c>
      <c r="Y1" s="72" t="s">
        <v>14</v>
      </c>
      <c r="Z1" s="73" t="s">
        <v>15</v>
      </c>
      <c r="AA1" s="74"/>
      <c r="AB1" s="74"/>
      <c r="AC1" s="75"/>
    </row>
    <row r="2" spans="1:29" s="1" customFormat="1" ht="15.75">
      <c r="A2" s="70"/>
      <c r="B2" s="70"/>
      <c r="C2" s="70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70"/>
      <c r="R2" s="70"/>
      <c r="S2" s="70"/>
      <c r="T2" s="70"/>
      <c r="U2" s="70"/>
      <c r="V2" s="70"/>
      <c r="W2" s="70"/>
      <c r="X2" s="71"/>
      <c r="Y2" s="72"/>
      <c r="Z2" s="73" t="s">
        <v>16</v>
      </c>
      <c r="AA2" s="75"/>
      <c r="AB2" s="73" t="s">
        <v>17</v>
      </c>
      <c r="AC2" s="75"/>
    </row>
    <row r="3" spans="1:29" s="1" customFormat="1" ht="48" customHeight="1">
      <c r="A3" s="70"/>
      <c r="B3" s="70"/>
      <c r="C3" s="70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70"/>
      <c r="R3" s="70"/>
      <c r="S3" s="70"/>
      <c r="T3" s="70"/>
      <c r="U3" s="70"/>
      <c r="V3" s="70"/>
      <c r="W3" s="70"/>
      <c r="X3" s="71"/>
      <c r="Y3" s="72"/>
      <c r="Z3" s="2" t="s">
        <v>18</v>
      </c>
      <c r="AA3" s="2" t="s">
        <v>19</v>
      </c>
      <c r="AB3" s="2" t="s">
        <v>18</v>
      </c>
      <c r="AC3" s="2" t="s">
        <v>19</v>
      </c>
    </row>
    <row r="4" spans="1:29" ht="39.75" customHeight="1">
      <c r="A4" s="24">
        <v>1</v>
      </c>
      <c r="B4" s="4">
        <v>1954025484</v>
      </c>
      <c r="C4" s="5" t="s">
        <v>20</v>
      </c>
      <c r="D4" s="6" t="e">
        <f>VLOOKUP(B4,Sheet3!$B:$I,3,0)</f>
        <v>#N/A</v>
      </c>
      <c r="E4" s="6" t="str">
        <f>VLOOKUP($B4,Sheet4!$B:$L,4,0)</f>
        <v>04/01/2001</v>
      </c>
      <c r="F4" s="6"/>
      <c r="G4" s="6" t="e">
        <f>VLOOKUP($B4,Sheet3!$B:$I,5,0)</f>
        <v>#N/A</v>
      </c>
      <c r="H4" s="6" t="str">
        <f>VLOOKUP($B4,Sheet4!$B:$L,5,0)</f>
        <v>Trường Tây, Hòa Thành, Tây Ninh</v>
      </c>
      <c r="I4" s="6" t="e">
        <f>VLOOKUP(B4,[1]Sheet3!$D:$K,5,0)</f>
        <v>#N/A</v>
      </c>
      <c r="J4" s="6"/>
      <c r="K4" s="6" t="e">
        <f>VLOOKUP($B4,Sheet3!$B:$I,6,0)</f>
        <v>#N/A</v>
      </c>
      <c r="L4" s="6" t="str">
        <f>VLOOKUP($B4,Sheet4!$B:$L,10,0)</f>
        <v>Kinh</v>
      </c>
      <c r="M4" s="6"/>
      <c r="N4" s="6" t="e">
        <f>VLOOKUP($B4,Sheet3!$B:$I,7,0)</f>
        <v>#N/A</v>
      </c>
      <c r="O4" s="6" t="str">
        <f>VLOOKUP($B4,Sheet4!$B:$L,11,0)</f>
        <v>không</v>
      </c>
      <c r="P4" s="6"/>
      <c r="Q4" s="5" t="s">
        <v>21</v>
      </c>
      <c r="R4" s="17" t="s">
        <v>22</v>
      </c>
      <c r="S4" s="36" t="s">
        <v>496</v>
      </c>
      <c r="T4" s="10" t="s">
        <v>503</v>
      </c>
      <c r="U4" s="58">
        <v>2.11</v>
      </c>
      <c r="V4" s="9" t="s">
        <v>735</v>
      </c>
      <c r="W4" s="5" t="s">
        <v>24</v>
      </c>
      <c r="X4" s="34"/>
      <c r="Y4" s="3" t="s">
        <v>727</v>
      </c>
      <c r="Z4" s="15"/>
      <c r="AA4" s="15"/>
      <c r="AB4" s="15"/>
      <c r="AC4" s="15"/>
    </row>
    <row r="5" spans="1:29" ht="39.75" customHeight="1">
      <c r="A5" s="24">
        <v>2</v>
      </c>
      <c r="B5" s="4">
        <v>1954025583</v>
      </c>
      <c r="C5" s="5" t="s">
        <v>25</v>
      </c>
      <c r="D5" s="6" t="e">
        <f>VLOOKUP(B5,Sheet3!$B:$I,3,0)</f>
        <v>#N/A</v>
      </c>
      <c r="E5" s="6" t="str">
        <f>VLOOKUP($B5,Sheet4!$B:$L,4,0)</f>
        <v>17/07/2001</v>
      </c>
      <c r="F5" s="6" t="s">
        <v>7301</v>
      </c>
      <c r="G5" s="6" t="e">
        <f>VLOOKUP($B5,Sheet3!$B:$I,5,0)</f>
        <v>#N/A</v>
      </c>
      <c r="H5" s="6" t="str">
        <f>VLOOKUP($B5,Sheet4!$B:$L,5,0)</f>
        <v>Thành phố Hồ Chí Minh</v>
      </c>
      <c r="I5" s="6" t="s">
        <v>5255</v>
      </c>
      <c r="J5" s="6" t="s">
        <v>5255</v>
      </c>
      <c r="K5" s="6" t="e">
        <f>VLOOKUP($B5,Sheet3!$B:$I,6,0)</f>
        <v>#N/A</v>
      </c>
      <c r="L5" s="6" t="str">
        <f>VLOOKUP($B5,Sheet4!$B:$L,10,0)</f>
        <v>Kinh</v>
      </c>
      <c r="M5" s="6" t="s">
        <v>1895</v>
      </c>
      <c r="N5" s="6" t="e">
        <f>VLOOKUP($B5,Sheet3!$B:$I,7,0)</f>
        <v>#N/A</v>
      </c>
      <c r="O5" s="6" t="str">
        <f>VLOOKUP($B5,Sheet4!$B:$L,11,0)</f>
        <v>Không có</v>
      </c>
      <c r="P5" s="6"/>
      <c r="Q5" s="5" t="s">
        <v>21</v>
      </c>
      <c r="R5" s="17" t="s">
        <v>22</v>
      </c>
      <c r="S5" s="36" t="s">
        <v>496</v>
      </c>
      <c r="T5" s="10" t="s">
        <v>503</v>
      </c>
      <c r="U5" s="58">
        <v>1.93</v>
      </c>
      <c r="V5" s="9" t="s">
        <v>737</v>
      </c>
      <c r="W5" s="5" t="s">
        <v>24</v>
      </c>
      <c r="X5" s="34"/>
      <c r="Y5" s="3" t="s">
        <v>727</v>
      </c>
      <c r="Z5" s="15"/>
      <c r="AA5" s="15"/>
      <c r="AB5" s="15"/>
      <c r="AC5" s="15"/>
    </row>
    <row r="6" spans="1:29" ht="39.75" customHeight="1">
      <c r="A6" s="24">
        <v>3</v>
      </c>
      <c r="B6" s="4">
        <v>2154027096</v>
      </c>
      <c r="C6" s="5" t="s">
        <v>27</v>
      </c>
      <c r="D6" s="6" t="e">
        <f>VLOOKUP(B6,Sheet3!$B:$I,3,0)</f>
        <v>#N/A</v>
      </c>
      <c r="E6" s="6" t="str">
        <f>VLOOKUP($B6,Sheet4!$B:$L,4,0)</f>
        <v>19/12/2003</v>
      </c>
      <c r="F6" s="6" t="s">
        <v>7164</v>
      </c>
      <c r="G6" s="6" t="e">
        <f>VLOOKUP($B6,Sheet3!$B:$I,5,0)</f>
        <v>#N/A</v>
      </c>
      <c r="H6" s="6" t="str">
        <f>VLOOKUP($B6,Sheet4!$B:$L,5,0)</f>
        <v>Tp.HCM</v>
      </c>
      <c r="I6" s="6" t="s">
        <v>5255</v>
      </c>
      <c r="J6" s="6" t="s">
        <v>5255</v>
      </c>
      <c r="K6" s="6" t="e">
        <f>VLOOKUP($B6,Sheet3!$B:$I,6,0)</f>
        <v>#N/A</v>
      </c>
      <c r="L6" s="6" t="str">
        <f>VLOOKUP($B6,Sheet4!$B:$L,10,0)</f>
        <v>Kinh</v>
      </c>
      <c r="M6" s="6" t="s">
        <v>1895</v>
      </c>
      <c r="N6" s="6" t="e">
        <f>VLOOKUP($B6,Sheet3!$B:$I,7,0)</f>
        <v>#N/A</v>
      </c>
      <c r="O6" s="6" t="str">
        <f>VLOOKUP($B6,Sheet4!$B:$L,11,0)</f>
        <v>1263</v>
      </c>
      <c r="P6" s="6"/>
      <c r="Q6" s="5" t="s">
        <v>28</v>
      </c>
      <c r="R6" s="17" t="s">
        <v>29</v>
      </c>
      <c r="S6" s="36" t="s">
        <v>498</v>
      </c>
      <c r="T6" s="10" t="s">
        <v>503</v>
      </c>
      <c r="U6" s="58">
        <v>1.81</v>
      </c>
      <c r="V6" s="9" t="s">
        <v>744</v>
      </c>
      <c r="W6" s="5" t="s">
        <v>24</v>
      </c>
      <c r="X6" s="34"/>
      <c r="Y6" s="3" t="s">
        <v>727</v>
      </c>
      <c r="Z6" s="15"/>
      <c r="AA6" s="15"/>
      <c r="AB6" s="15"/>
      <c r="AC6" s="15"/>
    </row>
    <row r="7" spans="1:29" ht="39.75" customHeight="1">
      <c r="A7" s="24">
        <v>4</v>
      </c>
      <c r="B7" s="4">
        <v>2154027672</v>
      </c>
      <c r="C7" s="5" t="s">
        <v>31</v>
      </c>
      <c r="D7" s="6" t="e">
        <f>VLOOKUP(B7,Sheet3!$B:$I,3,0)</f>
        <v>#N/A</v>
      </c>
      <c r="E7" s="6" t="str">
        <f>VLOOKUP($B7,Sheet4!$B:$L,4,0)</f>
        <v>28/11/2003</v>
      </c>
      <c r="F7" s="6" t="s">
        <v>7155</v>
      </c>
      <c r="G7" s="6" t="e">
        <f>VLOOKUP($B7,Sheet3!$B:$I,5,0)</f>
        <v>#N/A</v>
      </c>
      <c r="H7" s="6" t="str">
        <f>VLOOKUP($B7,Sheet4!$B:$L,5,0)</f>
        <v>Tây NInh</v>
      </c>
      <c r="I7" s="6" t="str">
        <f>VLOOKUP(B7,[1]Sheet3!$D:$K,5,0)</f>
        <v>Tây Ninh</v>
      </c>
      <c r="J7" s="6" t="s">
        <v>3967</v>
      </c>
      <c r="K7" s="6" t="e">
        <f>VLOOKUP($B7,Sheet3!$B:$I,6,0)</f>
        <v>#N/A</v>
      </c>
      <c r="L7" s="6" t="str">
        <f>VLOOKUP($B7,Sheet4!$B:$L,10,0)</f>
        <v>Kinh</v>
      </c>
      <c r="M7" s="6" t="s">
        <v>1895</v>
      </c>
      <c r="N7" s="6" t="e">
        <f>VLOOKUP($B7,Sheet3!$B:$I,7,0)</f>
        <v>#N/A</v>
      </c>
      <c r="O7" s="6" t="str">
        <f>VLOOKUP($B7,Sheet4!$B:$L,11,0)</f>
        <v>173</v>
      </c>
      <c r="P7" s="6" t="s">
        <v>1901</v>
      </c>
      <c r="Q7" s="5" t="s">
        <v>28</v>
      </c>
      <c r="R7" s="17" t="s">
        <v>29</v>
      </c>
      <c r="S7" s="36" t="s">
        <v>498</v>
      </c>
      <c r="T7" s="10" t="s">
        <v>503</v>
      </c>
      <c r="U7" s="58">
        <v>1.98</v>
      </c>
      <c r="V7" s="9" t="s">
        <v>32</v>
      </c>
      <c r="W7" s="5" t="s">
        <v>24</v>
      </c>
      <c r="X7" s="34"/>
      <c r="Y7" s="3" t="s">
        <v>727</v>
      </c>
      <c r="Z7" s="15"/>
      <c r="AA7" s="15"/>
      <c r="AB7" s="15"/>
      <c r="AC7" s="15"/>
    </row>
    <row r="8" spans="1:29" ht="39.75" customHeight="1">
      <c r="A8" s="24">
        <v>5</v>
      </c>
      <c r="B8" s="4">
        <v>2154027147</v>
      </c>
      <c r="C8" s="5" t="s">
        <v>33</v>
      </c>
      <c r="D8" s="6" t="e">
        <f>VLOOKUP(B8,Sheet3!$B:$I,3,0)</f>
        <v>#N/A</v>
      </c>
      <c r="E8" s="6" t="str">
        <f>VLOOKUP($B8,Sheet4!$B:$L,4,0)</f>
        <v>09/11/2003</v>
      </c>
      <c r="F8" s="6" t="s">
        <v>7272</v>
      </c>
      <c r="G8" s="6" t="e">
        <f>VLOOKUP($B8,Sheet3!$B:$I,5,0)</f>
        <v>#N/A</v>
      </c>
      <c r="H8" s="6" t="str">
        <f>VLOOKUP($B8,Sheet4!$B:$L,5,0)</f>
        <v>Đồng Tháp</v>
      </c>
      <c r="I8" s="6" t="e">
        <f>VLOOKUP(B8,[1]Sheet3!$D:$K,5,0)</f>
        <v>#N/A</v>
      </c>
      <c r="J8" s="6" t="s">
        <v>790</v>
      </c>
      <c r="K8" s="6" t="e">
        <f>VLOOKUP($B8,Sheet3!$B:$I,6,0)</f>
        <v>#N/A</v>
      </c>
      <c r="L8" s="6" t="str">
        <f>VLOOKUP($B8,Sheet4!$B:$L,10,0)</f>
        <v>Kinh</v>
      </c>
      <c r="M8" s="6" t="s">
        <v>1895</v>
      </c>
      <c r="N8" s="6" t="e">
        <f>VLOOKUP($B8,Sheet3!$B:$I,7,0)</f>
        <v>#N/A</v>
      </c>
      <c r="O8" s="6" t="str">
        <f>VLOOKUP($B8,Sheet4!$B:$L,11,0)</f>
        <v>1314</v>
      </c>
      <c r="P8" s="6"/>
      <c r="Q8" s="5" t="s">
        <v>28</v>
      </c>
      <c r="R8" s="17" t="s">
        <v>29</v>
      </c>
      <c r="S8" s="36" t="s">
        <v>498</v>
      </c>
      <c r="T8" s="10" t="s">
        <v>503</v>
      </c>
      <c r="U8" s="58">
        <v>2.13</v>
      </c>
      <c r="V8" s="9" t="s">
        <v>34</v>
      </c>
      <c r="W8" s="5" t="s">
        <v>24</v>
      </c>
      <c r="X8" s="34"/>
      <c r="Y8" s="3" t="s">
        <v>727</v>
      </c>
      <c r="Z8" s="15"/>
      <c r="AA8" s="15"/>
      <c r="AB8" s="15"/>
      <c r="AC8" s="15"/>
    </row>
    <row r="9" spans="1:29" ht="39.75" customHeight="1">
      <c r="A9" s="24">
        <v>6</v>
      </c>
      <c r="B9" s="4">
        <v>2154027747</v>
      </c>
      <c r="C9" s="5" t="s">
        <v>35</v>
      </c>
      <c r="D9" s="6" t="e">
        <f>VLOOKUP(B9,Sheet3!$B:$I,3,0)</f>
        <v>#N/A</v>
      </c>
      <c r="E9" s="6" t="str">
        <f>VLOOKUP($B9,Sheet4!$B:$L,4,0)</f>
        <v>05/05/2002</v>
      </c>
      <c r="F9" s="6" t="s">
        <v>1381</v>
      </c>
      <c r="G9" s="6" t="e">
        <f>VLOOKUP($B9,Sheet3!$B:$I,5,0)</f>
        <v>#N/A</v>
      </c>
      <c r="H9" s="6" t="str">
        <f>VLOOKUP($B9,Sheet4!$B:$L,5,0)</f>
        <v>Đăk Lăk</v>
      </c>
      <c r="I9" s="6" t="str">
        <f>VLOOKUP(B9,[1]Sheet3!$D:$K,5,0)</f>
        <v xml:space="preserve">Đắk lắk </v>
      </c>
      <c r="J9" s="6" t="s">
        <v>768</v>
      </c>
      <c r="K9" s="6" t="e">
        <f>VLOOKUP($B9,Sheet3!$B:$I,6,0)</f>
        <v>#N/A</v>
      </c>
      <c r="L9" s="6" t="str">
        <f>VLOOKUP($B9,Sheet4!$B:$L,10,0)</f>
        <v>Kinh</v>
      </c>
      <c r="M9" s="6" t="s">
        <v>1895</v>
      </c>
      <c r="N9" s="6" t="e">
        <f>VLOOKUP($B9,Sheet3!$B:$I,7,0)</f>
        <v>#N/A</v>
      </c>
      <c r="O9" s="6" t="str">
        <f>VLOOKUP($B9,Sheet4!$B:$L,11,0)</f>
        <v>248</v>
      </c>
      <c r="P9" s="6" t="s">
        <v>8869</v>
      </c>
      <c r="Q9" s="5" t="s">
        <v>28</v>
      </c>
      <c r="R9" s="17" t="s">
        <v>29</v>
      </c>
      <c r="S9" s="36" t="s">
        <v>498</v>
      </c>
      <c r="T9" s="10" t="s">
        <v>503</v>
      </c>
      <c r="U9" s="58">
        <v>1.93</v>
      </c>
      <c r="V9" s="9" t="s">
        <v>36</v>
      </c>
      <c r="W9" s="5" t="s">
        <v>37</v>
      </c>
      <c r="X9" s="34"/>
      <c r="Y9" s="3" t="s">
        <v>727</v>
      </c>
      <c r="Z9" s="15"/>
      <c r="AA9" s="15"/>
      <c r="AB9" s="15"/>
      <c r="AC9" s="15"/>
    </row>
    <row r="10" spans="1:29" ht="39.75" customHeight="1">
      <c r="A10" s="24">
        <v>7</v>
      </c>
      <c r="B10" s="4">
        <v>2154027088</v>
      </c>
      <c r="C10" s="5" t="s">
        <v>38</v>
      </c>
      <c r="D10" s="6" t="e">
        <f>VLOOKUP(B10,Sheet3!$B:$I,3,0)</f>
        <v>#N/A</v>
      </c>
      <c r="E10" s="6" t="str">
        <f>VLOOKUP($B10,Sheet4!$B:$L,4,0)</f>
        <v>20/07/2003</v>
      </c>
      <c r="F10" s="6" t="s">
        <v>7194</v>
      </c>
      <c r="G10" s="6" t="e">
        <f>VLOOKUP($B10,Sheet3!$B:$I,5,0)</f>
        <v>#N/A</v>
      </c>
      <c r="H10" s="6" t="str">
        <f>VLOOKUP($B10,Sheet4!$B:$L,5,0)</f>
        <v>Bạc Liêu</v>
      </c>
      <c r="I10" s="6" t="e">
        <f>VLOOKUP(B10,[1]Sheet3!$D:$K,5,0)</f>
        <v>#N/A</v>
      </c>
      <c r="J10" s="6" t="s">
        <v>899</v>
      </c>
      <c r="K10" s="6" t="e">
        <f>VLOOKUP($B10,Sheet3!$B:$I,6,0)</f>
        <v>#N/A</v>
      </c>
      <c r="L10" s="6" t="str">
        <f>VLOOKUP($B10,Sheet4!$B:$L,10,0)</f>
        <v>Kinh</v>
      </c>
      <c r="M10" s="6" t="s">
        <v>1895</v>
      </c>
      <c r="N10" s="6" t="e">
        <f>VLOOKUP($B10,Sheet3!$B:$I,7,0)</f>
        <v>#N/A</v>
      </c>
      <c r="O10" s="6" t="str">
        <f>VLOOKUP($B10,Sheet4!$B:$L,11,0)</f>
        <v>1255</v>
      </c>
      <c r="P10" s="6"/>
      <c r="Q10" s="5" t="s">
        <v>28</v>
      </c>
      <c r="R10" s="17" t="s">
        <v>29</v>
      </c>
      <c r="S10" s="36" t="s">
        <v>498</v>
      </c>
      <c r="T10" s="10" t="s">
        <v>503</v>
      </c>
      <c r="U10" s="58">
        <v>1.96</v>
      </c>
      <c r="V10" s="9" t="s">
        <v>39</v>
      </c>
      <c r="W10" s="5" t="s">
        <v>37</v>
      </c>
      <c r="X10" s="34"/>
      <c r="Y10" s="3" t="s">
        <v>727</v>
      </c>
      <c r="Z10" s="15"/>
      <c r="AA10" s="15"/>
      <c r="AB10" s="15"/>
      <c r="AC10" s="15"/>
    </row>
    <row r="11" spans="1:29" ht="39.75" customHeight="1">
      <c r="A11" s="24">
        <v>8</v>
      </c>
      <c r="B11" s="4">
        <v>2154027319</v>
      </c>
      <c r="C11" s="5" t="s">
        <v>40</v>
      </c>
      <c r="D11" s="6" t="e">
        <f>VLOOKUP(B11,Sheet3!$B:$I,3,0)</f>
        <v>#N/A</v>
      </c>
      <c r="E11" s="6" t="str">
        <f>VLOOKUP($B11,Sheet4!$B:$L,4,0)</f>
        <v>09/09/2003</v>
      </c>
      <c r="F11" s="6" t="s">
        <v>7254</v>
      </c>
      <c r="G11" s="6" t="e">
        <f>VLOOKUP($B11,Sheet3!$B:$I,5,0)</f>
        <v>#N/A</v>
      </c>
      <c r="H11" s="6" t="str">
        <f>VLOOKUP($B11,Sheet4!$B:$L,5,0)</f>
        <v>Tây Ninh</v>
      </c>
      <c r="I11" s="6" t="e">
        <f>VLOOKUP(B11,[1]Sheet3!$D:$K,5,0)</f>
        <v>#N/A</v>
      </c>
      <c r="J11" s="6" t="s">
        <v>3967</v>
      </c>
      <c r="K11" s="6" t="e">
        <f>VLOOKUP($B11,Sheet3!$B:$I,6,0)</f>
        <v>#N/A</v>
      </c>
      <c r="L11" s="6" t="str">
        <f>VLOOKUP($B11,Sheet4!$B:$L,10,0)</f>
        <v>Kinh</v>
      </c>
      <c r="M11" s="6" t="s">
        <v>1895</v>
      </c>
      <c r="N11" s="6" t="e">
        <f>VLOOKUP($B11,Sheet3!$B:$I,7,0)</f>
        <v>#N/A</v>
      </c>
      <c r="O11" s="6" t="str">
        <f>VLOOKUP($B11,Sheet4!$B:$L,11,0)</f>
        <v>113</v>
      </c>
      <c r="P11" s="6"/>
      <c r="Q11" s="5" t="s">
        <v>28</v>
      </c>
      <c r="R11" s="17" t="s">
        <v>29</v>
      </c>
      <c r="S11" s="36" t="s">
        <v>498</v>
      </c>
      <c r="T11" s="10" t="s">
        <v>503</v>
      </c>
      <c r="U11" s="58">
        <v>2.1800000000000002</v>
      </c>
      <c r="V11" s="9" t="s">
        <v>41</v>
      </c>
      <c r="W11" s="5" t="s">
        <v>37</v>
      </c>
      <c r="X11" s="34"/>
      <c r="Y11" s="3" t="s">
        <v>727</v>
      </c>
      <c r="Z11" s="15"/>
      <c r="AA11" s="15"/>
      <c r="AB11" s="15"/>
      <c r="AC11" s="15"/>
    </row>
    <row r="12" spans="1:29" ht="39.75" customHeight="1">
      <c r="A12" s="24">
        <v>9</v>
      </c>
      <c r="B12" s="4">
        <v>2154027273</v>
      </c>
      <c r="C12" s="5" t="s">
        <v>42</v>
      </c>
      <c r="D12" s="6" t="e">
        <f>VLOOKUP(B12,Sheet3!$B:$I,3,0)</f>
        <v>#N/A</v>
      </c>
      <c r="E12" s="6" t="str">
        <f>VLOOKUP($B12,Sheet4!$B:$L,4,0)</f>
        <v>24/10/2003</v>
      </c>
      <c r="F12" s="6" t="s">
        <v>3218</v>
      </c>
      <c r="G12" s="6" t="e">
        <f>VLOOKUP($B12,Sheet3!$B:$I,5,0)</f>
        <v>#N/A</v>
      </c>
      <c r="H12" s="6" t="str">
        <f>VLOOKUP($B12,Sheet4!$B:$L,5,0)</f>
        <v>Bạc Liêu</v>
      </c>
      <c r="I12" s="6" t="e">
        <f>VLOOKUP(B12,[1]Sheet3!$D:$K,5,0)</f>
        <v>#N/A</v>
      </c>
      <c r="J12" s="6" t="s">
        <v>8905</v>
      </c>
      <c r="K12" s="6" t="e">
        <f>VLOOKUP($B12,Sheet3!$B:$I,6,0)</f>
        <v>#N/A</v>
      </c>
      <c r="L12" s="6" t="str">
        <f>VLOOKUP($B12,Sheet4!$B:$L,10,0)</f>
        <v>Kinh</v>
      </c>
      <c r="M12" s="6" t="s">
        <v>1895</v>
      </c>
      <c r="N12" s="6" t="e">
        <f>VLOOKUP($B12,Sheet3!$B:$I,7,0)</f>
        <v>#N/A</v>
      </c>
      <c r="O12" s="6" t="str">
        <f>VLOOKUP($B12,Sheet4!$B:$L,11,0)</f>
        <v>1440</v>
      </c>
      <c r="P12" s="6"/>
      <c r="Q12" s="5" t="s">
        <v>28</v>
      </c>
      <c r="R12" s="17" t="s">
        <v>29</v>
      </c>
      <c r="S12" s="36" t="s">
        <v>498</v>
      </c>
      <c r="T12" s="10" t="s">
        <v>503</v>
      </c>
      <c r="U12" s="58">
        <v>2.2999999999999998</v>
      </c>
      <c r="V12" s="9" t="s">
        <v>43</v>
      </c>
      <c r="W12" s="5" t="s">
        <v>37</v>
      </c>
      <c r="X12" s="34"/>
      <c r="Y12" s="3" t="s">
        <v>727</v>
      </c>
      <c r="Z12" s="15"/>
      <c r="AA12" s="15"/>
      <c r="AB12" s="15"/>
      <c r="AC12" s="15"/>
    </row>
    <row r="13" spans="1:29" ht="39.75" customHeight="1">
      <c r="A13" s="24">
        <v>10</v>
      </c>
      <c r="B13" s="4">
        <v>2154027730</v>
      </c>
      <c r="C13" s="5" t="s">
        <v>44</v>
      </c>
      <c r="D13" s="6" t="e">
        <f>VLOOKUP(B13,Sheet3!$B:$I,3,0)</f>
        <v>#N/A</v>
      </c>
      <c r="E13" s="6" t="str">
        <f>VLOOKUP($B13,Sheet4!$B:$L,4,0)</f>
        <v>01/11/2003</v>
      </c>
      <c r="F13" s="6" t="s">
        <v>7128</v>
      </c>
      <c r="G13" s="6" t="e">
        <f>VLOOKUP($B13,Sheet3!$B:$I,5,0)</f>
        <v>#N/A</v>
      </c>
      <c r="H13" s="6" t="str">
        <f>VLOOKUP($B13,Sheet4!$B:$L,5,0)</f>
        <v>Đăk Lăk</v>
      </c>
      <c r="I13" s="6" t="e">
        <f>VLOOKUP(B13,[1]Sheet3!$D:$K,5,0)</f>
        <v>#N/A</v>
      </c>
      <c r="J13" s="6" t="s">
        <v>768</v>
      </c>
      <c r="K13" s="6" t="e">
        <f>VLOOKUP($B13,Sheet3!$B:$I,6,0)</f>
        <v>#N/A</v>
      </c>
      <c r="L13" s="6" t="str">
        <f>VLOOKUP($B13,Sheet4!$B:$L,10,0)</f>
        <v>Kinh</v>
      </c>
      <c r="M13" s="6" t="s">
        <v>1895</v>
      </c>
      <c r="N13" s="6" t="e">
        <f>VLOOKUP($B13,Sheet3!$B:$I,7,0)</f>
        <v>#N/A</v>
      </c>
      <c r="O13" s="6" t="str">
        <f>VLOOKUP($B13,Sheet4!$B:$L,11,0)</f>
        <v>231</v>
      </c>
      <c r="P13" s="6"/>
      <c r="Q13" s="5" t="s">
        <v>28</v>
      </c>
      <c r="R13" s="17" t="s">
        <v>29</v>
      </c>
      <c r="S13" s="36" t="s">
        <v>498</v>
      </c>
      <c r="T13" s="10" t="s">
        <v>503</v>
      </c>
      <c r="U13" s="58">
        <v>2.4300000000000002</v>
      </c>
      <c r="V13" s="9" t="s">
        <v>45</v>
      </c>
      <c r="W13" s="5" t="s">
        <v>37</v>
      </c>
      <c r="X13" s="34"/>
      <c r="Y13" s="3" t="s">
        <v>727</v>
      </c>
      <c r="Z13" s="15"/>
      <c r="AA13" s="15"/>
      <c r="AB13" s="15"/>
      <c r="AC13" s="15"/>
    </row>
    <row r="14" spans="1:29" ht="39.75" customHeight="1">
      <c r="A14" s="24">
        <v>11</v>
      </c>
      <c r="B14" s="4">
        <v>1954025556</v>
      </c>
      <c r="C14" s="5" t="s">
        <v>46</v>
      </c>
      <c r="D14" s="6" t="e">
        <f>VLOOKUP(B14,Sheet3!$B:$I,3,0)</f>
        <v>#N/A</v>
      </c>
      <c r="E14" s="6" t="str">
        <f>VLOOKUP($B14,Sheet4!$B:$L,4,0)</f>
        <v>13/07/2001</v>
      </c>
      <c r="F14" s="6" t="s">
        <v>7297</v>
      </c>
      <c r="G14" s="6" t="e">
        <f>VLOOKUP($B14,Sheet3!$B:$I,5,0)</f>
        <v>#N/A</v>
      </c>
      <c r="H14" s="6" t="str">
        <f>VLOOKUP($B14,Sheet4!$B:$L,5,0)</f>
        <v>Thôn Phong Niên, Xã Hòa Thắng , Huyện Phú Hòa , Tỉnh Phú Yên</v>
      </c>
      <c r="I14" s="6" t="e">
        <f>VLOOKUP(B14,[1]Sheet3!$D:$K,5,0)</f>
        <v>#N/A</v>
      </c>
      <c r="J14" s="6" t="s">
        <v>768</v>
      </c>
      <c r="K14" s="6" t="e">
        <f>VLOOKUP($B14,Sheet3!$B:$I,6,0)</f>
        <v>#N/A</v>
      </c>
      <c r="L14" s="6" t="str">
        <f>VLOOKUP($B14,Sheet4!$B:$L,10,0)</f>
        <v>Kinh</v>
      </c>
      <c r="M14" s="6" t="s">
        <v>1895</v>
      </c>
      <c r="N14" s="6" t="e">
        <f>VLOOKUP($B14,Sheet3!$B:$I,7,0)</f>
        <v>#N/A</v>
      </c>
      <c r="O14" s="6" t="str">
        <f>VLOOKUP($B14,Sheet4!$B:$L,11,0)</f>
        <v>Không</v>
      </c>
      <c r="P14" s="6"/>
      <c r="Q14" s="5" t="s">
        <v>47</v>
      </c>
      <c r="R14" s="17" t="s">
        <v>29</v>
      </c>
      <c r="S14" s="36" t="s">
        <v>496</v>
      </c>
      <c r="T14" s="10" t="s">
        <v>503</v>
      </c>
      <c r="U14" s="58">
        <v>1.91</v>
      </c>
      <c r="V14" s="9" t="s">
        <v>48</v>
      </c>
      <c r="W14" s="5" t="s">
        <v>49</v>
      </c>
      <c r="X14" s="34"/>
      <c r="Y14" s="3" t="s">
        <v>727</v>
      </c>
      <c r="Z14" s="15"/>
      <c r="AA14" s="15"/>
      <c r="AB14" s="15"/>
      <c r="AC14" s="15"/>
    </row>
    <row r="15" spans="1:29" ht="39.75" customHeight="1">
      <c r="A15" s="24">
        <v>12</v>
      </c>
      <c r="B15" s="4">
        <v>2054027653</v>
      </c>
      <c r="C15" s="5" t="s">
        <v>50</v>
      </c>
      <c r="D15" s="6" t="str">
        <f>VLOOKUP(B15,Sheet3!$B:$I,3,0)</f>
        <v>26/03/2002</v>
      </c>
      <c r="E15" s="6" t="str">
        <f>VLOOKUP($B15,Sheet4!$B:$L,4,0)</f>
        <v>26/03/2002</v>
      </c>
      <c r="F15" s="6" t="s">
        <v>850</v>
      </c>
      <c r="G15" s="6">
        <f>VLOOKUP($B15,Sheet3!$B:$I,5,0)</f>
        <v>0</v>
      </c>
      <c r="H15" s="6" t="str">
        <f>VLOOKUP($B15,Sheet4!$B:$L,5,0)</f>
        <v>Lâm Đồng</v>
      </c>
      <c r="I15" s="6" t="e">
        <f>VLOOKUP(B15,[1]Sheet3!$D:$K,5,0)</f>
        <v>#N/A</v>
      </c>
      <c r="J15" s="6" t="s">
        <v>998</v>
      </c>
      <c r="K15" s="6">
        <f>VLOOKUP($B15,Sheet3!$B:$I,6,0)</f>
        <v>0</v>
      </c>
      <c r="L15" s="6" t="str">
        <f>VLOOKUP($B15,Sheet4!$B:$L,10,0)</f>
        <v>Kinh</v>
      </c>
      <c r="M15" s="6" t="s">
        <v>1895</v>
      </c>
      <c r="N15" s="6">
        <f>VLOOKUP($B15,Sheet3!$B:$I,7,0)</f>
        <v>0</v>
      </c>
      <c r="O15" s="6" t="str">
        <f>VLOOKUP($B15,Sheet4!$B:$L,11,0)</f>
        <v>204</v>
      </c>
      <c r="P15" s="6"/>
      <c r="Q15" s="5" t="s">
        <v>497</v>
      </c>
      <c r="R15" s="17" t="s">
        <v>29</v>
      </c>
      <c r="S15" s="36" t="s">
        <v>500</v>
      </c>
      <c r="T15" s="10" t="s">
        <v>503</v>
      </c>
      <c r="U15" s="58">
        <v>2.11</v>
      </c>
      <c r="V15" s="9" t="s">
        <v>52</v>
      </c>
      <c r="W15" s="5" t="s">
        <v>49</v>
      </c>
      <c r="X15" s="34"/>
      <c r="Y15" s="3" t="s">
        <v>727</v>
      </c>
      <c r="Z15" s="15"/>
      <c r="AA15" s="15"/>
      <c r="AB15" s="15"/>
      <c r="AC15" s="15"/>
    </row>
    <row r="16" spans="1:29" ht="39.75" customHeight="1">
      <c r="A16" s="24">
        <v>13</v>
      </c>
      <c r="B16" s="4">
        <v>2054027441</v>
      </c>
      <c r="C16" s="5" t="s">
        <v>53</v>
      </c>
      <c r="D16" s="6" t="str">
        <f>VLOOKUP(B16,Sheet3!$B:$I,3,0)</f>
        <v>24/04/2002</v>
      </c>
      <c r="E16" s="6" t="str">
        <f>VLOOKUP($B16,Sheet4!$B:$L,4,0)</f>
        <v>24/04/2002</v>
      </c>
      <c r="F16" s="6" t="s">
        <v>1472</v>
      </c>
      <c r="G16" s="6">
        <f>VLOOKUP($B16,Sheet3!$B:$I,5,0)</f>
        <v>0</v>
      </c>
      <c r="H16" s="6" t="str">
        <f>VLOOKUP($B16,Sheet4!$B:$L,5,0)</f>
        <v>Tp.Hồ Chí Minh</v>
      </c>
      <c r="I16" s="6" t="e">
        <f>VLOOKUP(B16,[1]Sheet3!$D:$K,5,0)</f>
        <v>#N/A</v>
      </c>
      <c r="J16" s="6" t="s">
        <v>5255</v>
      </c>
      <c r="K16" s="6">
        <f>VLOOKUP($B16,Sheet3!$B:$I,6,0)</f>
        <v>0</v>
      </c>
      <c r="L16" s="6" t="str">
        <f>VLOOKUP($B16,Sheet4!$B:$L,10,0)</f>
        <v>Kinh</v>
      </c>
      <c r="M16" s="6" t="s">
        <v>1895</v>
      </c>
      <c r="N16" s="6">
        <f>VLOOKUP($B16,Sheet3!$B:$I,7,0)</f>
        <v>0</v>
      </c>
      <c r="O16" s="6">
        <f>VLOOKUP($B16,Sheet4!$B:$L,11,0)</f>
        <v>0</v>
      </c>
      <c r="P16" s="6"/>
      <c r="Q16" s="5" t="s">
        <v>54</v>
      </c>
      <c r="R16" s="17" t="s">
        <v>55</v>
      </c>
      <c r="S16" s="36" t="s">
        <v>500</v>
      </c>
      <c r="T16" s="10" t="s">
        <v>503</v>
      </c>
      <c r="U16" s="58">
        <v>1.79</v>
      </c>
      <c r="V16" s="9" t="s">
        <v>56</v>
      </c>
      <c r="W16" s="5" t="s">
        <v>49</v>
      </c>
      <c r="X16" s="34"/>
      <c r="Y16" s="3" t="s">
        <v>727</v>
      </c>
      <c r="Z16" s="15"/>
      <c r="AA16" s="15"/>
      <c r="AB16" s="15"/>
      <c r="AC16" s="15"/>
    </row>
    <row r="17" spans="1:29" ht="39.75" customHeight="1">
      <c r="A17" s="24">
        <v>14</v>
      </c>
      <c r="B17" s="4">
        <v>2154027685</v>
      </c>
      <c r="C17" s="5" t="s">
        <v>57</v>
      </c>
      <c r="D17" s="6" t="e">
        <f>VLOOKUP(B17,Sheet3!$B:$I,3,0)</f>
        <v>#N/A</v>
      </c>
      <c r="E17" s="6" t="str">
        <f>VLOOKUP($B17,Sheet4!$B:$L,4,0)</f>
        <v>15/09/2003</v>
      </c>
      <c r="F17" s="6" t="s">
        <v>7181</v>
      </c>
      <c r="G17" s="6" t="e">
        <f>VLOOKUP($B17,Sheet3!$B:$I,5,0)</f>
        <v>#N/A</v>
      </c>
      <c r="H17" s="6" t="str">
        <f>VLOOKUP($B17,Sheet4!$B:$L,5,0)</f>
        <v>Đồng Nai</v>
      </c>
      <c r="I17" s="6" t="e">
        <f>VLOOKUP(B17,[1]Sheet3!$D:$K,5,0)</f>
        <v>#N/A</v>
      </c>
      <c r="J17" s="6" t="s">
        <v>835</v>
      </c>
      <c r="K17" s="6" t="e">
        <f>VLOOKUP($B17,Sheet3!$B:$I,6,0)</f>
        <v>#N/A</v>
      </c>
      <c r="L17" s="6" t="str">
        <f>VLOOKUP($B17,Sheet4!$B:$L,10,0)</f>
        <v>Kinh</v>
      </c>
      <c r="M17" s="6" t="s">
        <v>1895</v>
      </c>
      <c r="N17" s="6" t="e">
        <f>VLOOKUP($B17,Sheet3!$B:$I,7,0)</f>
        <v>#N/A</v>
      </c>
      <c r="O17" s="6" t="str">
        <f>VLOOKUP($B17,Sheet4!$B:$L,11,0)</f>
        <v>186</v>
      </c>
      <c r="P17" s="6"/>
      <c r="Q17" s="5" t="s">
        <v>28</v>
      </c>
      <c r="R17" s="17" t="s">
        <v>29</v>
      </c>
      <c r="S17" s="36" t="s">
        <v>498</v>
      </c>
      <c r="T17" s="10" t="s">
        <v>503</v>
      </c>
      <c r="U17" s="58">
        <v>2.09</v>
      </c>
      <c r="V17" s="9" t="s">
        <v>58</v>
      </c>
      <c r="W17" s="5" t="s">
        <v>49</v>
      </c>
      <c r="X17" s="34"/>
      <c r="Y17" s="3" t="s">
        <v>727</v>
      </c>
      <c r="Z17" s="15"/>
      <c r="AA17" s="15"/>
      <c r="AB17" s="15"/>
      <c r="AC17" s="15"/>
    </row>
    <row r="18" spans="1:29" ht="39.75" customHeight="1">
      <c r="A18" s="24">
        <v>15</v>
      </c>
      <c r="B18" s="4">
        <v>2154027287</v>
      </c>
      <c r="C18" s="5" t="s">
        <v>6204</v>
      </c>
      <c r="D18" s="6" t="e">
        <f>VLOOKUP(B18,Sheet3!$B:$I,3,0)</f>
        <v>#N/A</v>
      </c>
      <c r="E18" s="6" t="str">
        <f>VLOOKUP($B18,Sheet4!$B:$L,4,0)</f>
        <v>30/01/2003</v>
      </c>
      <c r="F18" s="6" t="s">
        <v>7268</v>
      </c>
      <c r="G18" s="6" t="e">
        <f>VLOOKUP($B18,Sheet3!$B:$I,5,0)</f>
        <v>#N/A</v>
      </c>
      <c r="H18" s="6" t="str">
        <f>VLOOKUP($B18,Sheet4!$B:$L,5,0)</f>
        <v>Quảng Nam</v>
      </c>
      <c r="I18" s="6" t="e">
        <f>VLOOKUP(B18,[1]Sheet3!$D:$K,5,0)</f>
        <v>#N/A</v>
      </c>
      <c r="J18" s="6" t="s">
        <v>5204</v>
      </c>
      <c r="K18" s="6" t="e">
        <f>VLOOKUP($B18,Sheet3!$B:$I,6,0)</f>
        <v>#N/A</v>
      </c>
      <c r="L18" s="6" t="str">
        <f>VLOOKUP($B18,Sheet4!$B:$L,10,0)</f>
        <v>Kinh</v>
      </c>
      <c r="M18" s="6" t="s">
        <v>1895</v>
      </c>
      <c r="N18" s="6" t="e">
        <f>VLOOKUP($B18,Sheet3!$B:$I,7,0)</f>
        <v>#N/A</v>
      </c>
      <c r="O18" s="6" t="str">
        <f>VLOOKUP($B18,Sheet4!$B:$L,11,0)</f>
        <v>1454</v>
      </c>
      <c r="P18" s="6"/>
      <c r="Q18" s="5" t="s">
        <v>28</v>
      </c>
      <c r="R18" s="17" t="s">
        <v>29</v>
      </c>
      <c r="S18" s="36" t="s">
        <v>498</v>
      </c>
      <c r="T18" s="10" t="s">
        <v>503</v>
      </c>
      <c r="U18" s="58">
        <v>2.31</v>
      </c>
      <c r="V18" s="9" t="s">
        <v>60</v>
      </c>
      <c r="W18" s="5" t="s">
        <v>49</v>
      </c>
      <c r="X18" s="34"/>
      <c r="Y18" s="3" t="s">
        <v>727</v>
      </c>
      <c r="Z18" s="15"/>
      <c r="AA18" s="15"/>
      <c r="AB18" s="15"/>
      <c r="AC18" s="15"/>
    </row>
    <row r="19" spans="1:29" ht="39.75" customHeight="1">
      <c r="A19" s="24">
        <v>16</v>
      </c>
      <c r="B19" s="4">
        <v>2154027278</v>
      </c>
      <c r="C19" s="5" t="s">
        <v>61</v>
      </c>
      <c r="D19" s="6" t="e">
        <f>VLOOKUP(B19,Sheet3!$B:$I,3,0)</f>
        <v>#N/A</v>
      </c>
      <c r="E19" s="6" t="str">
        <f>VLOOKUP($B19,Sheet4!$B:$L,4,0)</f>
        <v>27/05/2003</v>
      </c>
      <c r="F19" s="6" t="s">
        <v>7252</v>
      </c>
      <c r="G19" s="6" t="e">
        <f>VLOOKUP($B19,Sheet3!$B:$I,5,0)</f>
        <v>#N/A</v>
      </c>
      <c r="H19" s="6" t="str">
        <f>VLOOKUP($B19,Sheet4!$B:$L,5,0)</f>
        <v>BV HÙng Vương, Tp.HCM</v>
      </c>
      <c r="I19" s="6" t="str">
        <f>VLOOKUP(B19,[1]Sheet3!$D:$K,5,0)</f>
        <v>Thành phố Hồ Chí Minh</v>
      </c>
      <c r="J19" s="6" t="s">
        <v>5255</v>
      </c>
      <c r="K19" s="6" t="e">
        <f>VLOOKUP($B19,Sheet3!$B:$I,6,0)</f>
        <v>#N/A</v>
      </c>
      <c r="L19" s="6" t="str">
        <f>VLOOKUP($B19,Sheet4!$B:$L,10,0)</f>
        <v>Hoa</v>
      </c>
      <c r="M19" s="6" t="s">
        <v>2135</v>
      </c>
      <c r="N19" s="6" t="e">
        <f>VLOOKUP($B19,Sheet3!$B:$I,7,0)</f>
        <v>#N/A</v>
      </c>
      <c r="O19" s="6" t="str">
        <f>VLOOKUP($B19,Sheet4!$B:$L,11,0)</f>
        <v>1445</v>
      </c>
      <c r="P19" s="6" t="s">
        <v>1901</v>
      </c>
      <c r="Q19" s="5" t="s">
        <v>62</v>
      </c>
      <c r="R19" s="17" t="s">
        <v>55</v>
      </c>
      <c r="S19" s="36" t="s">
        <v>498</v>
      </c>
      <c r="T19" s="10" t="s">
        <v>503</v>
      </c>
      <c r="U19" s="58">
        <v>2.59</v>
      </c>
      <c r="V19" s="9" t="s">
        <v>63</v>
      </c>
      <c r="W19" s="5" t="s">
        <v>64</v>
      </c>
      <c r="X19" s="34"/>
      <c r="Y19" s="3" t="s">
        <v>727</v>
      </c>
      <c r="Z19" s="15"/>
      <c r="AA19" s="15"/>
      <c r="AB19" s="15"/>
      <c r="AC19" s="15"/>
    </row>
    <row r="20" spans="1:29" ht="39.75" customHeight="1">
      <c r="A20" s="24">
        <v>17</v>
      </c>
      <c r="B20" s="4">
        <v>2154027271</v>
      </c>
      <c r="C20" s="5" t="s">
        <v>65</v>
      </c>
      <c r="D20" s="6" t="e">
        <f>VLOOKUP(B20,Sheet3!$B:$I,3,0)</f>
        <v>#N/A</v>
      </c>
      <c r="E20" s="6" t="str">
        <f>VLOOKUP($B20,Sheet4!$B:$L,4,0)</f>
        <v>11/06/2003</v>
      </c>
      <c r="F20" s="6" t="s">
        <v>7108</v>
      </c>
      <c r="G20" s="6" t="e">
        <f>VLOOKUP($B20,Sheet3!$B:$I,5,0)</f>
        <v>#N/A</v>
      </c>
      <c r="H20" s="6" t="str">
        <f>VLOOKUP($B20,Sheet4!$B:$L,5,0)</f>
        <v>Phú Yên</v>
      </c>
      <c r="I20" s="6" t="str">
        <f>VLOOKUP(B20,[1]Sheet3!$D:$K,5,0)</f>
        <v xml:space="preserve">Khu phố 1 phường Phú Thạnh TP Tuy Hòa tỉnh Phú Yên </v>
      </c>
      <c r="J20" s="6" t="s">
        <v>8879</v>
      </c>
      <c r="K20" s="6" t="e">
        <f>VLOOKUP($B20,Sheet3!$B:$I,6,0)</f>
        <v>#N/A</v>
      </c>
      <c r="L20" s="6" t="str">
        <f>VLOOKUP($B20,Sheet4!$B:$L,10,0)</f>
        <v>Kinh</v>
      </c>
      <c r="M20" s="6" t="s">
        <v>1895</v>
      </c>
      <c r="N20" s="6" t="e">
        <f>VLOOKUP($B20,Sheet3!$B:$I,7,0)</f>
        <v>#N/A</v>
      </c>
      <c r="O20" s="6" t="str">
        <f>VLOOKUP($B20,Sheet4!$B:$L,11,0)</f>
        <v>1438</v>
      </c>
      <c r="P20" s="6" t="s">
        <v>8869</v>
      </c>
      <c r="Q20" s="5" t="s">
        <v>62</v>
      </c>
      <c r="R20" s="17" t="s">
        <v>55</v>
      </c>
      <c r="S20" s="36" t="s">
        <v>498</v>
      </c>
      <c r="T20" s="10" t="s">
        <v>503</v>
      </c>
      <c r="U20" s="58">
        <v>2.27</v>
      </c>
      <c r="V20" s="9" t="s">
        <v>66</v>
      </c>
      <c r="W20" s="5" t="s">
        <v>64</v>
      </c>
      <c r="X20" s="34"/>
      <c r="Y20" s="3" t="s">
        <v>727</v>
      </c>
      <c r="Z20" s="15"/>
      <c r="AA20" s="15"/>
      <c r="AB20" s="15"/>
      <c r="AC20" s="15"/>
    </row>
    <row r="21" spans="1:29" ht="39.75" customHeight="1">
      <c r="A21" s="24">
        <v>18</v>
      </c>
      <c r="B21" s="4">
        <v>2154027689</v>
      </c>
      <c r="C21" s="5" t="s">
        <v>67</v>
      </c>
      <c r="D21" s="6" t="e">
        <f>VLOOKUP(B21,Sheet3!$B:$I,3,0)</f>
        <v>#N/A</v>
      </c>
      <c r="E21" s="6" t="str">
        <f>VLOOKUP($B21,Sheet4!$B:$L,4,0)</f>
        <v>12/01/2003</v>
      </c>
      <c r="F21" s="6" t="s">
        <v>2770</v>
      </c>
      <c r="G21" s="6" t="e">
        <f>VLOOKUP($B21,Sheet3!$B:$I,5,0)</f>
        <v>#N/A</v>
      </c>
      <c r="H21" s="6" t="str">
        <f>VLOOKUP($B21,Sheet4!$B:$L,5,0)</f>
        <v>Quảng Nam</v>
      </c>
      <c r="I21" s="6" t="e">
        <f>VLOOKUP(B21,[1]Sheet3!$D:$K,5,0)</f>
        <v>#N/A</v>
      </c>
      <c r="J21" s="6" t="s">
        <v>1022</v>
      </c>
      <c r="K21" s="6" t="e">
        <f>VLOOKUP($B21,Sheet3!$B:$I,6,0)</f>
        <v>#N/A</v>
      </c>
      <c r="L21" s="6" t="str">
        <f>VLOOKUP($B21,Sheet4!$B:$L,10,0)</f>
        <v>Kinh</v>
      </c>
      <c r="M21" s="6" t="s">
        <v>1895</v>
      </c>
      <c r="N21" s="6" t="e">
        <f>VLOOKUP($B21,Sheet3!$B:$I,7,0)</f>
        <v>#N/A</v>
      </c>
      <c r="O21" s="6" t="str">
        <f>VLOOKUP($B21,Sheet4!$B:$L,11,0)</f>
        <v>190</v>
      </c>
      <c r="P21" s="6"/>
      <c r="Q21" s="5" t="s">
        <v>28</v>
      </c>
      <c r="R21" s="17" t="s">
        <v>29</v>
      </c>
      <c r="S21" s="36" t="s">
        <v>498</v>
      </c>
      <c r="T21" s="10" t="s">
        <v>503</v>
      </c>
      <c r="U21" s="58">
        <v>2.41</v>
      </c>
      <c r="V21" s="9" t="s">
        <v>745</v>
      </c>
      <c r="W21" s="5" t="s">
        <v>96</v>
      </c>
      <c r="X21" s="34"/>
      <c r="Y21" s="3" t="s">
        <v>727</v>
      </c>
      <c r="Z21" s="15"/>
      <c r="AA21" s="15"/>
      <c r="AB21" s="15"/>
      <c r="AC21" s="15"/>
    </row>
    <row r="22" spans="1:29" ht="39.75" customHeight="1">
      <c r="A22" s="24">
        <v>19</v>
      </c>
      <c r="B22" s="4">
        <v>2154027653</v>
      </c>
      <c r="C22" s="5" t="s">
        <v>69</v>
      </c>
      <c r="D22" s="6" t="e">
        <f>VLOOKUP(B22,Sheet3!$B:$I,3,0)</f>
        <v>#N/A</v>
      </c>
      <c r="E22" s="6" t="str">
        <f>VLOOKUP($B22,Sheet4!$B:$L,4,0)</f>
        <v>23/09/2003</v>
      </c>
      <c r="F22" s="6" t="s">
        <v>2786</v>
      </c>
      <c r="G22" s="6" t="e">
        <f>VLOOKUP($B22,Sheet3!$B:$I,5,0)</f>
        <v>#N/A</v>
      </c>
      <c r="H22" s="6" t="str">
        <f>VLOOKUP($B22,Sheet4!$B:$L,5,0)</f>
        <v>Hà Tây</v>
      </c>
      <c r="I22" s="6" t="str">
        <f>VLOOKUP(B22,[1]Sheet3!$D:$K,5,0)</f>
        <v>Tp Hà Nội</v>
      </c>
      <c r="J22" s="6" t="s">
        <v>8880</v>
      </c>
      <c r="K22" s="6" t="e">
        <f>VLOOKUP($B22,Sheet3!$B:$I,6,0)</f>
        <v>#N/A</v>
      </c>
      <c r="L22" s="6" t="str">
        <f>VLOOKUP($B22,Sheet4!$B:$L,10,0)</f>
        <v>Kinh</v>
      </c>
      <c r="M22" s="6" t="s">
        <v>1895</v>
      </c>
      <c r="N22" s="6" t="e">
        <f>VLOOKUP($B22,Sheet3!$B:$I,7,0)</f>
        <v>#N/A</v>
      </c>
      <c r="O22" s="6" t="str">
        <f>VLOOKUP($B22,Sheet4!$B:$L,11,0)</f>
        <v>154</v>
      </c>
      <c r="P22" s="6" t="s">
        <v>1901</v>
      </c>
      <c r="Q22" s="5" t="s">
        <v>28</v>
      </c>
      <c r="R22" s="17" t="s">
        <v>29</v>
      </c>
      <c r="S22" s="36" t="s">
        <v>498</v>
      </c>
      <c r="T22" s="10" t="s">
        <v>503</v>
      </c>
      <c r="U22" s="58">
        <v>2.4900000000000002</v>
      </c>
      <c r="V22" s="9" t="s">
        <v>70</v>
      </c>
      <c r="W22" s="5" t="s">
        <v>64</v>
      </c>
      <c r="X22" s="34"/>
      <c r="Y22" s="3" t="s">
        <v>727</v>
      </c>
      <c r="Z22" s="15"/>
      <c r="AA22" s="15"/>
      <c r="AB22" s="15"/>
      <c r="AC22" s="15"/>
    </row>
    <row r="23" spans="1:29" ht="39.75" customHeight="1">
      <c r="A23" s="24">
        <v>20</v>
      </c>
      <c r="B23" s="4">
        <v>2154027279</v>
      </c>
      <c r="C23" s="5" t="s">
        <v>71</v>
      </c>
      <c r="D23" s="6" t="e">
        <f>VLOOKUP(B23,Sheet3!$B:$I,3,0)</f>
        <v>#N/A</v>
      </c>
      <c r="E23" s="6" t="str">
        <f>VLOOKUP($B23,Sheet4!$B:$L,4,0)</f>
        <v>22/02/2003</v>
      </c>
      <c r="F23" s="6" t="s">
        <v>7262</v>
      </c>
      <c r="G23" s="6" t="e">
        <f>VLOOKUP($B23,Sheet3!$B:$I,5,0)</f>
        <v>#N/A</v>
      </c>
      <c r="H23" s="6" t="str">
        <f>VLOOKUP($B23,Sheet4!$B:$L,5,0)</f>
        <v>BRVT</v>
      </c>
      <c r="I23" s="6" t="str">
        <f>VLOOKUP(B23,[1]Sheet3!$D:$K,5,0)</f>
        <v>BÀ RỊA - VŨNG TÀU</v>
      </c>
      <c r="J23" s="6" t="s">
        <v>5255</v>
      </c>
      <c r="K23" s="6" t="e">
        <f>VLOOKUP($B23,Sheet3!$B:$I,6,0)</f>
        <v>#N/A</v>
      </c>
      <c r="L23" s="6" t="str">
        <f>VLOOKUP($B23,Sheet4!$B:$L,10,0)</f>
        <v>1446</v>
      </c>
      <c r="M23" s="6" t="s">
        <v>1895</v>
      </c>
      <c r="N23" s="6" t="e">
        <f>VLOOKUP($B23,Sheet3!$B:$I,7,0)</f>
        <v>#N/A</v>
      </c>
      <c r="O23" s="6" t="str">
        <f>VLOOKUP($B23,Sheet4!$B:$L,11,0)</f>
        <v>1446</v>
      </c>
      <c r="P23" s="6" t="s">
        <v>1901</v>
      </c>
      <c r="Q23" s="5" t="s">
        <v>28</v>
      </c>
      <c r="R23" s="17" t="s">
        <v>29</v>
      </c>
      <c r="S23" s="36" t="s">
        <v>498</v>
      </c>
      <c r="T23" s="10" t="s">
        <v>503</v>
      </c>
      <c r="U23" s="58">
        <v>2.0699999999999998</v>
      </c>
      <c r="V23" s="9" t="s">
        <v>72</v>
      </c>
      <c r="W23" s="5" t="s">
        <v>64</v>
      </c>
      <c r="X23" s="34"/>
      <c r="Y23" s="3" t="s">
        <v>727</v>
      </c>
      <c r="Z23" s="15"/>
      <c r="AA23" s="15"/>
      <c r="AB23" s="15"/>
      <c r="AC23" s="15"/>
    </row>
    <row r="24" spans="1:29" ht="39.75" customHeight="1">
      <c r="A24" s="24">
        <v>21</v>
      </c>
      <c r="B24" s="4">
        <v>2154077316</v>
      </c>
      <c r="C24" s="5" t="s">
        <v>73</v>
      </c>
      <c r="D24" s="6" t="e">
        <f>VLOOKUP(B24,Sheet3!$B:$I,3,0)</f>
        <v>#N/A</v>
      </c>
      <c r="E24" s="6" t="str">
        <f>VLOOKUP($B24,Sheet4!$B:$L,4,0)</f>
        <v>30/06/2003</v>
      </c>
      <c r="F24" s="6" t="s">
        <v>3779</v>
      </c>
      <c r="G24" s="6" t="e">
        <f>VLOOKUP($B24,Sheet3!$B:$I,5,0)</f>
        <v>#N/A</v>
      </c>
      <c r="H24" s="6" t="str">
        <f>VLOOKUP($B24,Sheet4!$B:$L,5,0)</f>
        <v>Tỉnh Bình Định</v>
      </c>
      <c r="I24" s="6" t="str">
        <f>VLOOKUP(B24,[1]Sheet3!$D:$K,5,0)</f>
        <v>Bệnh viện an nhơn</v>
      </c>
      <c r="J24" s="6" t="s">
        <v>821</v>
      </c>
      <c r="K24" s="6" t="e">
        <f>VLOOKUP($B24,Sheet3!$B:$I,6,0)</f>
        <v>#N/A</v>
      </c>
      <c r="L24" s="6" t="str">
        <f>VLOOKUP($B24,Sheet4!$B:$L,10,0)</f>
        <v>Kinh</v>
      </c>
      <c r="M24" s="6" t="s">
        <v>1895</v>
      </c>
      <c r="N24" s="6" t="e">
        <f>VLOOKUP($B24,Sheet3!$B:$I,7,0)</f>
        <v>#N/A</v>
      </c>
      <c r="O24" s="6" t="str">
        <f>VLOOKUP($B24,Sheet4!$B:$L,11,0)</f>
        <v>Không</v>
      </c>
      <c r="P24" s="6" t="s">
        <v>1901</v>
      </c>
      <c r="Q24" s="5" t="s">
        <v>28</v>
      </c>
      <c r="R24" s="17" t="s">
        <v>29</v>
      </c>
      <c r="S24" s="36" t="s">
        <v>498</v>
      </c>
      <c r="T24" s="10" t="s">
        <v>503</v>
      </c>
      <c r="U24" s="58">
        <v>2.08</v>
      </c>
      <c r="V24" s="9" t="s">
        <v>74</v>
      </c>
      <c r="W24" s="5" t="s">
        <v>64</v>
      </c>
      <c r="X24" s="34"/>
      <c r="Y24" s="3" t="s">
        <v>727</v>
      </c>
      <c r="Z24" s="15"/>
      <c r="AA24" s="15"/>
      <c r="AB24" s="15"/>
      <c r="AC24" s="15"/>
    </row>
    <row r="25" spans="1:29" ht="39.75" customHeight="1">
      <c r="A25" s="24">
        <v>22</v>
      </c>
      <c r="B25" s="4">
        <v>2154027094</v>
      </c>
      <c r="C25" s="5" t="s">
        <v>75</v>
      </c>
      <c r="D25" s="6" t="e">
        <f>VLOOKUP(B25,Sheet3!$B:$I,3,0)</f>
        <v>#N/A</v>
      </c>
      <c r="E25" s="6" t="str">
        <f>VLOOKUP($B25,Sheet4!$B:$L,4,0)</f>
        <v>11/06/2003</v>
      </c>
      <c r="F25" s="6" t="s">
        <v>7108</v>
      </c>
      <c r="G25" s="6" t="e">
        <f>VLOOKUP($B25,Sheet3!$B:$I,5,0)</f>
        <v>#N/A</v>
      </c>
      <c r="H25" s="6" t="str">
        <f>VLOOKUP($B25,Sheet4!$B:$L,5,0)</f>
        <v>Tp.HCM</v>
      </c>
      <c r="I25" s="6" t="e">
        <f>VLOOKUP(B25,[1]Sheet3!$D:$K,5,0)</f>
        <v>#N/A</v>
      </c>
      <c r="J25" s="6" t="s">
        <v>5255</v>
      </c>
      <c r="K25" s="6" t="e">
        <f>VLOOKUP($B25,Sheet3!$B:$I,6,0)</f>
        <v>#N/A</v>
      </c>
      <c r="L25" s="6" t="str">
        <f>VLOOKUP($B25,Sheet4!$B:$L,10,0)</f>
        <v>Kinh</v>
      </c>
      <c r="M25" s="6" t="s">
        <v>1895</v>
      </c>
      <c r="N25" s="6" t="e">
        <f>VLOOKUP($B25,Sheet3!$B:$I,7,0)</f>
        <v>#N/A</v>
      </c>
      <c r="O25" s="6" t="str">
        <f>VLOOKUP($B25,Sheet4!$B:$L,11,0)</f>
        <v>1261</v>
      </c>
      <c r="P25" s="6"/>
      <c r="Q25" s="5" t="s">
        <v>28</v>
      </c>
      <c r="R25" s="17" t="s">
        <v>29</v>
      </c>
      <c r="S25" s="36" t="s">
        <v>498</v>
      </c>
      <c r="T25" s="10" t="s">
        <v>503</v>
      </c>
      <c r="U25" s="58">
        <v>1.97</v>
      </c>
      <c r="V25" s="9" t="s">
        <v>76</v>
      </c>
      <c r="W25" s="5" t="s">
        <v>64</v>
      </c>
      <c r="X25" s="34"/>
      <c r="Y25" s="3" t="s">
        <v>727</v>
      </c>
      <c r="Z25" s="15"/>
      <c r="AA25" s="15"/>
      <c r="AB25" s="15"/>
      <c r="AC25" s="15"/>
    </row>
    <row r="26" spans="1:29" ht="39.75" customHeight="1">
      <c r="A26" s="24">
        <v>23</v>
      </c>
      <c r="B26" s="4">
        <v>2154027262</v>
      </c>
      <c r="C26" s="5" t="s">
        <v>77</v>
      </c>
      <c r="D26" s="6" t="e">
        <f>VLOOKUP(B26,Sheet3!$B:$I,3,0)</f>
        <v>#N/A</v>
      </c>
      <c r="E26" s="6" t="str">
        <f>VLOOKUP($B26,Sheet4!$B:$L,4,0)</f>
        <v>04/04/2002</v>
      </c>
      <c r="F26" s="6" t="s">
        <v>1656</v>
      </c>
      <c r="G26" s="6" t="e">
        <f>VLOOKUP($B26,Sheet3!$B:$I,5,0)</f>
        <v>#N/A</v>
      </c>
      <c r="H26" s="6">
        <f>VLOOKUP($B26,Sheet4!$B:$L,5,0)</f>
        <v>0</v>
      </c>
      <c r="I26" s="6" t="str">
        <f>VLOOKUP(B26,[1]Sheet3!$D:$K,5,0)</f>
        <v>Bắc Giang</v>
      </c>
      <c r="J26" s="6" t="s">
        <v>8881</v>
      </c>
      <c r="K26" s="6" t="e">
        <f>VLOOKUP($B26,Sheet3!$B:$I,6,0)</f>
        <v>#N/A</v>
      </c>
      <c r="L26" s="6" t="str">
        <f>VLOOKUP($B26,Sheet4!$B:$L,10,0)</f>
        <v>1429</v>
      </c>
      <c r="M26" s="6" t="s">
        <v>1895</v>
      </c>
      <c r="N26" s="6" t="e">
        <f>VLOOKUP($B26,Sheet3!$B:$I,7,0)</f>
        <v>#N/A</v>
      </c>
      <c r="O26" s="6" t="str">
        <f>VLOOKUP($B26,Sheet4!$B:$L,11,0)</f>
        <v>1429</v>
      </c>
      <c r="P26" s="6" t="s">
        <v>1901</v>
      </c>
      <c r="Q26" s="5" t="s">
        <v>28</v>
      </c>
      <c r="R26" s="17" t="s">
        <v>29</v>
      </c>
      <c r="S26" s="36" t="s">
        <v>498</v>
      </c>
      <c r="T26" s="10" t="s">
        <v>503</v>
      </c>
      <c r="U26" s="58">
        <v>2.2599999999999998</v>
      </c>
      <c r="V26" s="9" t="s">
        <v>78</v>
      </c>
      <c r="W26" s="5" t="s">
        <v>79</v>
      </c>
      <c r="X26" s="34"/>
      <c r="Y26" s="3" t="s">
        <v>727</v>
      </c>
      <c r="Z26" s="15"/>
      <c r="AA26" s="15"/>
      <c r="AB26" s="15"/>
      <c r="AC26" s="15"/>
    </row>
    <row r="27" spans="1:29" ht="39.75" customHeight="1">
      <c r="A27" s="24">
        <v>24</v>
      </c>
      <c r="B27" s="4">
        <v>2154027656</v>
      </c>
      <c r="C27" s="5" t="s">
        <v>80</v>
      </c>
      <c r="D27" s="6" t="e">
        <f>VLOOKUP(B27,Sheet3!$B:$I,3,0)</f>
        <v>#N/A</v>
      </c>
      <c r="E27" s="6" t="str">
        <f>VLOOKUP($B27,Sheet4!$B:$L,4,0)</f>
        <v>16/05/2003</v>
      </c>
      <c r="F27" s="6" t="s">
        <v>7267</v>
      </c>
      <c r="G27" s="6" t="e">
        <f>VLOOKUP($B27,Sheet3!$B:$I,5,0)</f>
        <v>#N/A</v>
      </c>
      <c r="H27" s="6" t="str">
        <f>VLOOKUP($B27,Sheet4!$B:$L,5,0)</f>
        <v>Kiên Giang</v>
      </c>
      <c r="I27" s="6" t="e">
        <f>VLOOKUP(B27,[1]Sheet3!$D:$K,5,0)</f>
        <v>#N/A</v>
      </c>
      <c r="J27" s="6" t="s">
        <v>892</v>
      </c>
      <c r="K27" s="6" t="e">
        <f>VLOOKUP($B27,Sheet3!$B:$I,6,0)</f>
        <v>#N/A</v>
      </c>
      <c r="L27" s="6" t="str">
        <f>VLOOKUP($B27,Sheet4!$B:$L,10,0)</f>
        <v>157</v>
      </c>
      <c r="M27" s="6" t="s">
        <v>1895</v>
      </c>
      <c r="N27" s="6" t="e">
        <f>VLOOKUP($B27,Sheet3!$B:$I,7,0)</f>
        <v>#N/A</v>
      </c>
      <c r="O27" s="6" t="str">
        <f>VLOOKUP($B27,Sheet4!$B:$L,11,0)</f>
        <v>157</v>
      </c>
      <c r="P27" s="6"/>
      <c r="Q27" s="5" t="s">
        <v>28</v>
      </c>
      <c r="R27" s="17" t="s">
        <v>29</v>
      </c>
      <c r="S27" s="36" t="s">
        <v>498</v>
      </c>
      <c r="T27" s="10" t="s">
        <v>503</v>
      </c>
      <c r="U27" s="58">
        <v>2.44</v>
      </c>
      <c r="V27" s="9" t="s">
        <v>81</v>
      </c>
      <c r="W27" s="5" t="s">
        <v>79</v>
      </c>
      <c r="X27" s="34"/>
      <c r="Y27" s="3" t="s">
        <v>727</v>
      </c>
      <c r="Z27" s="15"/>
      <c r="AA27" s="15"/>
      <c r="AB27" s="15"/>
      <c r="AC27" s="15"/>
    </row>
    <row r="28" spans="1:29" ht="39.75" customHeight="1">
      <c r="A28" s="24">
        <v>25</v>
      </c>
      <c r="B28" s="4">
        <v>2154027133</v>
      </c>
      <c r="C28" s="5" t="s">
        <v>82</v>
      </c>
      <c r="D28" s="6" t="e">
        <f>VLOOKUP(B28,Sheet3!$B:$I,3,0)</f>
        <v>#N/A</v>
      </c>
      <c r="E28" s="6" t="str">
        <f>VLOOKUP($B28,Sheet4!$B:$L,4,0)</f>
        <v>28/02/2003</v>
      </c>
      <c r="F28" s="6" t="s">
        <v>7269</v>
      </c>
      <c r="G28" s="6" t="e">
        <f>VLOOKUP($B28,Sheet3!$B:$I,5,0)</f>
        <v>#N/A</v>
      </c>
      <c r="H28" s="6" t="str">
        <f>VLOOKUP($B28,Sheet4!$B:$L,5,0)</f>
        <v>Quảng Ngãi</v>
      </c>
      <c r="I28" s="6" t="e">
        <f>VLOOKUP(B28,[1]Sheet3!$D:$K,5,0)</f>
        <v>#N/A</v>
      </c>
      <c r="J28" s="6" t="s">
        <v>8879</v>
      </c>
      <c r="K28" s="6" t="e">
        <f>VLOOKUP($B28,Sheet3!$B:$I,6,0)</f>
        <v>#N/A</v>
      </c>
      <c r="L28" s="6" t="str">
        <f>VLOOKUP($B28,Sheet4!$B:$L,10,0)</f>
        <v>Kinh</v>
      </c>
      <c r="M28" s="6" t="s">
        <v>1895</v>
      </c>
      <c r="N28" s="6" t="e">
        <f>VLOOKUP($B28,Sheet3!$B:$I,7,0)</f>
        <v>#N/A</v>
      </c>
      <c r="O28" s="6" t="str">
        <f>VLOOKUP($B28,Sheet4!$B:$L,11,0)</f>
        <v>1300</v>
      </c>
      <c r="P28" s="6"/>
      <c r="Q28" s="5" t="s">
        <v>28</v>
      </c>
      <c r="R28" s="17" t="s">
        <v>29</v>
      </c>
      <c r="S28" s="36" t="s">
        <v>498</v>
      </c>
      <c r="T28" s="10" t="s">
        <v>503</v>
      </c>
      <c r="U28" s="58">
        <v>1.76</v>
      </c>
      <c r="V28" s="9" t="s">
        <v>83</v>
      </c>
      <c r="W28" s="5" t="s">
        <v>79</v>
      </c>
      <c r="X28" s="34"/>
      <c r="Y28" s="3" t="s">
        <v>727</v>
      </c>
      <c r="Z28" s="15"/>
      <c r="AA28" s="15"/>
      <c r="AB28" s="15"/>
      <c r="AC28" s="15"/>
    </row>
    <row r="29" spans="1:29" ht="39.75" customHeight="1">
      <c r="A29" s="24">
        <v>26</v>
      </c>
      <c r="B29" s="4">
        <v>2154027650</v>
      </c>
      <c r="C29" s="5" t="s">
        <v>84</v>
      </c>
      <c r="D29" s="6" t="e">
        <f>VLOOKUP(B29,Sheet3!$B:$I,3,0)</f>
        <v>#N/A</v>
      </c>
      <c r="E29" s="6" t="str">
        <f>VLOOKUP($B29,Sheet4!$B:$L,4,0)</f>
        <v>25/03/2003</v>
      </c>
      <c r="F29" s="6" t="s">
        <v>7213</v>
      </c>
      <c r="G29" s="6" t="e">
        <f>VLOOKUP($B29,Sheet3!$B:$I,5,0)</f>
        <v>#N/A</v>
      </c>
      <c r="H29" s="6" t="str">
        <f>VLOOKUP($B29,Sheet4!$B:$L,5,0)</f>
        <v>BV NDGia Định, Tp.HCM</v>
      </c>
      <c r="I29" s="6" t="e">
        <f>VLOOKUP(B29,[1]Sheet3!$D:$K,5,0)</f>
        <v>#N/A</v>
      </c>
      <c r="J29" s="6" t="s">
        <v>5255</v>
      </c>
      <c r="K29" s="6" t="e">
        <f>VLOOKUP($B29,Sheet3!$B:$I,6,0)</f>
        <v>#N/A</v>
      </c>
      <c r="L29" s="6" t="str">
        <f>VLOOKUP($B29,Sheet4!$B:$L,10,0)</f>
        <v>151</v>
      </c>
      <c r="M29" s="6" t="s">
        <v>1895</v>
      </c>
      <c r="N29" s="6" t="e">
        <f>VLOOKUP($B29,Sheet3!$B:$I,7,0)</f>
        <v>#N/A</v>
      </c>
      <c r="O29" s="6" t="str">
        <f>VLOOKUP($B29,Sheet4!$B:$L,11,0)</f>
        <v>151</v>
      </c>
      <c r="P29" s="6"/>
      <c r="Q29" s="5" t="s">
        <v>28</v>
      </c>
      <c r="R29" s="17" t="s">
        <v>29</v>
      </c>
      <c r="S29" s="36" t="s">
        <v>498</v>
      </c>
      <c r="T29" s="10" t="s">
        <v>503</v>
      </c>
      <c r="U29" s="58">
        <v>2.78</v>
      </c>
      <c r="V29" s="9" t="s">
        <v>85</v>
      </c>
      <c r="W29" s="5" t="s">
        <v>79</v>
      </c>
      <c r="X29" s="34"/>
      <c r="Y29" s="3" t="s">
        <v>727</v>
      </c>
      <c r="Z29" s="15"/>
      <c r="AA29" s="15"/>
      <c r="AB29" s="15"/>
      <c r="AC29" s="15"/>
    </row>
    <row r="30" spans="1:29" ht="39.75" customHeight="1">
      <c r="A30" s="24">
        <v>27</v>
      </c>
      <c r="B30" s="4">
        <v>2154027736</v>
      </c>
      <c r="C30" s="5" t="s">
        <v>86</v>
      </c>
      <c r="D30" s="6" t="e">
        <f>VLOOKUP(B30,Sheet3!$B:$I,3,0)</f>
        <v>#N/A</v>
      </c>
      <c r="E30" s="6" t="str">
        <f>VLOOKUP($B30,Sheet4!$B:$L,4,0)</f>
        <v>20/05/2003</v>
      </c>
      <c r="F30" s="6" t="s">
        <v>7167</v>
      </c>
      <c r="G30" s="6" t="e">
        <f>VLOOKUP($B30,Sheet3!$B:$I,5,0)</f>
        <v>#N/A</v>
      </c>
      <c r="H30" s="6" t="str">
        <f>VLOOKUP($B30,Sheet4!$B:$L,5,0)</f>
        <v>Đăk Lăk</v>
      </c>
      <c r="I30" s="6" t="e">
        <f>VLOOKUP(B30,[1]Sheet3!$D:$K,5,0)</f>
        <v>#N/A</v>
      </c>
      <c r="J30" s="6" t="s">
        <v>8879</v>
      </c>
      <c r="K30" s="6" t="e">
        <f>VLOOKUP($B30,Sheet3!$B:$I,6,0)</f>
        <v>#N/A</v>
      </c>
      <c r="L30" s="6" t="str">
        <f>VLOOKUP($B30,Sheet4!$B:$L,10,0)</f>
        <v>Kinh</v>
      </c>
      <c r="M30" s="6" t="s">
        <v>1895</v>
      </c>
      <c r="N30" s="6" t="e">
        <f>VLOOKUP($B30,Sheet3!$B:$I,7,0)</f>
        <v>#N/A</v>
      </c>
      <c r="O30" s="6" t="str">
        <f>VLOOKUP($B30,Sheet4!$B:$L,11,0)</f>
        <v>237</v>
      </c>
      <c r="P30" s="6"/>
      <c r="Q30" s="5" t="s">
        <v>28</v>
      </c>
      <c r="R30" s="17" t="s">
        <v>29</v>
      </c>
      <c r="S30" s="36" t="s">
        <v>498</v>
      </c>
      <c r="T30" s="10" t="s">
        <v>503</v>
      </c>
      <c r="U30" s="58">
        <v>2.04</v>
      </c>
      <c r="V30" s="9" t="s">
        <v>87</v>
      </c>
      <c r="W30" s="5" t="s">
        <v>79</v>
      </c>
      <c r="X30" s="34"/>
      <c r="Y30" s="3" t="s">
        <v>727</v>
      </c>
      <c r="Z30" s="15"/>
      <c r="AA30" s="15"/>
      <c r="AB30" s="15"/>
      <c r="AC30" s="15"/>
    </row>
    <row r="31" spans="1:29" ht="39.75" customHeight="1">
      <c r="A31" s="24">
        <v>28</v>
      </c>
      <c r="B31" s="4">
        <v>2154027125</v>
      </c>
      <c r="C31" s="5" t="s">
        <v>88</v>
      </c>
      <c r="D31" s="6" t="e">
        <f>VLOOKUP(B31,Sheet3!$B:$I,3,0)</f>
        <v>#N/A</v>
      </c>
      <c r="E31" s="6" t="str">
        <f>VLOOKUP($B31,Sheet4!$B:$L,4,0)</f>
        <v>11/05/2003</v>
      </c>
      <c r="F31" s="6" t="s">
        <v>7096</v>
      </c>
      <c r="G31" s="6" t="e">
        <f>VLOOKUP($B31,Sheet3!$B:$I,5,0)</f>
        <v>#N/A</v>
      </c>
      <c r="H31" s="6" t="str">
        <f>VLOOKUP($B31,Sheet4!$B:$L,5,0)</f>
        <v>Hải Phòng</v>
      </c>
      <c r="I31" s="6" t="e">
        <f>VLOOKUP(B31,[1]Sheet3!$D:$K,5,0)</f>
        <v>#N/A</v>
      </c>
      <c r="J31" s="6" t="s">
        <v>945</v>
      </c>
      <c r="K31" s="6" t="e">
        <f>VLOOKUP($B31,Sheet3!$B:$I,6,0)</f>
        <v>#N/A</v>
      </c>
      <c r="L31" s="6" t="str">
        <f>VLOOKUP($B31,Sheet4!$B:$L,10,0)</f>
        <v>Kinh</v>
      </c>
      <c r="M31" s="6" t="s">
        <v>1895</v>
      </c>
      <c r="N31" s="6" t="e">
        <f>VLOOKUP($B31,Sheet3!$B:$I,7,0)</f>
        <v>#N/A</v>
      </c>
      <c r="O31" s="6" t="str">
        <f>VLOOKUP($B31,Sheet4!$B:$L,11,0)</f>
        <v>1292</v>
      </c>
      <c r="P31" s="6"/>
      <c r="Q31" s="5" t="s">
        <v>28</v>
      </c>
      <c r="R31" s="17" t="s">
        <v>29</v>
      </c>
      <c r="S31" s="36" t="s">
        <v>498</v>
      </c>
      <c r="T31" s="10" t="s">
        <v>503</v>
      </c>
      <c r="U31" s="58">
        <v>2.17</v>
      </c>
      <c r="V31" s="9" t="s">
        <v>89</v>
      </c>
      <c r="W31" s="5" t="s">
        <v>79</v>
      </c>
      <c r="X31" s="34"/>
      <c r="Y31" s="3" t="s">
        <v>727</v>
      </c>
      <c r="Z31" s="15"/>
      <c r="AA31" s="15"/>
      <c r="AB31" s="15"/>
      <c r="AC31" s="15"/>
    </row>
    <row r="32" spans="1:29" ht="39.75" customHeight="1">
      <c r="A32" s="24">
        <v>29</v>
      </c>
      <c r="B32" s="4">
        <v>2154027904</v>
      </c>
      <c r="C32" s="5" t="s">
        <v>90</v>
      </c>
      <c r="D32" s="6" t="e">
        <f>VLOOKUP(B32,Sheet3!$B:$I,3,0)</f>
        <v>#N/A</v>
      </c>
      <c r="E32" s="6" t="str">
        <f>VLOOKUP($B32,Sheet4!$B:$L,4,0)</f>
        <v>17/11/2003</v>
      </c>
      <c r="F32" s="6" t="s">
        <v>7237</v>
      </c>
      <c r="G32" s="6" t="e">
        <f>VLOOKUP($B32,Sheet3!$B:$I,5,0)</f>
        <v>#N/A</v>
      </c>
      <c r="H32" s="6" t="str">
        <f>VLOOKUP($B32,Sheet4!$B:$L,5,0)</f>
        <v>Tp.HCM</v>
      </c>
      <c r="I32" s="6" t="e">
        <f>VLOOKUP(B32,[1]Sheet3!$D:$K,5,0)</f>
        <v>#N/A</v>
      </c>
      <c r="J32" s="6" t="s">
        <v>5255</v>
      </c>
      <c r="K32" s="6" t="e">
        <f>VLOOKUP($B32,Sheet3!$B:$I,6,0)</f>
        <v>#N/A</v>
      </c>
      <c r="L32" s="6" t="str">
        <f>VLOOKUP($B32,Sheet4!$B:$L,10,0)</f>
        <v>Kinh</v>
      </c>
      <c r="M32" s="6" t="s">
        <v>1895</v>
      </c>
      <c r="N32" s="6" t="e">
        <f>VLOOKUP($B32,Sheet3!$B:$I,7,0)</f>
        <v>#N/A</v>
      </c>
      <c r="O32" s="6" t="str">
        <f>VLOOKUP($B32,Sheet4!$B:$L,11,0)</f>
        <v>51</v>
      </c>
      <c r="P32" s="6"/>
      <c r="Q32" s="5" t="s">
        <v>28</v>
      </c>
      <c r="R32" s="17" t="s">
        <v>29</v>
      </c>
      <c r="S32" s="36" t="s">
        <v>498</v>
      </c>
      <c r="T32" s="10" t="s">
        <v>503</v>
      </c>
      <c r="U32" s="58">
        <v>1.89</v>
      </c>
      <c r="V32" s="9" t="s">
        <v>92</v>
      </c>
      <c r="W32" s="5" t="s">
        <v>79</v>
      </c>
      <c r="X32" s="34"/>
      <c r="Y32" s="3" t="s">
        <v>727</v>
      </c>
      <c r="Z32" s="15"/>
      <c r="AA32" s="15"/>
      <c r="AB32" s="15"/>
      <c r="AC32" s="15"/>
    </row>
    <row r="33" spans="1:29" ht="39.75" customHeight="1">
      <c r="A33" s="24">
        <v>30</v>
      </c>
      <c r="B33" s="4">
        <v>2054027428</v>
      </c>
      <c r="C33" s="5" t="s">
        <v>93</v>
      </c>
      <c r="D33" s="6" t="str">
        <f>VLOOKUP(B33,Sheet3!$B:$I,3,0)</f>
        <v>29/10/2002</v>
      </c>
      <c r="E33" s="6" t="str">
        <f>VLOOKUP($B33,Sheet4!$B:$L,4,0)</f>
        <v>29/10/2002</v>
      </c>
      <c r="F33" s="6" t="s">
        <v>1661</v>
      </c>
      <c r="G33" s="6">
        <f>VLOOKUP($B33,Sheet3!$B:$I,5,0)</f>
        <v>0</v>
      </c>
      <c r="H33" s="6" t="str">
        <f>VLOOKUP($B33,Sheet4!$B:$L,5,0)</f>
        <v>An Giang</v>
      </c>
      <c r="I33" s="6" t="e">
        <f>VLOOKUP(B33,[1]Sheet3!$D:$K,5,0)</f>
        <v>#N/A</v>
      </c>
      <c r="J33" s="6" t="s">
        <v>892</v>
      </c>
      <c r="K33" s="6">
        <f>VLOOKUP($B33,Sheet3!$B:$I,6,0)</f>
        <v>0</v>
      </c>
      <c r="L33" s="6" t="str">
        <f>VLOOKUP($B33,Sheet4!$B:$L,10,0)</f>
        <v>Kinh</v>
      </c>
      <c r="M33" s="6" t="s">
        <v>1895</v>
      </c>
      <c r="N33" s="6">
        <f>VLOOKUP($B33,Sheet3!$B:$I,7,0)</f>
        <v>0</v>
      </c>
      <c r="O33" s="6" t="str">
        <f>VLOOKUP($B33,Sheet4!$B:$L,11,0)</f>
        <v>không</v>
      </c>
      <c r="P33" s="6"/>
      <c r="Q33" s="5" t="s">
        <v>94</v>
      </c>
      <c r="R33" s="17" t="s">
        <v>29</v>
      </c>
      <c r="S33" s="36" t="s">
        <v>500</v>
      </c>
      <c r="T33" s="10" t="s">
        <v>503</v>
      </c>
      <c r="U33" s="58" t="s">
        <v>561</v>
      </c>
      <c r="V33" s="9" t="s">
        <v>738</v>
      </c>
      <c r="W33" s="5" t="s">
        <v>96</v>
      </c>
      <c r="X33" s="34"/>
      <c r="Y33" s="3" t="s">
        <v>727</v>
      </c>
      <c r="Z33" s="15"/>
      <c r="AA33" s="15"/>
      <c r="AB33" s="15"/>
      <c r="AC33" s="15"/>
    </row>
    <row r="34" spans="1:29" ht="39.75" customHeight="1">
      <c r="A34" s="24">
        <v>31</v>
      </c>
      <c r="B34" s="4">
        <v>2154027723</v>
      </c>
      <c r="C34" s="5" t="s">
        <v>97</v>
      </c>
      <c r="D34" s="6" t="e">
        <f>VLOOKUP(B34,Sheet3!$B:$I,3,0)</f>
        <v>#N/A</v>
      </c>
      <c r="E34" s="6" t="str">
        <f>VLOOKUP($B34,Sheet4!$B:$L,4,0)</f>
        <v>01/09/2003</v>
      </c>
      <c r="F34" s="6"/>
      <c r="G34" s="6" t="e">
        <f>VLOOKUP($B34,Sheet3!$B:$I,5,0)</f>
        <v>#N/A</v>
      </c>
      <c r="H34" s="6" t="str">
        <f>VLOOKUP($B34,Sheet4!$B:$L,5,0)</f>
        <v>Đăk Lăk</v>
      </c>
      <c r="I34" s="6" t="e">
        <f>VLOOKUP(B34,[1]Sheet3!$D:$K,5,0)</f>
        <v>#N/A</v>
      </c>
      <c r="J34" s="6"/>
      <c r="K34" s="6" t="e">
        <f>VLOOKUP($B34,Sheet3!$B:$I,6,0)</f>
        <v>#N/A</v>
      </c>
      <c r="L34" s="6" t="str">
        <f>VLOOKUP($B34,Sheet4!$B:$L,10,0)</f>
        <v>Kinh</v>
      </c>
      <c r="M34" s="6"/>
      <c r="N34" s="6" t="e">
        <f>VLOOKUP($B34,Sheet3!$B:$I,7,0)</f>
        <v>#N/A</v>
      </c>
      <c r="O34" s="6" t="str">
        <f>VLOOKUP($B34,Sheet4!$B:$L,11,0)</f>
        <v>224</v>
      </c>
      <c r="P34" s="6"/>
      <c r="Q34" s="5" t="s">
        <v>62</v>
      </c>
      <c r="R34" s="17" t="s">
        <v>55</v>
      </c>
      <c r="S34" s="36" t="s">
        <v>498</v>
      </c>
      <c r="T34" s="10" t="s">
        <v>503</v>
      </c>
      <c r="U34" s="58">
        <v>2.2000000000000002</v>
      </c>
      <c r="V34" s="9" t="s">
        <v>98</v>
      </c>
      <c r="W34" s="5" t="s">
        <v>96</v>
      </c>
      <c r="X34" s="34"/>
      <c r="Y34" s="3" t="s">
        <v>727</v>
      </c>
      <c r="Z34" s="15"/>
      <c r="AA34" s="15"/>
      <c r="AB34" s="15"/>
      <c r="AC34" s="15"/>
    </row>
    <row r="35" spans="1:29" ht="39.75" customHeight="1">
      <c r="A35" s="24">
        <v>32</v>
      </c>
      <c r="B35" s="4">
        <v>2054027342</v>
      </c>
      <c r="C35" s="5" t="s">
        <v>99</v>
      </c>
      <c r="D35" s="6" t="str">
        <f>VLOOKUP(B35,Sheet3!$B:$I,3,0)</f>
        <v>26/02/2002</v>
      </c>
      <c r="E35" s="6" t="str">
        <f>VLOOKUP($B35,Sheet4!$B:$L,4,0)</f>
        <v>26/02/2001</v>
      </c>
      <c r="F35" s="6" t="s">
        <v>7274</v>
      </c>
      <c r="G35" s="6">
        <f>VLOOKUP($B35,Sheet3!$B:$I,5,0)</f>
        <v>0</v>
      </c>
      <c r="H35" s="6">
        <f>VLOOKUP($B35,Sheet4!$B:$L,5,0)</f>
        <v>0</v>
      </c>
      <c r="I35" s="6" t="e">
        <f>VLOOKUP(B35,[1]Sheet3!$D:$K,5,0)</f>
        <v>#N/A</v>
      </c>
      <c r="J35" s="6" t="s">
        <v>5255</v>
      </c>
      <c r="K35" s="6">
        <f>VLOOKUP($B35,Sheet3!$B:$I,6,0)</f>
        <v>0</v>
      </c>
      <c r="L35" s="6">
        <f>VLOOKUP($B35,Sheet4!$B:$L,10,0)</f>
        <v>0</v>
      </c>
      <c r="M35" s="6" t="s">
        <v>1895</v>
      </c>
      <c r="N35" s="6">
        <f>VLOOKUP($B35,Sheet3!$B:$I,7,0)</f>
        <v>0</v>
      </c>
      <c r="O35" s="6">
        <f>VLOOKUP($B35,Sheet4!$B:$L,11,0)</f>
        <v>0</v>
      </c>
      <c r="P35" s="6"/>
      <c r="Q35" s="5" t="s">
        <v>62</v>
      </c>
      <c r="R35" s="17" t="s">
        <v>55</v>
      </c>
      <c r="S35" s="36" t="s">
        <v>498</v>
      </c>
      <c r="T35" s="10" t="s">
        <v>503</v>
      </c>
      <c r="U35" s="58">
        <v>1.96</v>
      </c>
      <c r="V35" s="9" t="s">
        <v>100</v>
      </c>
      <c r="W35" s="5" t="s">
        <v>96</v>
      </c>
      <c r="X35" s="34"/>
      <c r="Y35" s="3" t="s">
        <v>727</v>
      </c>
      <c r="Z35" s="15"/>
      <c r="AA35" s="15"/>
      <c r="AB35" s="15"/>
      <c r="AC35" s="15"/>
    </row>
    <row r="36" spans="1:29" ht="39.75" customHeight="1">
      <c r="A36" s="24">
        <v>33</v>
      </c>
      <c r="B36" s="4">
        <v>2154027661</v>
      </c>
      <c r="C36" s="5" t="s">
        <v>101</v>
      </c>
      <c r="D36" s="6" t="e">
        <f>VLOOKUP(B36,Sheet3!$B:$I,3,0)</f>
        <v>#N/A</v>
      </c>
      <c r="E36" s="6" t="str">
        <f>VLOOKUP($B36,Sheet4!$B:$L,4,0)</f>
        <v>02/06/2003</v>
      </c>
      <c r="F36" s="6" t="s">
        <v>7133</v>
      </c>
      <c r="G36" s="6" t="e">
        <f>VLOOKUP($B36,Sheet3!$B:$I,5,0)</f>
        <v>#N/A</v>
      </c>
      <c r="H36" s="6" t="str">
        <f>VLOOKUP($B36,Sheet4!$B:$L,5,0)</f>
        <v>Thành phố Hồ Chí Minh</v>
      </c>
      <c r="I36" s="6" t="e">
        <f>VLOOKUP(B36,[1]Sheet3!$D:$K,5,0)</f>
        <v>#N/A</v>
      </c>
      <c r="J36" s="6" t="s">
        <v>5255</v>
      </c>
      <c r="K36" s="6" t="e">
        <f>VLOOKUP($B36,Sheet3!$B:$I,6,0)</f>
        <v>#N/A</v>
      </c>
      <c r="L36" s="6" t="str">
        <f>VLOOKUP($B36,Sheet4!$B:$L,10,0)</f>
        <v>Kinh</v>
      </c>
      <c r="M36" s="6" t="s">
        <v>1895</v>
      </c>
      <c r="N36" s="6" t="e">
        <f>VLOOKUP($B36,Sheet3!$B:$I,7,0)</f>
        <v>#N/A</v>
      </c>
      <c r="O36" s="6" t="str">
        <f>VLOOKUP($B36,Sheet4!$B:$L,11,0)</f>
        <v>Không</v>
      </c>
      <c r="P36" s="6"/>
      <c r="Q36" s="5" t="s">
        <v>62</v>
      </c>
      <c r="R36" s="17" t="s">
        <v>55</v>
      </c>
      <c r="S36" s="36" t="s">
        <v>498</v>
      </c>
      <c r="T36" s="10" t="s">
        <v>503</v>
      </c>
      <c r="U36" s="58">
        <v>2.1</v>
      </c>
      <c r="V36" s="9" t="s">
        <v>742</v>
      </c>
      <c r="W36" s="5" t="s">
        <v>96</v>
      </c>
      <c r="X36" s="34"/>
      <c r="Y36" s="3" t="s">
        <v>727</v>
      </c>
      <c r="Z36" s="15"/>
      <c r="AA36" s="15"/>
      <c r="AB36" s="15"/>
      <c r="AC36" s="15"/>
    </row>
    <row r="37" spans="1:29" ht="39.75" customHeight="1">
      <c r="A37" s="24">
        <v>34</v>
      </c>
      <c r="B37" s="4">
        <v>2154025165</v>
      </c>
      <c r="C37" s="5" t="s">
        <v>103</v>
      </c>
      <c r="D37" s="6" t="e">
        <f>VLOOKUP(B37,Sheet3!$B:$I,3,0)</f>
        <v>#N/A</v>
      </c>
      <c r="E37" s="6" t="str">
        <f>VLOOKUP($B37,Sheet4!$B:$L,4,0)</f>
        <v>01/09/2003</v>
      </c>
      <c r="F37" s="6" t="s">
        <v>7163</v>
      </c>
      <c r="G37" s="6" t="e">
        <f>VLOOKUP($B37,Sheet3!$B:$I,5,0)</f>
        <v>#N/A</v>
      </c>
      <c r="H37" s="6" t="str">
        <f>VLOOKUP($B37,Sheet4!$B:$L,5,0)</f>
        <v>Xã Vân Từ, huyện Phú Xuyên, thành phố Hà Nội</v>
      </c>
      <c r="I37" s="6" t="e">
        <f>VLOOKUP(B37,[1]Sheet3!$D:$K,5,0)</f>
        <v>#N/A</v>
      </c>
      <c r="J37" s="6" t="s">
        <v>8880</v>
      </c>
      <c r="K37" s="6" t="e">
        <f>VLOOKUP($B37,Sheet3!$B:$I,6,0)</f>
        <v>#N/A</v>
      </c>
      <c r="L37" s="6" t="str">
        <f>VLOOKUP($B37,Sheet4!$B:$L,10,0)</f>
        <v>Kinh</v>
      </c>
      <c r="M37" s="6" t="s">
        <v>1895</v>
      </c>
      <c r="N37" s="6" t="e">
        <f>VLOOKUP($B37,Sheet3!$B:$I,7,0)</f>
        <v>#N/A</v>
      </c>
      <c r="O37" s="6" t="str">
        <f>VLOOKUP($B37,Sheet4!$B:$L,11,0)</f>
        <v>Không</v>
      </c>
      <c r="P37" s="6"/>
      <c r="Q37" s="5" t="s">
        <v>62</v>
      </c>
      <c r="R37" s="17" t="s">
        <v>55</v>
      </c>
      <c r="S37" s="36" t="s">
        <v>498</v>
      </c>
      <c r="T37" s="10" t="s">
        <v>503</v>
      </c>
      <c r="U37" s="58">
        <v>2.48</v>
      </c>
      <c r="V37" s="9" t="s">
        <v>743</v>
      </c>
      <c r="W37" s="5" t="s">
        <v>96</v>
      </c>
      <c r="X37" s="34"/>
      <c r="Y37" s="3" t="s">
        <v>727</v>
      </c>
      <c r="Z37" s="15"/>
      <c r="AA37" s="15"/>
      <c r="AB37" s="15"/>
      <c r="AC37" s="15"/>
    </row>
    <row r="38" spans="1:29" ht="39.75" customHeight="1">
      <c r="A38" s="24">
        <v>35</v>
      </c>
      <c r="B38" s="4">
        <v>2154027263</v>
      </c>
      <c r="C38" s="5" t="s">
        <v>105</v>
      </c>
      <c r="D38" s="6" t="e">
        <f>VLOOKUP(B38,Sheet3!$B:$I,3,0)</f>
        <v>#N/A</v>
      </c>
      <c r="E38" s="6" t="str">
        <f>VLOOKUP($B38,Sheet4!$B:$L,4,0)</f>
        <v>20/12/2003</v>
      </c>
      <c r="F38" s="6" t="s">
        <v>7250</v>
      </c>
      <c r="G38" s="6" t="e">
        <f>VLOOKUP($B38,Sheet3!$B:$I,5,0)</f>
        <v>#N/A</v>
      </c>
      <c r="H38" s="6" t="str">
        <f>VLOOKUP($B38,Sheet4!$B:$L,5,0)</f>
        <v>Phú Yên</v>
      </c>
      <c r="I38" s="6" t="str">
        <f>VLOOKUP(B38,[1]Sheet3!$D:$K,5,0)</f>
        <v>Phú Yên</v>
      </c>
      <c r="J38" s="6" t="s">
        <v>768</v>
      </c>
      <c r="K38" s="6" t="e">
        <f>VLOOKUP($B38,Sheet3!$B:$I,6,0)</f>
        <v>#N/A</v>
      </c>
      <c r="L38" s="6" t="str">
        <f>VLOOKUP($B38,Sheet4!$B:$L,10,0)</f>
        <v>Kinh</v>
      </c>
      <c r="M38" s="6" t="s">
        <v>1895</v>
      </c>
      <c r="N38" s="6" t="e">
        <f>VLOOKUP($B38,Sheet3!$B:$I,7,0)</f>
        <v>#N/A</v>
      </c>
      <c r="O38" s="6" t="str">
        <f>VLOOKUP($B38,Sheet4!$B:$L,11,0)</f>
        <v>1430</v>
      </c>
      <c r="P38" s="6" t="s">
        <v>1901</v>
      </c>
      <c r="Q38" s="5" t="s">
        <v>62</v>
      </c>
      <c r="R38" s="17" t="s">
        <v>55</v>
      </c>
      <c r="S38" s="36" t="s">
        <v>498</v>
      </c>
      <c r="T38" s="10" t="s">
        <v>503</v>
      </c>
      <c r="U38" s="58">
        <v>2.3199999999999998</v>
      </c>
      <c r="V38" s="9" t="s">
        <v>106</v>
      </c>
      <c r="W38" s="5" t="s">
        <v>96</v>
      </c>
      <c r="X38" s="34"/>
      <c r="Y38" s="3" t="s">
        <v>727</v>
      </c>
      <c r="Z38" s="15"/>
      <c r="AA38" s="15"/>
      <c r="AB38" s="15"/>
      <c r="AC38" s="15"/>
    </row>
    <row r="39" spans="1:29" ht="39.75" customHeight="1">
      <c r="A39" s="24">
        <v>36</v>
      </c>
      <c r="B39" s="4">
        <v>2154077824</v>
      </c>
      <c r="C39" s="5" t="s">
        <v>107</v>
      </c>
      <c r="D39" s="6" t="e">
        <f>VLOOKUP(B39,Sheet3!$B:$I,3,0)</f>
        <v>#N/A</v>
      </c>
      <c r="E39" s="6" t="str">
        <f>VLOOKUP($B39,Sheet4!$B:$L,4,0)</f>
        <v>13/10/2003</v>
      </c>
      <c r="F39" s="6" t="s">
        <v>3623</v>
      </c>
      <c r="G39" s="6" t="e">
        <f>VLOOKUP($B39,Sheet3!$B:$I,5,0)</f>
        <v>#N/A</v>
      </c>
      <c r="H39" s="6" t="str">
        <f>VLOOKUP($B39,Sheet4!$B:$L,5,0)</f>
        <v>Hóc môn, Tp.HCM</v>
      </c>
      <c r="I39" s="6" t="str">
        <f>VLOOKUP(B39,[1]Sheet3!$D:$K,5,0)</f>
        <v>TPHCM</v>
      </c>
      <c r="J39" s="6" t="s">
        <v>5255</v>
      </c>
      <c r="K39" s="6" t="e">
        <f>VLOOKUP($B39,Sheet3!$B:$I,6,0)</f>
        <v>#N/A</v>
      </c>
      <c r="L39" s="6" t="str">
        <f>VLOOKUP($B39,Sheet4!$B:$L,10,0)</f>
        <v>Kinh</v>
      </c>
      <c r="M39" s="6" t="s">
        <v>1895</v>
      </c>
      <c r="N39" s="6" t="e">
        <f>VLOOKUP($B39,Sheet3!$B:$I,7,0)</f>
        <v>#N/A</v>
      </c>
      <c r="O39" s="6" t="str">
        <f>VLOOKUP($B39,Sheet4!$B:$L,11,0)</f>
        <v>325</v>
      </c>
      <c r="P39" s="6" t="s">
        <v>1901</v>
      </c>
      <c r="Q39" s="5" t="s">
        <v>108</v>
      </c>
      <c r="R39" s="17" t="s">
        <v>665</v>
      </c>
      <c r="S39" s="36" t="s">
        <v>498</v>
      </c>
      <c r="T39" s="10" t="s">
        <v>503</v>
      </c>
      <c r="U39" s="58">
        <v>2.37</v>
      </c>
      <c r="V39" s="9" t="s">
        <v>109</v>
      </c>
      <c r="W39" s="5" t="s">
        <v>110</v>
      </c>
      <c r="X39" s="34" t="s">
        <v>111</v>
      </c>
      <c r="Y39" s="3" t="s">
        <v>727</v>
      </c>
      <c r="Z39" s="15"/>
      <c r="AA39" s="15"/>
      <c r="AB39" s="15"/>
      <c r="AC39" s="15"/>
    </row>
    <row r="40" spans="1:29" ht="39.75" customHeight="1">
      <c r="A40" s="24">
        <v>37</v>
      </c>
      <c r="B40" s="4">
        <v>2154077878</v>
      </c>
      <c r="C40" s="5" t="s">
        <v>112</v>
      </c>
      <c r="D40" s="6" t="e">
        <f>VLOOKUP(B40,Sheet3!$B:$I,3,0)</f>
        <v>#N/A</v>
      </c>
      <c r="E40" s="6" t="str">
        <f>VLOOKUP($B40,Sheet4!$B:$L,4,0)</f>
        <v>29/10/2003</v>
      </c>
      <c r="F40" s="6" t="s">
        <v>3805</v>
      </c>
      <c r="G40" s="6" t="e">
        <f>VLOOKUP($B40,Sheet3!$B:$I,5,0)</f>
        <v>#N/A</v>
      </c>
      <c r="H40" s="6" t="str">
        <f>VLOOKUP($B40,Sheet4!$B:$L,5,0)</f>
        <v>Bình Định</v>
      </c>
      <c r="I40" s="6" t="str">
        <f>VLOOKUP(B40,[1]Sheet3!$D:$K,5,0)</f>
        <v xml:space="preserve"> Xã Mỹ Quang, huyện Phù Mỹ, tỉnh Bình Định</v>
      </c>
      <c r="J40" s="6" t="s">
        <v>821</v>
      </c>
      <c r="K40" s="6" t="e">
        <f>VLOOKUP($B40,Sheet3!$B:$I,6,0)</f>
        <v>#N/A</v>
      </c>
      <c r="L40" s="6" t="str">
        <f>VLOOKUP($B40,Sheet4!$B:$L,10,0)</f>
        <v>Kinh</v>
      </c>
      <c r="M40" s="6" t="s">
        <v>1895</v>
      </c>
      <c r="N40" s="6" t="e">
        <f>VLOOKUP($B40,Sheet3!$B:$I,7,0)</f>
        <v>#N/A</v>
      </c>
      <c r="O40" s="6" t="str">
        <f>VLOOKUP($B40,Sheet4!$B:$L,11,0)</f>
        <v>379</v>
      </c>
      <c r="P40" s="6" t="s">
        <v>1901</v>
      </c>
      <c r="Q40" s="5" t="s">
        <v>108</v>
      </c>
      <c r="R40" s="17" t="s">
        <v>665</v>
      </c>
      <c r="S40" s="36" t="s">
        <v>498</v>
      </c>
      <c r="T40" s="10" t="s">
        <v>503</v>
      </c>
      <c r="U40" s="58">
        <v>2.1</v>
      </c>
      <c r="V40" s="9" t="s">
        <v>113</v>
      </c>
      <c r="W40" s="5" t="s">
        <v>110</v>
      </c>
      <c r="X40" s="34" t="s">
        <v>111</v>
      </c>
      <c r="Y40" s="3" t="s">
        <v>727</v>
      </c>
      <c r="Z40" s="15"/>
      <c r="AA40" s="15"/>
      <c r="AB40" s="15"/>
      <c r="AC40" s="15"/>
    </row>
    <row r="41" spans="1:29" ht="39.75" customHeight="1">
      <c r="A41" s="24">
        <v>38</v>
      </c>
      <c r="B41" s="4">
        <v>2154077855</v>
      </c>
      <c r="C41" s="5" t="s">
        <v>114</v>
      </c>
      <c r="D41" s="6" t="e">
        <f>VLOOKUP(B41,Sheet3!$B:$I,3,0)</f>
        <v>#N/A</v>
      </c>
      <c r="E41" s="6" t="str">
        <f>VLOOKUP($B41,Sheet4!$B:$L,4,0)</f>
        <v>03/10/2003</v>
      </c>
      <c r="F41" s="6" t="s">
        <v>3793</v>
      </c>
      <c r="G41" s="6" t="e">
        <f>VLOOKUP($B41,Sheet3!$B:$I,5,0)</f>
        <v>#N/A</v>
      </c>
      <c r="H41" s="6" t="str">
        <f>VLOOKUP($B41,Sheet4!$B:$L,5,0)</f>
        <v>Tp.HCM</v>
      </c>
      <c r="I41" s="6" t="str">
        <f>VLOOKUP(B41,[1]Sheet3!$D:$K,5,0)</f>
        <v>Thành phố Hồ Chí Minh</v>
      </c>
      <c r="J41" s="6" t="s">
        <v>5255</v>
      </c>
      <c r="K41" s="6" t="e">
        <f>VLOOKUP($B41,Sheet3!$B:$I,6,0)</f>
        <v>#N/A</v>
      </c>
      <c r="L41" s="6" t="str">
        <f>VLOOKUP($B41,Sheet4!$B:$L,10,0)</f>
        <v>Hoa</v>
      </c>
      <c r="M41" s="6" t="s">
        <v>2135</v>
      </c>
      <c r="N41" s="6" t="e">
        <f>VLOOKUP($B41,Sheet3!$B:$I,7,0)</f>
        <v>#N/A</v>
      </c>
      <c r="O41" s="6" t="str">
        <f>VLOOKUP($B41,Sheet4!$B:$L,11,0)</f>
        <v>356</v>
      </c>
      <c r="P41" s="6" t="s">
        <v>1901</v>
      </c>
      <c r="Q41" s="5" t="s">
        <v>108</v>
      </c>
      <c r="R41" s="17" t="s">
        <v>665</v>
      </c>
      <c r="S41" s="36" t="s">
        <v>498</v>
      </c>
      <c r="T41" s="10" t="s">
        <v>503</v>
      </c>
      <c r="U41" s="58">
        <v>3.26</v>
      </c>
      <c r="V41" s="9" t="s">
        <v>115</v>
      </c>
      <c r="W41" s="5" t="s">
        <v>110</v>
      </c>
      <c r="X41" s="34" t="s">
        <v>111</v>
      </c>
      <c r="Y41" s="3" t="s">
        <v>727</v>
      </c>
      <c r="Z41" s="15"/>
      <c r="AA41" s="15"/>
      <c r="AB41" s="15"/>
      <c r="AC41" s="15"/>
    </row>
    <row r="42" spans="1:29" ht="39.75" customHeight="1">
      <c r="A42" s="24">
        <v>39</v>
      </c>
      <c r="B42" s="4">
        <v>2154077848</v>
      </c>
      <c r="C42" s="5" t="s">
        <v>116</v>
      </c>
      <c r="D42" s="6" t="e">
        <f>VLOOKUP(B42,Sheet3!$B:$I,3,0)</f>
        <v>#N/A</v>
      </c>
      <c r="E42" s="6" t="str">
        <f>VLOOKUP($B42,Sheet4!$B:$L,4,0)</f>
        <v>07/09/2003</v>
      </c>
      <c r="F42" s="6" t="s">
        <v>7223</v>
      </c>
      <c r="G42" s="6" t="e">
        <f>VLOOKUP($B42,Sheet3!$B:$I,5,0)</f>
        <v>#N/A</v>
      </c>
      <c r="H42" s="6" t="str">
        <f>VLOOKUP($B42,Sheet4!$B:$L,5,0)</f>
        <v>Đồng Nai</v>
      </c>
      <c r="I42" s="6" t="str">
        <f>VLOOKUP(B42,[1]Sheet3!$D:$K,5,0)</f>
        <v xml:space="preserve">Đồng Nai </v>
      </c>
      <c r="J42" s="6" t="s">
        <v>8882</v>
      </c>
      <c r="K42" s="6" t="e">
        <f>VLOOKUP($B42,Sheet3!$B:$I,6,0)</f>
        <v>#N/A</v>
      </c>
      <c r="L42" s="6" t="str">
        <f>VLOOKUP($B42,Sheet4!$B:$L,10,0)</f>
        <v>Kinh</v>
      </c>
      <c r="M42" s="6" t="s">
        <v>1895</v>
      </c>
      <c r="N42" s="6" t="e">
        <f>VLOOKUP($B42,Sheet3!$B:$I,7,0)</f>
        <v>#N/A</v>
      </c>
      <c r="O42" s="6" t="str">
        <f>VLOOKUP($B42,Sheet4!$B:$L,11,0)</f>
        <v>349</v>
      </c>
      <c r="P42" s="6" t="s">
        <v>1901</v>
      </c>
      <c r="Q42" s="5" t="s">
        <v>108</v>
      </c>
      <c r="R42" s="17" t="s">
        <v>665</v>
      </c>
      <c r="S42" s="36" t="s">
        <v>498</v>
      </c>
      <c r="T42" s="10" t="s">
        <v>503</v>
      </c>
      <c r="U42" s="58">
        <v>2.4700000000000002</v>
      </c>
      <c r="V42" s="9" t="s">
        <v>117</v>
      </c>
      <c r="W42" s="5" t="s">
        <v>110</v>
      </c>
      <c r="X42" s="34" t="s">
        <v>111</v>
      </c>
      <c r="Y42" s="3" t="s">
        <v>727</v>
      </c>
      <c r="Z42" s="15"/>
      <c r="AA42" s="15"/>
      <c r="AB42" s="15"/>
      <c r="AC42" s="15"/>
    </row>
    <row r="43" spans="1:29" ht="39.75" customHeight="1">
      <c r="A43" s="24">
        <v>40</v>
      </c>
      <c r="B43" s="4">
        <v>2154077860</v>
      </c>
      <c r="C43" s="5" t="s">
        <v>118</v>
      </c>
      <c r="D43" s="6" t="e">
        <f>VLOOKUP(B43,Sheet3!$B:$I,3,0)</f>
        <v>#N/A</v>
      </c>
      <c r="E43" s="6" t="str">
        <f>VLOOKUP($B43,Sheet4!$B:$L,4,0)</f>
        <v>12/11/2003</v>
      </c>
      <c r="F43" s="6" t="s">
        <v>3814</v>
      </c>
      <c r="G43" s="6" t="e">
        <f>VLOOKUP($B43,Sheet3!$B:$I,5,0)</f>
        <v>#N/A</v>
      </c>
      <c r="H43" s="6" t="str">
        <f>VLOOKUP($B43,Sheet4!$B:$L,5,0)</f>
        <v>Bình Định</v>
      </c>
      <c r="I43" s="6" t="e">
        <f>VLOOKUP(B43,[1]Sheet3!$D:$K,5,0)</f>
        <v>#N/A</v>
      </c>
      <c r="J43" s="6" t="s">
        <v>821</v>
      </c>
      <c r="K43" s="6" t="e">
        <f>VLOOKUP($B43,Sheet3!$B:$I,6,0)</f>
        <v>#N/A</v>
      </c>
      <c r="L43" s="6" t="str">
        <f>VLOOKUP($B43,Sheet4!$B:$L,10,0)</f>
        <v>Kinh</v>
      </c>
      <c r="M43" s="6" t="s">
        <v>1895</v>
      </c>
      <c r="N43" s="6" t="e">
        <f>VLOOKUP($B43,Sheet3!$B:$I,7,0)</f>
        <v>#N/A</v>
      </c>
      <c r="O43" s="6" t="str">
        <f>VLOOKUP($B43,Sheet4!$B:$L,11,0)</f>
        <v>361</v>
      </c>
      <c r="P43" s="6"/>
      <c r="Q43" s="5" t="s">
        <v>108</v>
      </c>
      <c r="R43" s="17" t="s">
        <v>665</v>
      </c>
      <c r="S43" s="36" t="s">
        <v>498</v>
      </c>
      <c r="T43" s="10" t="s">
        <v>503</v>
      </c>
      <c r="U43" s="58">
        <v>2.19</v>
      </c>
      <c r="V43" s="9" t="s">
        <v>119</v>
      </c>
      <c r="W43" s="5" t="s">
        <v>110</v>
      </c>
      <c r="X43" s="34" t="s">
        <v>111</v>
      </c>
      <c r="Y43" s="3" t="s">
        <v>727</v>
      </c>
      <c r="Z43" s="15"/>
      <c r="AA43" s="15"/>
      <c r="AB43" s="15"/>
      <c r="AC43" s="15"/>
    </row>
    <row r="44" spans="1:29" ht="39.75" customHeight="1">
      <c r="A44" s="24">
        <v>41</v>
      </c>
      <c r="B44" s="4">
        <v>2154077854</v>
      </c>
      <c r="C44" s="5" t="s">
        <v>120</v>
      </c>
      <c r="D44" s="6" t="e">
        <f>VLOOKUP(B44,Sheet3!$B:$I,3,0)</f>
        <v>#N/A</v>
      </c>
      <c r="E44" s="6" t="str">
        <f>VLOOKUP($B44,Sheet4!$B:$L,4,0)</f>
        <v>04/01/2003</v>
      </c>
      <c r="F44" s="6" t="s">
        <v>7143</v>
      </c>
      <c r="G44" s="6" t="e">
        <f>VLOOKUP($B44,Sheet3!$B:$I,5,0)</f>
        <v>#N/A</v>
      </c>
      <c r="H44" s="6" t="str">
        <f>VLOOKUP($B44,Sheet4!$B:$L,5,0)</f>
        <v>Kon Tum</v>
      </c>
      <c r="I44" s="6" t="str">
        <f>VLOOKUP(B44,[1]Sheet3!$D:$K,5,0)</f>
        <v>Kon Tum</v>
      </c>
      <c r="J44" s="6" t="s">
        <v>1032</v>
      </c>
      <c r="K44" s="6" t="e">
        <f>VLOOKUP($B44,Sheet3!$B:$I,6,0)</f>
        <v>#N/A</v>
      </c>
      <c r="L44" s="6" t="str">
        <f>VLOOKUP($B44,Sheet4!$B:$L,10,0)</f>
        <v>Kinh</v>
      </c>
      <c r="M44" s="6" t="s">
        <v>1895</v>
      </c>
      <c r="N44" s="6" t="e">
        <f>VLOOKUP($B44,Sheet3!$B:$I,7,0)</f>
        <v>#N/A</v>
      </c>
      <c r="O44" s="6" t="str">
        <f>VLOOKUP($B44,Sheet4!$B:$L,11,0)</f>
        <v>355</v>
      </c>
      <c r="P44" s="6" t="s">
        <v>1901</v>
      </c>
      <c r="Q44" s="5" t="s">
        <v>108</v>
      </c>
      <c r="R44" s="17" t="s">
        <v>665</v>
      </c>
      <c r="S44" s="36" t="s">
        <v>498</v>
      </c>
      <c r="T44" s="10" t="s">
        <v>503</v>
      </c>
      <c r="U44" s="58">
        <v>1.96</v>
      </c>
      <c r="V44" s="9" t="s">
        <v>121</v>
      </c>
      <c r="W44" s="5" t="s">
        <v>110</v>
      </c>
      <c r="X44" s="34" t="s">
        <v>111</v>
      </c>
      <c r="Y44" s="3" t="s">
        <v>727</v>
      </c>
      <c r="Z44" s="15"/>
      <c r="AA44" s="15"/>
      <c r="AB44" s="15"/>
      <c r="AC44" s="15"/>
    </row>
    <row r="45" spans="1:29" ht="39.75" customHeight="1">
      <c r="A45" s="24">
        <v>42</v>
      </c>
      <c r="B45" s="4">
        <v>2154077313</v>
      </c>
      <c r="C45" s="5" t="s">
        <v>122</v>
      </c>
      <c r="D45" s="6" t="e">
        <f>VLOOKUP(B45,Sheet3!$B:$I,3,0)</f>
        <v>#N/A</v>
      </c>
      <c r="E45" s="6" t="str">
        <f>VLOOKUP($B45,Sheet4!$B:$L,4,0)</f>
        <v>01/07/2003</v>
      </c>
      <c r="F45" s="6" t="s">
        <v>7227</v>
      </c>
      <c r="G45" s="6" t="e">
        <f>VLOOKUP($B45,Sheet3!$B:$I,5,0)</f>
        <v>#N/A</v>
      </c>
      <c r="H45" s="6" t="str">
        <f>VLOOKUP($B45,Sheet4!$B:$L,5,0)</f>
        <v>BV Hùng Vương, Tp.HCM</v>
      </c>
      <c r="I45" s="6" t="str">
        <f>VLOOKUP(B45,[1]Sheet3!$D:$K,5,0)</f>
        <v>Tp.HCM</v>
      </c>
      <c r="J45" s="6" t="s">
        <v>5255</v>
      </c>
      <c r="K45" s="6" t="e">
        <f>VLOOKUP($B45,Sheet3!$B:$I,6,0)</f>
        <v>#N/A</v>
      </c>
      <c r="L45" s="6" t="str">
        <f>VLOOKUP($B45,Sheet4!$B:$L,10,0)</f>
        <v>Kinh</v>
      </c>
      <c r="M45" s="6" t="s">
        <v>1895</v>
      </c>
      <c r="N45" s="6" t="e">
        <f>VLOOKUP($B45,Sheet3!$B:$I,7,0)</f>
        <v>#N/A</v>
      </c>
      <c r="O45" s="6" t="str">
        <f>VLOOKUP($B45,Sheet4!$B:$L,11,0)</f>
        <v>1480</v>
      </c>
      <c r="P45" s="6" t="s">
        <v>1901</v>
      </c>
      <c r="Q45" s="5" t="s">
        <v>108</v>
      </c>
      <c r="R45" s="17" t="s">
        <v>665</v>
      </c>
      <c r="S45" s="36" t="s">
        <v>498</v>
      </c>
      <c r="T45" s="10" t="s">
        <v>503</v>
      </c>
      <c r="U45" s="58">
        <v>2.33</v>
      </c>
      <c r="V45" s="9" t="s">
        <v>123</v>
      </c>
      <c r="W45" s="5" t="s">
        <v>124</v>
      </c>
      <c r="X45" s="34"/>
      <c r="Y45" s="3" t="s">
        <v>727</v>
      </c>
      <c r="Z45" s="15"/>
      <c r="AA45" s="15"/>
      <c r="AB45" s="15"/>
      <c r="AC45" s="15"/>
    </row>
    <row r="46" spans="1:29" ht="39.75" customHeight="1">
      <c r="A46" s="24">
        <v>43</v>
      </c>
      <c r="B46" s="4">
        <v>2154077900</v>
      </c>
      <c r="C46" s="5" t="s">
        <v>125</v>
      </c>
      <c r="D46" s="6" t="e">
        <f>VLOOKUP(B46,Sheet3!$B:$I,3,0)</f>
        <v>#N/A</v>
      </c>
      <c r="E46" s="6" t="str">
        <f>VLOOKUP($B46,Sheet4!$B:$L,4,0)</f>
        <v>29/01/2003</v>
      </c>
      <c r="F46" s="6" t="s">
        <v>7230</v>
      </c>
      <c r="G46" s="6" t="e">
        <f>VLOOKUP($B46,Sheet3!$B:$I,5,0)</f>
        <v>#N/A</v>
      </c>
      <c r="H46" s="6" t="str">
        <f>VLOOKUP($B46,Sheet4!$B:$L,5,0)</f>
        <v>Hộ sinh tân bình, Tp.HCM</v>
      </c>
      <c r="I46" s="6" t="str">
        <f>VLOOKUP(B46,[1]Sheet3!$D:$K,5,0)</f>
        <v>Thành phố Hồ Chí Minh</v>
      </c>
      <c r="J46" s="6" t="s">
        <v>5255</v>
      </c>
      <c r="K46" s="6" t="e">
        <f>VLOOKUP($B46,Sheet3!$B:$I,6,0)</f>
        <v>#N/A</v>
      </c>
      <c r="L46" s="6" t="str">
        <f>VLOOKUP($B46,Sheet4!$B:$L,10,0)</f>
        <v>Kinh</v>
      </c>
      <c r="M46" s="6" t="s">
        <v>1895</v>
      </c>
      <c r="N46" s="6" t="e">
        <f>VLOOKUP($B46,Sheet3!$B:$I,7,0)</f>
        <v>#N/A</v>
      </c>
      <c r="O46" s="6" t="str">
        <f>VLOOKUP($B46,Sheet4!$B:$L,11,0)</f>
        <v>401</v>
      </c>
      <c r="P46" s="6" t="s">
        <v>1901</v>
      </c>
      <c r="Q46" s="5" t="s">
        <v>108</v>
      </c>
      <c r="R46" s="17" t="s">
        <v>665</v>
      </c>
      <c r="S46" s="36" t="s">
        <v>498</v>
      </c>
      <c r="T46" s="10" t="s">
        <v>503</v>
      </c>
      <c r="U46" s="58">
        <v>1.96</v>
      </c>
      <c r="V46" s="9" t="s">
        <v>126</v>
      </c>
      <c r="W46" s="5" t="s">
        <v>127</v>
      </c>
      <c r="X46" s="34"/>
      <c r="Y46" s="3" t="s">
        <v>727</v>
      </c>
      <c r="Z46" s="15"/>
      <c r="AA46" s="15"/>
      <c r="AB46" s="15"/>
      <c r="AC46" s="15"/>
    </row>
    <row r="47" spans="1:29" ht="39.75" customHeight="1">
      <c r="A47" s="24">
        <v>44</v>
      </c>
      <c r="B47" s="4">
        <v>2154037301</v>
      </c>
      <c r="C47" s="5" t="s">
        <v>128</v>
      </c>
      <c r="D47" s="6" t="e">
        <f>VLOOKUP(B47,Sheet3!$B:$I,3,0)</f>
        <v>#N/A</v>
      </c>
      <c r="E47" s="6" t="str">
        <f>VLOOKUP($B47,Sheet4!$B:$L,4,0)</f>
        <v>13/12/2003</v>
      </c>
      <c r="F47" s="6" t="s">
        <v>3120</v>
      </c>
      <c r="G47" s="6" t="e">
        <f>VLOOKUP($B47,Sheet3!$B:$I,5,0)</f>
        <v>#N/A</v>
      </c>
      <c r="H47" s="6" t="str">
        <f>VLOOKUP($B47,Sheet4!$B:$L,5,0)</f>
        <v>An Giang</v>
      </c>
      <c r="I47" s="6" t="str">
        <f>VLOOKUP(B47,[1]Sheet3!$D:$K,5,0)</f>
        <v>Thị trấn Thường Thới Tiền, huyện Hồng Ngự, tỉnh Đồng Tháp</v>
      </c>
      <c r="J47" s="6" t="s">
        <v>790</v>
      </c>
      <c r="K47" s="6" t="e">
        <f>VLOOKUP($B47,Sheet3!$B:$I,6,0)</f>
        <v>#N/A</v>
      </c>
      <c r="L47" s="6" t="str">
        <f>VLOOKUP($B47,Sheet4!$B:$L,10,0)</f>
        <v>Kinh</v>
      </c>
      <c r="M47" s="6" t="s">
        <v>1895</v>
      </c>
      <c r="N47" s="6" t="e">
        <f>VLOOKUP($B47,Sheet3!$B:$I,7,0)</f>
        <v>#N/A</v>
      </c>
      <c r="O47" s="6" t="str">
        <f>VLOOKUP($B47,Sheet4!$B:$L,11,0)</f>
        <v>1468</v>
      </c>
      <c r="P47" s="6" t="s">
        <v>6924</v>
      </c>
      <c r="Q47" s="5" t="s">
        <v>129</v>
      </c>
      <c r="R47" s="17" t="s">
        <v>665</v>
      </c>
      <c r="S47" s="36" t="s">
        <v>498</v>
      </c>
      <c r="T47" s="10" t="s">
        <v>503</v>
      </c>
      <c r="U47" s="58">
        <v>2.59</v>
      </c>
      <c r="V47" s="9" t="s">
        <v>130</v>
      </c>
      <c r="W47" s="5" t="s">
        <v>127</v>
      </c>
      <c r="X47" s="34"/>
      <c r="Y47" s="3" t="s">
        <v>727</v>
      </c>
      <c r="Z47" s="15"/>
      <c r="AA47" s="15"/>
      <c r="AB47" s="15"/>
      <c r="AC47" s="15"/>
    </row>
    <row r="48" spans="1:29" ht="39.75" customHeight="1">
      <c r="A48" s="24">
        <v>45</v>
      </c>
      <c r="B48" s="4">
        <v>2154077823</v>
      </c>
      <c r="C48" s="5" t="s">
        <v>131</v>
      </c>
      <c r="D48" s="6" t="e">
        <f>VLOOKUP(B48,Sheet3!$B:$I,3,0)</f>
        <v>#N/A</v>
      </c>
      <c r="E48" s="6" t="str">
        <f>VLOOKUP($B48,Sheet4!$B:$L,4,0)</f>
        <v>17/11/2003</v>
      </c>
      <c r="F48" s="6" t="s">
        <v>7237</v>
      </c>
      <c r="G48" s="6" t="e">
        <f>VLOOKUP($B48,Sheet3!$B:$I,5,0)</f>
        <v>#N/A</v>
      </c>
      <c r="H48" s="6" t="str">
        <f>VLOOKUP($B48,Sheet4!$B:$L,5,0)</f>
        <v>Phú Yên</v>
      </c>
      <c r="I48" s="6" t="str">
        <f>VLOOKUP(B48,[1]Sheet3!$D:$K,5,0)</f>
        <v xml:space="preserve">Đắk Lắk </v>
      </c>
      <c r="J48" s="6" t="s">
        <v>768</v>
      </c>
      <c r="K48" s="6" t="e">
        <f>VLOOKUP($B48,Sheet3!$B:$I,6,0)</f>
        <v>#N/A</v>
      </c>
      <c r="L48" s="6" t="str">
        <f>VLOOKUP($B48,Sheet4!$B:$L,10,0)</f>
        <v>Kinh</v>
      </c>
      <c r="M48" s="6" t="s">
        <v>1895</v>
      </c>
      <c r="N48" s="6" t="e">
        <f>VLOOKUP($B48,Sheet3!$B:$I,7,0)</f>
        <v>#N/A</v>
      </c>
      <c r="O48" s="6" t="str">
        <f>VLOOKUP($B48,Sheet4!$B:$L,11,0)</f>
        <v>324</v>
      </c>
      <c r="P48" s="6" t="s">
        <v>1901</v>
      </c>
      <c r="Q48" s="5" t="s">
        <v>129</v>
      </c>
      <c r="R48" s="17" t="s">
        <v>665</v>
      </c>
      <c r="S48" s="36" t="s">
        <v>498</v>
      </c>
      <c r="T48" s="10" t="s">
        <v>503</v>
      </c>
      <c r="U48" s="58">
        <v>2.79</v>
      </c>
      <c r="V48" s="9" t="s">
        <v>132</v>
      </c>
      <c r="W48" s="5" t="s">
        <v>127</v>
      </c>
      <c r="X48" s="34"/>
      <c r="Y48" s="3" t="s">
        <v>727</v>
      </c>
      <c r="Z48" s="15"/>
      <c r="AA48" s="15"/>
      <c r="AB48" s="15"/>
      <c r="AC48" s="15"/>
    </row>
    <row r="49" spans="1:29" ht="39.75" customHeight="1">
      <c r="A49" s="24">
        <v>46</v>
      </c>
      <c r="B49" s="4">
        <v>2154077889</v>
      </c>
      <c r="C49" s="5" t="s">
        <v>133</v>
      </c>
      <c r="D49" s="6" t="e">
        <f>VLOOKUP(B49,Sheet3!$B:$I,3,0)</f>
        <v>#N/A</v>
      </c>
      <c r="E49" s="6" t="str">
        <f>VLOOKUP($B49,Sheet4!$B:$L,4,0)</f>
        <v>10/10/2003</v>
      </c>
      <c r="F49" s="6" t="s">
        <v>7212</v>
      </c>
      <c r="G49" s="6" t="e">
        <f>VLOOKUP($B49,Sheet3!$B:$I,5,0)</f>
        <v>#N/A</v>
      </c>
      <c r="H49" s="6" t="str">
        <f>VLOOKUP($B49,Sheet4!$B:$L,5,0)</f>
        <v>Tp.HCM</v>
      </c>
      <c r="I49" s="6" t="str">
        <f>VLOOKUP(B49,[1]Sheet3!$D:$K,5,0)</f>
        <v>TP HCM</v>
      </c>
      <c r="J49" s="6" t="s">
        <v>5255</v>
      </c>
      <c r="K49" s="6" t="e">
        <f>VLOOKUP($B49,Sheet3!$B:$I,6,0)</f>
        <v>#N/A</v>
      </c>
      <c r="L49" s="6" t="str">
        <f>VLOOKUP($B49,Sheet4!$B:$L,10,0)</f>
        <v>Kinh</v>
      </c>
      <c r="M49" s="6" t="s">
        <v>1895</v>
      </c>
      <c r="N49" s="6" t="e">
        <f>VLOOKUP($B49,Sheet3!$B:$I,7,0)</f>
        <v>#N/A</v>
      </c>
      <c r="O49" s="6" t="str">
        <f>VLOOKUP($B49,Sheet4!$B:$L,11,0)</f>
        <v>390</v>
      </c>
      <c r="P49" s="6" t="s">
        <v>1901</v>
      </c>
      <c r="Q49" s="5" t="s">
        <v>129</v>
      </c>
      <c r="R49" s="17" t="s">
        <v>665</v>
      </c>
      <c r="S49" s="36" t="s">
        <v>498</v>
      </c>
      <c r="T49" s="10" t="s">
        <v>503</v>
      </c>
      <c r="U49" s="58">
        <v>2.0299999999999998</v>
      </c>
      <c r="V49" s="9" t="s">
        <v>134</v>
      </c>
      <c r="W49" s="5" t="s">
        <v>127</v>
      </c>
      <c r="X49" s="34"/>
      <c r="Y49" s="3" t="s">
        <v>727</v>
      </c>
      <c r="Z49" s="15"/>
      <c r="AA49" s="15"/>
      <c r="AB49" s="15"/>
      <c r="AC49" s="15"/>
    </row>
    <row r="50" spans="1:29" ht="39.75" customHeight="1">
      <c r="A50" s="24">
        <v>47</v>
      </c>
      <c r="B50" s="4">
        <v>2154077886</v>
      </c>
      <c r="C50" s="5" t="s">
        <v>135</v>
      </c>
      <c r="D50" s="6" t="e">
        <f>VLOOKUP(B50,Sheet3!$B:$I,3,0)</f>
        <v>#N/A</v>
      </c>
      <c r="E50" s="6" t="str">
        <f>VLOOKUP($B50,Sheet4!$B:$L,4,0)</f>
        <v>20/04/2003</v>
      </c>
      <c r="F50" s="6" t="s">
        <v>7235</v>
      </c>
      <c r="G50" s="6" t="e">
        <f>VLOOKUP($B50,Sheet3!$B:$I,5,0)</f>
        <v>#N/A</v>
      </c>
      <c r="H50" s="6" t="str">
        <f>VLOOKUP($B50,Sheet4!$B:$L,5,0)</f>
        <v>Bình Định</v>
      </c>
      <c r="I50" s="6" t="str">
        <f>VLOOKUP(B50,[1]Sheet3!$D:$K,5,0)</f>
        <v xml:space="preserve">Xóm 2 Thuận Hiệp/xa Bình Thuận/Huyen Tây Sơn/Tinh Bình Định </v>
      </c>
      <c r="J50" s="6" t="s">
        <v>821</v>
      </c>
      <c r="K50" s="6" t="e">
        <f>VLOOKUP($B50,Sheet3!$B:$I,6,0)</f>
        <v>#N/A</v>
      </c>
      <c r="L50" s="6" t="str">
        <f>VLOOKUP($B50,Sheet4!$B:$L,10,0)</f>
        <v>Kinh</v>
      </c>
      <c r="M50" s="6" t="s">
        <v>1895</v>
      </c>
      <c r="N50" s="6" t="e">
        <f>VLOOKUP($B50,Sheet3!$B:$I,7,0)</f>
        <v>#N/A</v>
      </c>
      <c r="O50" s="6" t="str">
        <f>VLOOKUP($B50,Sheet4!$B:$L,11,0)</f>
        <v>387</v>
      </c>
      <c r="P50" s="6" t="s">
        <v>1901</v>
      </c>
      <c r="Q50" s="5" t="s">
        <v>129</v>
      </c>
      <c r="R50" s="17" t="s">
        <v>665</v>
      </c>
      <c r="S50" s="36" t="s">
        <v>498</v>
      </c>
      <c r="T50" s="10" t="s">
        <v>503</v>
      </c>
      <c r="U50" s="58">
        <v>2.5</v>
      </c>
      <c r="V50" s="9" t="s">
        <v>136</v>
      </c>
      <c r="W50" s="5" t="s">
        <v>127</v>
      </c>
      <c r="X50" s="34"/>
      <c r="Y50" s="3" t="s">
        <v>727</v>
      </c>
      <c r="Z50" s="15"/>
      <c r="AA50" s="15"/>
      <c r="AB50" s="15"/>
      <c r="AC50" s="15"/>
    </row>
    <row r="51" spans="1:29" ht="39.75" customHeight="1">
      <c r="A51" s="24">
        <v>48</v>
      </c>
      <c r="B51" s="4">
        <v>2154077387</v>
      </c>
      <c r="C51" s="5" t="s">
        <v>137</v>
      </c>
      <c r="D51" s="6" t="str">
        <f>VLOOKUP(B51,Sheet3!$B:$I,3,0)</f>
        <v>05/02/2003</v>
      </c>
      <c r="E51" s="6" t="str">
        <f>VLOOKUP($B51,Sheet4!$B:$L,4,0)</f>
        <v>02/05/2003</v>
      </c>
      <c r="F51" s="6" t="s">
        <v>3864</v>
      </c>
      <c r="G51" s="6">
        <f>VLOOKUP($B51,Sheet3!$B:$I,5,0)</f>
        <v>0</v>
      </c>
      <c r="H51" s="6" t="str">
        <f>VLOOKUP($B51,Sheet4!$B:$L,5,0)</f>
        <v>Kon Tum</v>
      </c>
      <c r="I51" s="6" t="str">
        <f>VLOOKUP(B51,[1]Sheet3!$D:$K,5,0)</f>
        <v>KON TUM</v>
      </c>
      <c r="J51" s="6" t="s">
        <v>8883</v>
      </c>
      <c r="K51" s="6">
        <f>VLOOKUP($B51,Sheet3!$B:$I,6,0)</f>
        <v>0</v>
      </c>
      <c r="L51" s="6" t="str">
        <f>VLOOKUP($B51,Sheet4!$B:$L,10,0)</f>
        <v>Kinh</v>
      </c>
      <c r="M51" s="6" t="s">
        <v>8874</v>
      </c>
      <c r="N51" s="6">
        <f>VLOOKUP($B51,Sheet3!$B:$I,7,0)</f>
        <v>0</v>
      </c>
      <c r="O51" s="6" t="str">
        <f>VLOOKUP($B51,Sheet4!$B:$L,11,0)</f>
        <v>49</v>
      </c>
      <c r="P51" s="6" t="s">
        <v>1901</v>
      </c>
      <c r="Q51" s="5" t="s">
        <v>129</v>
      </c>
      <c r="R51" s="17" t="s">
        <v>665</v>
      </c>
      <c r="S51" s="36" t="s">
        <v>498</v>
      </c>
      <c r="T51" s="10" t="s">
        <v>503</v>
      </c>
      <c r="U51" s="58">
        <v>3.23</v>
      </c>
      <c r="V51" s="9" t="s">
        <v>741</v>
      </c>
      <c r="W51" s="5" t="s">
        <v>110</v>
      </c>
      <c r="X51" s="34" t="s">
        <v>111</v>
      </c>
      <c r="Y51" s="3" t="s">
        <v>727</v>
      </c>
      <c r="Z51" s="15"/>
      <c r="AA51" s="15"/>
      <c r="AB51" s="15"/>
      <c r="AC51" s="15"/>
    </row>
    <row r="52" spans="1:29" ht="39.75" customHeight="1">
      <c r="A52" s="24">
        <v>49</v>
      </c>
      <c r="B52" s="4">
        <v>2154077893</v>
      </c>
      <c r="C52" s="5" t="s">
        <v>139</v>
      </c>
      <c r="D52" s="6" t="e">
        <f>VLOOKUP(B52,Sheet3!$B:$I,3,0)</f>
        <v>#N/A</v>
      </c>
      <c r="E52" s="6" t="str">
        <f>VLOOKUP($B52,Sheet4!$B:$L,4,0)</f>
        <v>03/01/2003</v>
      </c>
      <c r="F52" s="6" t="s">
        <v>7243</v>
      </c>
      <c r="G52" s="6" t="e">
        <f>VLOOKUP($B52,Sheet3!$B:$I,5,0)</f>
        <v>#N/A</v>
      </c>
      <c r="H52" s="6" t="str">
        <f>VLOOKUP($B52,Sheet4!$B:$L,5,0)</f>
        <v>Bình Định</v>
      </c>
      <c r="I52" s="6" t="str">
        <f>VLOOKUP(B52,[1]Sheet3!$D:$K,5,0)</f>
        <v>Bình Định</v>
      </c>
      <c r="J52" s="6" t="s">
        <v>821</v>
      </c>
      <c r="K52" s="6" t="e">
        <f>VLOOKUP($B52,Sheet3!$B:$I,6,0)</f>
        <v>#N/A</v>
      </c>
      <c r="L52" s="6" t="str">
        <f>VLOOKUP($B52,Sheet4!$B:$L,10,0)</f>
        <v>Kinh</v>
      </c>
      <c r="M52" s="6" t="s">
        <v>1895</v>
      </c>
      <c r="N52" s="6" t="e">
        <f>VLOOKUP($B52,Sheet3!$B:$I,7,0)</f>
        <v>#N/A</v>
      </c>
      <c r="O52" s="6" t="str">
        <f>VLOOKUP($B52,Sheet4!$B:$L,11,0)</f>
        <v>394</v>
      </c>
      <c r="P52" s="6" t="s">
        <v>1901</v>
      </c>
      <c r="Q52" s="5" t="s">
        <v>129</v>
      </c>
      <c r="R52" s="17" t="s">
        <v>665</v>
      </c>
      <c r="S52" s="36" t="s">
        <v>498</v>
      </c>
      <c r="T52" s="10" t="s">
        <v>503</v>
      </c>
      <c r="U52" s="58">
        <v>1.91</v>
      </c>
      <c r="V52" s="9" t="s">
        <v>755</v>
      </c>
      <c r="W52" s="5" t="s">
        <v>110</v>
      </c>
      <c r="X52" s="34" t="s">
        <v>111</v>
      </c>
      <c r="Y52" s="3" t="s">
        <v>727</v>
      </c>
      <c r="Z52" s="15"/>
      <c r="AA52" s="15"/>
      <c r="AB52" s="15"/>
      <c r="AC52" s="15"/>
    </row>
    <row r="53" spans="1:29" ht="39.75" customHeight="1">
      <c r="A53" s="24">
        <v>50</v>
      </c>
      <c r="B53" s="4">
        <v>2154077901</v>
      </c>
      <c r="C53" s="5" t="s">
        <v>140</v>
      </c>
      <c r="D53" s="6" t="e">
        <f>VLOOKUP(B53,Sheet3!$B:$I,3,0)</f>
        <v>#N/A</v>
      </c>
      <c r="E53" s="6" t="str">
        <f>VLOOKUP($B53,Sheet4!$B:$L,4,0)</f>
        <v>10/01/2003</v>
      </c>
      <c r="F53" s="6"/>
      <c r="G53" s="6" t="e">
        <f>VLOOKUP($B53,Sheet3!$B:$I,5,0)</f>
        <v>#N/A</v>
      </c>
      <c r="H53" s="6" t="str">
        <f>VLOOKUP($B53,Sheet4!$B:$L,5,0)</f>
        <v>Quảng nam</v>
      </c>
      <c r="I53" s="6" t="e">
        <f>VLOOKUP(B53,[1]Sheet3!$D:$K,5,0)</f>
        <v>#N/A</v>
      </c>
      <c r="J53" s="6"/>
      <c r="K53" s="6" t="e">
        <f>VLOOKUP($B53,Sheet3!$B:$I,6,0)</f>
        <v>#N/A</v>
      </c>
      <c r="L53" s="6" t="str">
        <f>VLOOKUP($B53,Sheet4!$B:$L,10,0)</f>
        <v>Kinh</v>
      </c>
      <c r="M53" s="6"/>
      <c r="N53" s="6" t="e">
        <f>VLOOKUP($B53,Sheet3!$B:$I,7,0)</f>
        <v>#N/A</v>
      </c>
      <c r="O53" s="6" t="str">
        <f>VLOOKUP($B53,Sheet4!$B:$L,11,0)</f>
        <v>402</v>
      </c>
      <c r="P53" s="6"/>
      <c r="Q53" s="5" t="s">
        <v>129</v>
      </c>
      <c r="R53" s="17" t="s">
        <v>665</v>
      </c>
      <c r="S53" s="36" t="s">
        <v>498</v>
      </c>
      <c r="T53" s="10" t="s">
        <v>503</v>
      </c>
      <c r="U53" s="58">
        <v>2.02</v>
      </c>
      <c r="V53" s="9" t="s">
        <v>141</v>
      </c>
      <c r="W53" s="5" t="s">
        <v>124</v>
      </c>
      <c r="X53" s="34"/>
      <c r="Y53" s="3" t="s">
        <v>727</v>
      </c>
      <c r="Z53" s="15"/>
      <c r="AA53" s="15"/>
      <c r="AB53" s="15"/>
      <c r="AC53" s="15"/>
    </row>
    <row r="54" spans="1:29" ht="39.75" customHeight="1">
      <c r="A54" s="24">
        <v>51</v>
      </c>
      <c r="B54" s="4">
        <v>2154077857</v>
      </c>
      <c r="C54" s="5" t="s">
        <v>142</v>
      </c>
      <c r="D54" s="6" t="e">
        <f>VLOOKUP(B54,Sheet3!$B:$I,3,0)</f>
        <v>#N/A</v>
      </c>
      <c r="E54" s="6" t="str">
        <f>VLOOKUP($B54,Sheet4!$B:$L,4,0)</f>
        <v>25/03/2002</v>
      </c>
      <c r="F54" s="6" t="s">
        <v>1410</v>
      </c>
      <c r="G54" s="6" t="e">
        <f>VLOOKUP($B54,Sheet3!$B:$I,5,0)</f>
        <v>#N/A</v>
      </c>
      <c r="H54" s="6" t="str">
        <f>VLOOKUP($B54,Sheet4!$B:$L,5,0)</f>
        <v>Bình Phước</v>
      </c>
      <c r="I54" s="6" t="str">
        <f>VLOOKUP(B54,[1]Sheet3!$D:$K,5,0)</f>
        <v>Bình Phước</v>
      </c>
      <c r="J54" s="6" t="s">
        <v>8882</v>
      </c>
      <c r="K54" s="6" t="e">
        <f>VLOOKUP($B54,Sheet3!$B:$I,6,0)</f>
        <v>#N/A</v>
      </c>
      <c r="L54" s="6" t="str">
        <f>VLOOKUP($B54,Sheet4!$B:$L,10,0)</f>
        <v>Kinh</v>
      </c>
      <c r="M54" s="6" t="s">
        <v>8875</v>
      </c>
      <c r="N54" s="6" t="e">
        <f>VLOOKUP($B54,Sheet3!$B:$I,7,0)</f>
        <v>#N/A</v>
      </c>
      <c r="O54" s="6" t="str">
        <f>VLOOKUP($B54,Sheet4!$B:$L,11,0)</f>
        <v>Công giáo</v>
      </c>
      <c r="P54" s="6" t="s">
        <v>8870</v>
      </c>
      <c r="Q54" s="5" t="s">
        <v>129</v>
      </c>
      <c r="R54" s="17" t="s">
        <v>665</v>
      </c>
      <c r="S54" s="36" t="s">
        <v>498</v>
      </c>
      <c r="T54" s="10" t="s">
        <v>503</v>
      </c>
      <c r="U54" s="58">
        <v>2.5</v>
      </c>
      <c r="V54" s="9" t="s">
        <v>143</v>
      </c>
      <c r="W54" s="5" t="s">
        <v>124</v>
      </c>
      <c r="X54" s="34"/>
      <c r="Y54" s="3" t="s">
        <v>727</v>
      </c>
      <c r="Z54" s="15"/>
      <c r="AA54" s="15"/>
      <c r="AB54" s="15"/>
      <c r="AC54" s="15"/>
    </row>
    <row r="55" spans="1:29" ht="39.75" customHeight="1">
      <c r="A55" s="24">
        <v>52</v>
      </c>
      <c r="B55" s="4">
        <v>2154077386</v>
      </c>
      <c r="C55" s="5" t="s">
        <v>144</v>
      </c>
      <c r="D55" s="6" t="str">
        <f>VLOOKUP(B55,Sheet3!$B:$I,3,0)</f>
        <v>22/12/2003</v>
      </c>
      <c r="E55" s="6" t="str">
        <f>VLOOKUP($B55,Sheet4!$B:$L,4,0)</f>
        <v>22/12/2003</v>
      </c>
      <c r="F55" s="6" t="s">
        <v>8894</v>
      </c>
      <c r="G55" s="6">
        <f>VLOOKUP($B55,Sheet3!$B:$I,5,0)</f>
        <v>0</v>
      </c>
      <c r="H55" s="6" t="str">
        <f>VLOOKUP($B55,Sheet4!$B:$L,5,0)</f>
        <v>Đăk Lăk</v>
      </c>
      <c r="I55" s="6" t="str">
        <f>VLOOKUP(B55,[1]Sheet3!$D:$K,5,0)</f>
        <v>Đak Lak</v>
      </c>
      <c r="J55" s="6" t="s">
        <v>768</v>
      </c>
      <c r="K55" s="6">
        <f>VLOOKUP($B55,Sheet3!$B:$I,6,0)</f>
        <v>0</v>
      </c>
      <c r="L55" s="6" t="str">
        <f>VLOOKUP($B55,Sheet4!$B:$L,10,0)</f>
        <v>Kinh</v>
      </c>
      <c r="M55" s="6" t="s">
        <v>1895</v>
      </c>
      <c r="N55" s="6">
        <f>VLOOKUP($B55,Sheet3!$B:$I,7,0)</f>
        <v>0</v>
      </c>
      <c r="O55" s="6" t="str">
        <f>VLOOKUP($B55,Sheet4!$B:$L,11,0)</f>
        <v>48</v>
      </c>
      <c r="P55" s="6" t="s">
        <v>1901</v>
      </c>
      <c r="Q55" s="5" t="s">
        <v>129</v>
      </c>
      <c r="R55" s="17" t="s">
        <v>665</v>
      </c>
      <c r="S55" s="36" t="s">
        <v>498</v>
      </c>
      <c r="T55" s="10" t="s">
        <v>503</v>
      </c>
      <c r="U55" s="58">
        <v>2.48</v>
      </c>
      <c r="V55" s="9" t="s">
        <v>145</v>
      </c>
      <c r="W55" s="5" t="s">
        <v>124</v>
      </c>
      <c r="X55" s="34"/>
      <c r="Y55" s="3" t="s">
        <v>727</v>
      </c>
      <c r="Z55" s="15"/>
      <c r="AA55" s="15"/>
      <c r="AB55" s="15"/>
      <c r="AC55" s="15"/>
    </row>
    <row r="56" spans="1:29" ht="39.75" customHeight="1">
      <c r="A56" s="24">
        <v>53</v>
      </c>
      <c r="B56" s="4">
        <v>2054037737</v>
      </c>
      <c r="C56" s="5" t="s">
        <v>146</v>
      </c>
      <c r="D56" s="6" t="str">
        <f>VLOOKUP(B56,Sheet3!$B:$I,3,0)</f>
        <v>28/04/2002</v>
      </c>
      <c r="E56" s="6" t="str">
        <f>VLOOKUP($B56,Sheet4!$B:$L,4,0)</f>
        <v>28/04/2002</v>
      </c>
      <c r="F56" s="6" t="s">
        <v>1444</v>
      </c>
      <c r="G56" s="6">
        <f>VLOOKUP($B56,Sheet3!$B:$I,5,0)</f>
        <v>0</v>
      </c>
      <c r="H56" s="6" t="str">
        <f>VLOOKUP($B56,Sheet4!$B:$L,5,0)</f>
        <v>Tỉnh Bình Định</v>
      </c>
      <c r="I56" s="6" t="str">
        <f>VLOOKUP(B56,[1]Sheet3!$D:$K,5,0)</f>
        <v>Bình Định</v>
      </c>
      <c r="J56" s="6" t="s">
        <v>8884</v>
      </c>
      <c r="K56" s="6">
        <f>VLOOKUP($B56,Sheet3!$B:$I,6,0)</f>
        <v>0</v>
      </c>
      <c r="L56" s="6" t="str">
        <f>VLOOKUP($B56,Sheet4!$B:$L,10,0)</f>
        <v>Kinh</v>
      </c>
      <c r="M56" s="6" t="s">
        <v>1895</v>
      </c>
      <c r="N56" s="6">
        <f>VLOOKUP($B56,Sheet3!$B:$I,7,0)</f>
        <v>0</v>
      </c>
      <c r="O56" s="6" t="str">
        <f>VLOOKUP($B56,Sheet4!$B:$L,11,0)</f>
        <v>Không</v>
      </c>
      <c r="P56" s="6" t="s">
        <v>1901</v>
      </c>
      <c r="Q56" s="5" t="s">
        <v>147</v>
      </c>
      <c r="R56" s="17" t="s">
        <v>494</v>
      </c>
      <c r="S56" s="36" t="s">
        <v>500</v>
      </c>
      <c r="T56" s="10" t="s">
        <v>503</v>
      </c>
      <c r="U56" s="58">
        <v>2.4700000000000002</v>
      </c>
      <c r="V56" s="9" t="s">
        <v>148</v>
      </c>
      <c r="W56" s="5" t="s">
        <v>149</v>
      </c>
      <c r="X56" s="34"/>
      <c r="Y56" s="3" t="s">
        <v>727</v>
      </c>
      <c r="Z56" s="15"/>
      <c r="AA56" s="15"/>
      <c r="AB56" s="15"/>
      <c r="AC56" s="15"/>
    </row>
    <row r="57" spans="1:29" ht="39.75" customHeight="1">
      <c r="A57" s="24">
        <v>54</v>
      </c>
      <c r="B57" s="4">
        <v>2154037380</v>
      </c>
      <c r="C57" s="5" t="s">
        <v>153</v>
      </c>
      <c r="D57" s="6" t="str">
        <f>VLOOKUP(B57,Sheet3!$B:$I,3,0)</f>
        <v>05/12/2002</v>
      </c>
      <c r="E57" s="6" t="str">
        <f>VLOOKUP($B57,Sheet4!$B:$L,4,0)</f>
        <v>12/05/2002</v>
      </c>
      <c r="F57" s="6" t="s">
        <v>1109</v>
      </c>
      <c r="G57" s="6">
        <f>VLOOKUP($B57,Sheet3!$B:$I,5,0)</f>
        <v>0</v>
      </c>
      <c r="H57" s="6" t="str">
        <f>VLOOKUP($B57,Sheet4!$B:$L,5,0)</f>
        <v>Nghệ An</v>
      </c>
      <c r="I57" s="6" t="str">
        <f>VLOOKUP(B57,[1]Sheet3!$D:$K,5,0)</f>
        <v>Nghệ An</v>
      </c>
      <c r="J57" s="6" t="s">
        <v>8885</v>
      </c>
      <c r="K57" s="6">
        <f>VLOOKUP($B57,Sheet3!$B:$I,6,0)</f>
        <v>0</v>
      </c>
      <c r="L57" s="6" t="str">
        <f>VLOOKUP($B57,Sheet4!$B:$L,10,0)</f>
        <v>Kinh</v>
      </c>
      <c r="M57" s="6" t="s">
        <v>1895</v>
      </c>
      <c r="N57" s="6">
        <f>VLOOKUP($B57,Sheet3!$B:$I,7,0)</f>
        <v>0</v>
      </c>
      <c r="O57" s="6" t="str">
        <f>VLOOKUP($B57,Sheet4!$B:$L,11,0)</f>
        <v>42</v>
      </c>
      <c r="P57" s="6" t="s">
        <v>1901</v>
      </c>
      <c r="Q57" s="5" t="s">
        <v>151</v>
      </c>
      <c r="R57" s="17" t="s">
        <v>494</v>
      </c>
      <c r="S57" s="36" t="s">
        <v>498</v>
      </c>
      <c r="T57" s="10" t="s">
        <v>503</v>
      </c>
      <c r="U57" s="58">
        <v>2.59</v>
      </c>
      <c r="V57" s="9" t="s">
        <v>154</v>
      </c>
      <c r="W57" s="5" t="s">
        <v>155</v>
      </c>
      <c r="X57" s="34"/>
      <c r="Y57" s="3" t="s">
        <v>727</v>
      </c>
      <c r="Z57" s="15"/>
      <c r="AA57" s="15"/>
      <c r="AB57" s="15"/>
      <c r="AC57" s="15"/>
    </row>
    <row r="58" spans="1:29" ht="39.75" customHeight="1">
      <c r="A58" s="24">
        <v>55</v>
      </c>
      <c r="B58" s="4">
        <v>2154027124</v>
      </c>
      <c r="C58" s="5" t="s">
        <v>156</v>
      </c>
      <c r="D58" s="6" t="e">
        <f>VLOOKUP(B58,Sheet3!$B:$I,3,0)</f>
        <v>#N/A</v>
      </c>
      <c r="E58" s="6" t="str">
        <f>VLOOKUP($B58,Sheet4!$B:$L,4,0)</f>
        <v>10/10/2003</v>
      </c>
      <c r="F58" s="6" t="s">
        <v>7212</v>
      </c>
      <c r="G58" s="6" t="e">
        <f>VLOOKUP($B58,Sheet3!$B:$I,5,0)</f>
        <v>#N/A</v>
      </c>
      <c r="H58" s="6" t="str">
        <f>VLOOKUP($B58,Sheet4!$B:$L,5,0)</f>
        <v>Ninh Thuận</v>
      </c>
      <c r="I58" s="6" t="str">
        <f>VLOOKUP(B58,[1]Sheet3!$D:$K,5,0)</f>
        <v xml:space="preserve">Ninh Thuận </v>
      </c>
      <c r="J58" s="6" t="s">
        <v>8886</v>
      </c>
      <c r="K58" s="6" t="e">
        <f>VLOOKUP($B58,Sheet3!$B:$I,6,0)</f>
        <v>#N/A</v>
      </c>
      <c r="L58" s="6" t="str">
        <f>VLOOKUP($B58,Sheet4!$B:$L,10,0)</f>
        <v>Kinh</v>
      </c>
      <c r="M58" s="6" t="s">
        <v>1895</v>
      </c>
      <c r="N58" s="6" t="e">
        <f>VLOOKUP($B58,Sheet3!$B:$I,7,0)</f>
        <v>#N/A</v>
      </c>
      <c r="O58" s="6" t="str">
        <f>VLOOKUP($B58,Sheet4!$B:$L,11,0)</f>
        <v>1291</v>
      </c>
      <c r="P58" s="6" t="s">
        <v>1901</v>
      </c>
      <c r="Q58" s="5" t="s">
        <v>151</v>
      </c>
      <c r="R58" s="17" t="s">
        <v>494</v>
      </c>
      <c r="S58" s="36" t="s">
        <v>498</v>
      </c>
      <c r="T58" s="10" t="s">
        <v>503</v>
      </c>
      <c r="U58" s="58">
        <v>2.21</v>
      </c>
      <c r="V58" s="9" t="s">
        <v>740</v>
      </c>
      <c r="W58" s="5" t="s">
        <v>152</v>
      </c>
      <c r="X58" s="34"/>
      <c r="Y58" s="3" t="s">
        <v>727</v>
      </c>
      <c r="Z58" s="15"/>
      <c r="AA58" s="15"/>
      <c r="AB58" s="15"/>
      <c r="AC58" s="15"/>
    </row>
    <row r="59" spans="1:29" ht="39.75" customHeight="1">
      <c r="A59" s="24">
        <v>56</v>
      </c>
      <c r="B59" s="4">
        <v>2154037384</v>
      </c>
      <c r="C59" s="5" t="s">
        <v>158</v>
      </c>
      <c r="D59" s="6" t="str">
        <f>VLOOKUP(B59,Sheet3!$B:$I,3,0)</f>
        <v>05/02/1997</v>
      </c>
      <c r="E59" s="6" t="str">
        <f>VLOOKUP($B59,Sheet4!$B:$L,4,0)</f>
        <v>02/05/1997</v>
      </c>
      <c r="F59" s="6" t="s">
        <v>3859</v>
      </c>
      <c r="G59" s="6">
        <f>VLOOKUP($B59,Sheet3!$B:$I,5,0)</f>
        <v>0</v>
      </c>
      <c r="H59" s="6" t="str">
        <f>VLOOKUP($B59,Sheet4!$B:$L,5,0)</f>
        <v>Hà Tĩnh</v>
      </c>
      <c r="I59" s="6" t="str">
        <f>VLOOKUP(B59,[1]Sheet3!$D:$K,5,0)</f>
        <v>Hà Tĩnh</v>
      </c>
      <c r="J59" s="6" t="s">
        <v>4352</v>
      </c>
      <c r="K59" s="6">
        <f>VLOOKUP($B59,Sheet3!$B:$I,6,0)</f>
        <v>0</v>
      </c>
      <c r="L59" s="6" t="str">
        <f>VLOOKUP($B59,Sheet4!$B:$L,10,0)</f>
        <v>Kinh</v>
      </c>
      <c r="M59" s="6" t="s">
        <v>1895</v>
      </c>
      <c r="N59" s="6">
        <f>VLOOKUP($B59,Sheet3!$B:$I,7,0)</f>
        <v>0</v>
      </c>
      <c r="O59" s="6" t="str">
        <f>VLOOKUP($B59,Sheet4!$B:$L,11,0)</f>
        <v>46</v>
      </c>
      <c r="P59" s="6" t="s">
        <v>1896</v>
      </c>
      <c r="Q59" s="5" t="s">
        <v>151</v>
      </c>
      <c r="R59" s="17" t="s">
        <v>494</v>
      </c>
      <c r="S59" s="36" t="s">
        <v>498</v>
      </c>
      <c r="T59" s="10" t="s">
        <v>503</v>
      </c>
      <c r="U59" s="58">
        <v>3.7</v>
      </c>
      <c r="V59" s="9" t="s">
        <v>159</v>
      </c>
      <c r="W59" s="5" t="s">
        <v>155</v>
      </c>
      <c r="X59" s="34"/>
      <c r="Y59" s="3" t="s">
        <v>727</v>
      </c>
      <c r="Z59" s="15"/>
      <c r="AA59" s="15"/>
      <c r="AB59" s="15"/>
      <c r="AC59" s="15"/>
    </row>
    <row r="60" spans="1:29" ht="39.75" customHeight="1">
      <c r="A60" s="24">
        <v>57</v>
      </c>
      <c r="B60" s="4">
        <v>2154037153</v>
      </c>
      <c r="C60" s="5" t="s">
        <v>160</v>
      </c>
      <c r="D60" s="6" t="e">
        <f>VLOOKUP(B60,Sheet3!$B:$I,3,0)</f>
        <v>#N/A</v>
      </c>
      <c r="E60" s="6" t="str">
        <f>VLOOKUP($B60,Sheet4!$B:$L,4,0)</f>
        <v>31/12/2003</v>
      </c>
      <c r="F60" s="6" t="s">
        <v>7205</v>
      </c>
      <c r="G60" s="6" t="e">
        <f>VLOOKUP($B60,Sheet3!$B:$I,5,0)</f>
        <v>#N/A</v>
      </c>
      <c r="H60" s="6" t="str">
        <f>VLOOKUP($B60,Sheet4!$B:$L,5,0)</f>
        <v>Tây Ninh</v>
      </c>
      <c r="I60" s="6" t="str">
        <f>VLOOKUP(B60,[1]Sheet3!$D:$K,5,0)</f>
        <v>Tây Ninh</v>
      </c>
      <c r="J60" s="6" t="s">
        <v>3967</v>
      </c>
      <c r="K60" s="6" t="e">
        <f>VLOOKUP($B60,Sheet3!$B:$I,6,0)</f>
        <v>#N/A</v>
      </c>
      <c r="L60" s="6" t="str">
        <f>VLOOKUP($B60,Sheet4!$B:$L,10,0)</f>
        <v>Kinh</v>
      </c>
      <c r="M60" s="6" t="s">
        <v>1895</v>
      </c>
      <c r="N60" s="6" t="e">
        <f>VLOOKUP($B60,Sheet3!$B:$I,7,0)</f>
        <v>#N/A</v>
      </c>
      <c r="O60" s="6" t="str">
        <f>VLOOKUP($B60,Sheet4!$B:$L,11,0)</f>
        <v>1320</v>
      </c>
      <c r="P60" s="6" t="s">
        <v>1901</v>
      </c>
      <c r="Q60" s="5" t="s">
        <v>151</v>
      </c>
      <c r="R60" s="17" t="s">
        <v>494</v>
      </c>
      <c r="S60" s="36" t="s">
        <v>498</v>
      </c>
      <c r="T60" s="10" t="s">
        <v>503</v>
      </c>
      <c r="U60" s="58">
        <v>2.38</v>
      </c>
      <c r="V60" s="9" t="s">
        <v>161</v>
      </c>
      <c r="W60" s="5" t="s">
        <v>152</v>
      </c>
      <c r="X60" s="34"/>
      <c r="Y60" s="3" t="s">
        <v>727</v>
      </c>
      <c r="Z60" s="15"/>
      <c r="AA60" s="15"/>
      <c r="AB60" s="15"/>
      <c r="AC60" s="15"/>
    </row>
    <row r="61" spans="1:29" ht="39.75" customHeight="1">
      <c r="A61" s="24">
        <v>58</v>
      </c>
      <c r="B61" s="4">
        <v>2154037764</v>
      </c>
      <c r="C61" s="5" t="s">
        <v>162</v>
      </c>
      <c r="D61" s="6" t="e">
        <f>VLOOKUP(B61,Sheet3!$B:$I,3,0)</f>
        <v>#N/A</v>
      </c>
      <c r="E61" s="6" t="str">
        <f>VLOOKUP($B61,Sheet4!$B:$L,4,0)</f>
        <v>24/11/2003</v>
      </c>
      <c r="F61" s="6" t="s">
        <v>7193</v>
      </c>
      <c r="G61" s="6" t="e">
        <f>VLOOKUP($B61,Sheet3!$B:$I,5,0)</f>
        <v>#N/A</v>
      </c>
      <c r="H61" s="6" t="str">
        <f>VLOOKUP($B61,Sheet4!$B:$L,5,0)</f>
        <v>Tp.HCM</v>
      </c>
      <c r="I61" s="6" t="str">
        <f>VLOOKUP(B61,[1]Sheet3!$D:$K,5,0)</f>
        <v>TP HCM</v>
      </c>
      <c r="J61" s="6" t="s">
        <v>5255</v>
      </c>
      <c r="K61" s="6" t="e">
        <f>VLOOKUP($B61,Sheet3!$B:$I,6,0)</f>
        <v>#N/A</v>
      </c>
      <c r="L61" s="6" t="str">
        <f>VLOOKUP($B61,Sheet4!$B:$L,10,0)</f>
        <v>Kinh</v>
      </c>
      <c r="M61" s="6" t="s">
        <v>8876</v>
      </c>
      <c r="N61" s="6" t="e">
        <f>VLOOKUP($B61,Sheet3!$B:$I,7,0)</f>
        <v>#N/A</v>
      </c>
      <c r="O61" s="6" t="str">
        <f>VLOOKUP($B61,Sheet4!$B:$L,11,0)</f>
        <v>265</v>
      </c>
      <c r="P61" s="6" t="s">
        <v>6924</v>
      </c>
      <c r="Q61" s="5" t="s">
        <v>151</v>
      </c>
      <c r="R61" s="17" t="s">
        <v>494</v>
      </c>
      <c r="S61" s="36" t="s">
        <v>498</v>
      </c>
      <c r="T61" s="10" t="s">
        <v>503</v>
      </c>
      <c r="U61" s="58">
        <v>1.94</v>
      </c>
      <c r="V61" s="9" t="s">
        <v>163</v>
      </c>
      <c r="W61" s="5" t="s">
        <v>149</v>
      </c>
      <c r="X61" s="34"/>
      <c r="Y61" s="3" t="s">
        <v>727</v>
      </c>
      <c r="Z61" s="15"/>
      <c r="AA61" s="15"/>
      <c r="AB61" s="15"/>
      <c r="AC61" s="15"/>
    </row>
    <row r="62" spans="1:29" ht="39.75" customHeight="1">
      <c r="A62" s="24">
        <v>59</v>
      </c>
      <c r="B62" s="4">
        <v>2154037161</v>
      </c>
      <c r="C62" s="5" t="s">
        <v>164</v>
      </c>
      <c r="D62" s="6" t="e">
        <f>VLOOKUP(B62,Sheet3!$B:$I,3,0)</f>
        <v>#N/A</v>
      </c>
      <c r="E62" s="6" t="str">
        <f>VLOOKUP($B62,Sheet4!$B:$L,4,0)</f>
        <v>04/06/2003</v>
      </c>
      <c r="F62" s="6" t="s">
        <v>7100</v>
      </c>
      <c r="G62" s="6" t="e">
        <f>VLOOKUP($B62,Sheet3!$B:$I,5,0)</f>
        <v>#N/A</v>
      </c>
      <c r="H62" s="6" t="str">
        <f>VLOOKUP($B62,Sheet4!$B:$L,5,0)</f>
        <v>Bình Phước</v>
      </c>
      <c r="I62" s="6" t="str">
        <f>VLOOKUP(B62,[1]Sheet3!$D:$K,5,0)</f>
        <v>Xã Long Tân, Huyện Phú Riềng, Tỉnh Bình Phước</v>
      </c>
      <c r="J62" s="6" t="s">
        <v>835</v>
      </c>
      <c r="K62" s="6" t="e">
        <f>VLOOKUP($B62,Sheet3!$B:$I,6,0)</f>
        <v>#N/A</v>
      </c>
      <c r="L62" s="6" t="str">
        <f>VLOOKUP($B62,Sheet4!$B:$L,10,0)</f>
        <v>Kinh</v>
      </c>
      <c r="M62" s="6" t="s">
        <v>1895</v>
      </c>
      <c r="N62" s="6" t="e">
        <f>VLOOKUP($B62,Sheet3!$B:$I,7,0)</f>
        <v>#N/A</v>
      </c>
      <c r="O62" s="6" t="str">
        <f>VLOOKUP($B62,Sheet4!$B:$L,11,0)</f>
        <v>1328</v>
      </c>
      <c r="P62" s="6" t="s">
        <v>1901</v>
      </c>
      <c r="Q62" s="5" t="s">
        <v>151</v>
      </c>
      <c r="R62" s="17" t="s">
        <v>494</v>
      </c>
      <c r="S62" s="36" t="s">
        <v>498</v>
      </c>
      <c r="T62" s="10" t="s">
        <v>503</v>
      </c>
      <c r="U62" s="58">
        <v>2.3199999999999998</v>
      </c>
      <c r="V62" s="9" t="s">
        <v>165</v>
      </c>
      <c r="W62" s="5" t="s">
        <v>155</v>
      </c>
      <c r="X62" s="34"/>
      <c r="Y62" s="3" t="s">
        <v>727</v>
      </c>
      <c r="Z62" s="15"/>
      <c r="AA62" s="15"/>
      <c r="AB62" s="15"/>
      <c r="AC62" s="15"/>
    </row>
    <row r="63" spans="1:29" ht="39.75" customHeight="1">
      <c r="A63" s="24">
        <v>60</v>
      </c>
      <c r="B63" s="4">
        <v>2154037766</v>
      </c>
      <c r="C63" s="5" t="s">
        <v>166</v>
      </c>
      <c r="D63" s="6" t="e">
        <f>VLOOKUP(B63,Sheet3!$B:$I,3,0)</f>
        <v>#N/A</v>
      </c>
      <c r="E63" s="6" t="str">
        <f>VLOOKUP($B63,Sheet4!$B:$L,4,0)</f>
        <v>14/06/2003</v>
      </c>
      <c r="F63" s="6" t="s">
        <v>7204</v>
      </c>
      <c r="G63" s="6" t="e">
        <f>VLOOKUP($B63,Sheet3!$B:$I,5,0)</f>
        <v>#N/A</v>
      </c>
      <c r="H63" s="6" t="str">
        <f>VLOOKUP($B63,Sheet4!$B:$L,5,0)</f>
        <v>Bình Thuận</v>
      </c>
      <c r="I63" s="6" t="str">
        <f>VLOOKUP(B63,[1]Sheet3!$D:$K,5,0)</f>
        <v xml:space="preserve">Bình Thuận </v>
      </c>
      <c r="J63" s="6" t="s">
        <v>8887</v>
      </c>
      <c r="K63" s="6" t="e">
        <f>VLOOKUP($B63,Sheet3!$B:$I,6,0)</f>
        <v>#N/A</v>
      </c>
      <c r="L63" s="6" t="str">
        <f>VLOOKUP($B63,Sheet4!$B:$L,10,0)</f>
        <v>Kinh</v>
      </c>
      <c r="M63" s="6" t="s">
        <v>1895</v>
      </c>
      <c r="N63" s="6" t="e">
        <f>VLOOKUP($B63,Sheet3!$B:$I,7,0)</f>
        <v>#N/A</v>
      </c>
      <c r="O63" s="6" t="str">
        <f>VLOOKUP($B63,Sheet4!$B:$L,11,0)</f>
        <v>267</v>
      </c>
      <c r="P63" s="6" t="s">
        <v>1901</v>
      </c>
      <c r="Q63" s="5" t="s">
        <v>151</v>
      </c>
      <c r="R63" s="17" t="s">
        <v>494</v>
      </c>
      <c r="S63" s="36" t="s">
        <v>498</v>
      </c>
      <c r="T63" s="10" t="s">
        <v>503</v>
      </c>
      <c r="U63" s="58">
        <v>1.85</v>
      </c>
      <c r="V63" s="9" t="s">
        <v>167</v>
      </c>
      <c r="W63" s="5" t="s">
        <v>149</v>
      </c>
      <c r="X63" s="34"/>
      <c r="Y63" s="3" t="s">
        <v>727</v>
      </c>
      <c r="Z63" s="15"/>
      <c r="AA63" s="15"/>
      <c r="AB63" s="15"/>
      <c r="AC63" s="15"/>
    </row>
    <row r="64" spans="1:29" ht="39.75" customHeight="1">
      <c r="A64" s="24">
        <v>61</v>
      </c>
      <c r="B64" s="4">
        <v>2154077195</v>
      </c>
      <c r="C64" s="5" t="s">
        <v>168</v>
      </c>
      <c r="D64" s="6" t="e">
        <f>VLOOKUP(B64,Sheet3!$B:$I,3,0)</f>
        <v>#N/A</v>
      </c>
      <c r="E64" s="6" t="str">
        <f>VLOOKUP($B64,Sheet4!$B:$L,4,0)</f>
        <v>25/03/2003</v>
      </c>
      <c r="F64" s="6" t="s">
        <v>7213</v>
      </c>
      <c r="G64" s="6" t="e">
        <f>VLOOKUP($B64,Sheet3!$B:$I,5,0)</f>
        <v>#N/A</v>
      </c>
      <c r="H64" s="6" t="str">
        <f>VLOOKUP($B64,Sheet4!$B:$L,5,0)</f>
        <v>Tp.Vũng Tàu</v>
      </c>
      <c r="I64" s="6" t="str">
        <f>VLOOKUP(B64,[1]Sheet3!$D:$K,5,0)</f>
        <v>Vũng Tàu</v>
      </c>
      <c r="J64" s="6" t="s">
        <v>5255</v>
      </c>
      <c r="K64" s="6" t="e">
        <f>VLOOKUP($B64,Sheet3!$B:$I,6,0)</f>
        <v>#N/A</v>
      </c>
      <c r="L64" s="6" t="str">
        <f>VLOOKUP($B64,Sheet4!$B:$L,10,0)</f>
        <v>Kinh</v>
      </c>
      <c r="M64" s="6" t="s">
        <v>1895</v>
      </c>
      <c r="N64" s="6" t="e">
        <f>VLOOKUP($B64,Sheet3!$B:$I,7,0)</f>
        <v>#N/A</v>
      </c>
      <c r="O64" s="6" t="str">
        <f>VLOOKUP($B64,Sheet4!$B:$L,11,0)</f>
        <v>1362</v>
      </c>
      <c r="P64" s="6" t="s">
        <v>1901</v>
      </c>
      <c r="Q64" s="5" t="s">
        <v>151</v>
      </c>
      <c r="R64" s="17" t="s">
        <v>494</v>
      </c>
      <c r="S64" s="36" t="s">
        <v>498</v>
      </c>
      <c r="T64" s="10" t="s">
        <v>503</v>
      </c>
      <c r="U64" s="58">
        <v>3.65</v>
      </c>
      <c r="V64" s="9" t="s">
        <v>169</v>
      </c>
      <c r="W64" s="5" t="s">
        <v>155</v>
      </c>
      <c r="X64" s="34"/>
      <c r="Y64" s="3" t="s">
        <v>727</v>
      </c>
      <c r="Z64" s="15"/>
      <c r="AA64" s="15"/>
      <c r="AB64" s="15"/>
      <c r="AC64" s="15"/>
    </row>
    <row r="65" spans="1:29" ht="39.75" customHeight="1">
      <c r="A65" s="24">
        <v>62</v>
      </c>
      <c r="B65" s="4">
        <v>2154037322</v>
      </c>
      <c r="C65" s="5" t="s">
        <v>170</v>
      </c>
      <c r="D65" s="6" t="e">
        <f>VLOOKUP(B65,Sheet3!$B:$I,3,0)</f>
        <v>#N/A</v>
      </c>
      <c r="E65" s="6" t="str">
        <f>VLOOKUP($B65,Sheet4!$B:$L,4,0)</f>
        <v>29/04/2003</v>
      </c>
      <c r="F65" s="6" t="s">
        <v>7132</v>
      </c>
      <c r="G65" s="6" t="e">
        <f>VLOOKUP($B65,Sheet3!$B:$I,5,0)</f>
        <v>#N/A</v>
      </c>
      <c r="H65" s="6" t="str">
        <f>VLOOKUP($B65,Sheet4!$B:$L,5,0)</f>
        <v>Tây Ninh</v>
      </c>
      <c r="I65" s="6" t="str">
        <f>VLOOKUP(B65,[1]Sheet3!$D:$K,5,0)</f>
        <v xml:space="preserve">Ấp Bình Hoà, Xã Bình Thạnh, Huyện Trảng Bàng, Tỉnh Tây Ninh </v>
      </c>
      <c r="J65" s="6" t="s">
        <v>3967</v>
      </c>
      <c r="K65" s="6" t="e">
        <f>VLOOKUP($B65,Sheet3!$B:$I,6,0)</f>
        <v>#N/A</v>
      </c>
      <c r="L65" s="6" t="str">
        <f>VLOOKUP($B65,Sheet4!$B:$L,10,0)</f>
        <v>Kinh</v>
      </c>
      <c r="M65" s="6" t="s">
        <v>1895</v>
      </c>
      <c r="N65" s="6" t="e">
        <f>VLOOKUP($B65,Sheet3!$B:$I,7,0)</f>
        <v>#N/A</v>
      </c>
      <c r="O65" s="6" t="str">
        <f>VLOOKUP($B65,Sheet4!$B:$L,11,0)</f>
        <v>116</v>
      </c>
      <c r="P65" s="6" t="s">
        <v>1901</v>
      </c>
      <c r="Q65" s="5" t="s">
        <v>151</v>
      </c>
      <c r="R65" s="17" t="s">
        <v>494</v>
      </c>
      <c r="S65" s="36" t="s">
        <v>498</v>
      </c>
      <c r="T65" s="10" t="s">
        <v>503</v>
      </c>
      <c r="U65" s="58">
        <v>2.2599999999999998</v>
      </c>
      <c r="V65" s="9" t="s">
        <v>171</v>
      </c>
      <c r="W65" s="5" t="s">
        <v>149</v>
      </c>
      <c r="X65" s="34"/>
      <c r="Y65" s="3" t="s">
        <v>727</v>
      </c>
      <c r="Z65" s="15"/>
      <c r="AA65" s="15"/>
      <c r="AB65" s="15"/>
      <c r="AC65" s="15"/>
    </row>
    <row r="66" spans="1:29" ht="39.75" customHeight="1">
      <c r="A66" s="24">
        <v>63</v>
      </c>
      <c r="B66" s="4">
        <v>2154037792</v>
      </c>
      <c r="C66" s="5" t="s">
        <v>172</v>
      </c>
      <c r="D66" s="6" t="e">
        <f>VLOOKUP(B66,Sheet3!$B:$I,3,0)</f>
        <v>#N/A</v>
      </c>
      <c r="E66" s="6" t="str">
        <f>VLOOKUP($B66,Sheet4!$B:$L,4,0)</f>
        <v>14/11/2003</v>
      </c>
      <c r="F66" s="6" t="s">
        <v>7215</v>
      </c>
      <c r="G66" s="6" t="e">
        <f>VLOOKUP($B66,Sheet3!$B:$I,5,0)</f>
        <v>#N/A</v>
      </c>
      <c r="H66" s="6" t="str">
        <f>VLOOKUP($B66,Sheet4!$B:$L,5,0)</f>
        <v>Bình Phước</v>
      </c>
      <c r="I66" s="6" t="str">
        <f>VLOOKUP(B66,[1]Sheet3!$D:$K,5,0)</f>
        <v xml:space="preserve">Bình Phước </v>
      </c>
      <c r="J66" s="6" t="s">
        <v>835</v>
      </c>
      <c r="K66" s="6" t="e">
        <f>VLOOKUP($B66,Sheet3!$B:$I,6,0)</f>
        <v>#N/A</v>
      </c>
      <c r="L66" s="6" t="str">
        <f>VLOOKUP($B66,Sheet4!$B:$L,10,0)</f>
        <v>Kinh</v>
      </c>
      <c r="M66" s="6" t="s">
        <v>1895</v>
      </c>
      <c r="N66" s="6" t="e">
        <f>VLOOKUP($B66,Sheet3!$B:$I,7,0)</f>
        <v>#N/A</v>
      </c>
      <c r="O66" s="6" t="str">
        <f>VLOOKUP($B66,Sheet4!$B:$L,11,0)</f>
        <v>293</v>
      </c>
      <c r="P66" s="6" t="s">
        <v>1901</v>
      </c>
      <c r="Q66" s="5" t="s">
        <v>151</v>
      </c>
      <c r="R66" s="17" t="s">
        <v>494</v>
      </c>
      <c r="S66" s="36" t="s">
        <v>498</v>
      </c>
      <c r="T66" s="10" t="s">
        <v>503</v>
      </c>
      <c r="U66" s="58">
        <v>2.37</v>
      </c>
      <c r="V66" s="9" t="s">
        <v>173</v>
      </c>
      <c r="W66" s="5" t="s">
        <v>155</v>
      </c>
      <c r="X66" s="34"/>
      <c r="Y66" s="3" t="s">
        <v>727</v>
      </c>
      <c r="Z66" s="15"/>
      <c r="AA66" s="15"/>
      <c r="AB66" s="15"/>
      <c r="AC66" s="15"/>
    </row>
    <row r="67" spans="1:29" ht="39.75" customHeight="1">
      <c r="A67" s="24">
        <v>64</v>
      </c>
      <c r="B67" s="4">
        <v>2154037150</v>
      </c>
      <c r="C67" s="5" t="s">
        <v>174</v>
      </c>
      <c r="D67" s="6" t="e">
        <f>VLOOKUP(B67,Sheet3!$B:$I,3,0)</f>
        <v>#N/A</v>
      </c>
      <c r="E67" s="6" t="str">
        <f>VLOOKUP($B67,Sheet4!$B:$L,4,0)</f>
        <v>22/03/2003</v>
      </c>
      <c r="F67" s="6" t="s">
        <v>7203</v>
      </c>
      <c r="G67" s="6" t="e">
        <f>VLOOKUP($B67,Sheet3!$B:$I,5,0)</f>
        <v>#N/A</v>
      </c>
      <c r="H67" s="6" t="str">
        <f>VLOOKUP($B67,Sheet4!$B:$L,5,0)</f>
        <v>Tp.HCM</v>
      </c>
      <c r="I67" s="6" t="str">
        <f>VLOOKUP(B67,[1]Sheet3!$D:$K,5,0)</f>
        <v>Thành phố Hồ Chí Minh</v>
      </c>
      <c r="J67" s="6" t="s">
        <v>5255</v>
      </c>
      <c r="K67" s="6" t="e">
        <f>VLOOKUP($B67,Sheet3!$B:$I,6,0)</f>
        <v>#N/A</v>
      </c>
      <c r="L67" s="6" t="str">
        <f>VLOOKUP($B67,Sheet4!$B:$L,10,0)</f>
        <v>Kinh</v>
      </c>
      <c r="M67" s="6" t="s">
        <v>1895</v>
      </c>
      <c r="N67" s="6" t="e">
        <f>VLOOKUP($B67,Sheet3!$B:$I,7,0)</f>
        <v>#N/A</v>
      </c>
      <c r="O67" s="6" t="str">
        <f>VLOOKUP($B67,Sheet4!$B:$L,11,0)</f>
        <v>1317</v>
      </c>
      <c r="P67" s="6" t="s">
        <v>6924</v>
      </c>
      <c r="Q67" s="5" t="s">
        <v>151</v>
      </c>
      <c r="R67" s="17" t="s">
        <v>494</v>
      </c>
      <c r="S67" s="36" t="s">
        <v>498</v>
      </c>
      <c r="T67" s="10" t="s">
        <v>503</v>
      </c>
      <c r="U67" s="58">
        <v>2.1</v>
      </c>
      <c r="V67" s="9" t="s">
        <v>175</v>
      </c>
      <c r="W67" s="5" t="s">
        <v>152</v>
      </c>
      <c r="X67" s="34"/>
      <c r="Y67" s="3" t="s">
        <v>727</v>
      </c>
      <c r="Z67" s="15"/>
      <c r="AA67" s="15"/>
      <c r="AB67" s="15"/>
      <c r="AC67" s="15"/>
    </row>
    <row r="68" spans="1:29" ht="39.75" customHeight="1">
      <c r="A68" s="24">
        <v>65</v>
      </c>
      <c r="B68" s="4">
        <v>2154037794</v>
      </c>
      <c r="C68" s="5" t="s">
        <v>176</v>
      </c>
      <c r="D68" s="6" t="e">
        <f>VLOOKUP(B68,Sheet3!$B:$I,3,0)</f>
        <v>#N/A</v>
      </c>
      <c r="E68" s="6" t="str">
        <f>VLOOKUP($B68,Sheet4!$B:$L,4,0)</f>
        <v>02/02/2003</v>
      </c>
      <c r="F68" s="6" t="s">
        <v>3769</v>
      </c>
      <c r="G68" s="6" t="e">
        <f>VLOOKUP($B68,Sheet3!$B:$I,5,0)</f>
        <v>#N/A</v>
      </c>
      <c r="H68" s="6" t="str">
        <f>VLOOKUP($B68,Sheet4!$B:$L,5,0)</f>
        <v>Tp.HCM</v>
      </c>
      <c r="I68" s="6" t="str">
        <f>VLOOKUP(B68,[1]Sheet3!$D:$K,5,0)</f>
        <v>Thành phố Hồ Chí Minh</v>
      </c>
      <c r="J68" s="6" t="s">
        <v>5255</v>
      </c>
      <c r="K68" s="6" t="e">
        <f>VLOOKUP($B68,Sheet3!$B:$I,6,0)</f>
        <v>#N/A</v>
      </c>
      <c r="L68" s="6" t="str">
        <f>VLOOKUP($B68,Sheet4!$B:$L,10,0)</f>
        <v>Kinh</v>
      </c>
      <c r="M68" s="6" t="s">
        <v>1895</v>
      </c>
      <c r="N68" s="6" t="e">
        <f>VLOOKUP($B68,Sheet3!$B:$I,7,0)</f>
        <v>#N/A</v>
      </c>
      <c r="O68" s="6" t="str">
        <f>VLOOKUP($B68,Sheet4!$B:$L,11,0)</f>
        <v>295</v>
      </c>
      <c r="P68" s="6" t="s">
        <v>1901</v>
      </c>
      <c r="Q68" s="5" t="s">
        <v>151</v>
      </c>
      <c r="R68" s="17" t="s">
        <v>494</v>
      </c>
      <c r="S68" s="36" t="s">
        <v>498</v>
      </c>
      <c r="T68" s="10" t="s">
        <v>503</v>
      </c>
      <c r="U68" s="58">
        <v>2.35</v>
      </c>
      <c r="V68" s="9" t="s">
        <v>177</v>
      </c>
      <c r="W68" s="5" t="s">
        <v>149</v>
      </c>
      <c r="X68" s="34"/>
      <c r="Y68" s="3" t="s">
        <v>727</v>
      </c>
      <c r="Z68" s="15"/>
      <c r="AA68" s="15"/>
      <c r="AB68" s="15"/>
      <c r="AC68" s="15"/>
    </row>
    <row r="69" spans="1:29" ht="39.75" customHeight="1">
      <c r="A69" s="24">
        <v>66</v>
      </c>
      <c r="B69" s="4">
        <v>2154037762</v>
      </c>
      <c r="C69" s="5" t="s">
        <v>178</v>
      </c>
      <c r="D69" s="6" t="e">
        <f>VLOOKUP(B69,Sheet3!$B:$I,3,0)</f>
        <v>#N/A</v>
      </c>
      <c r="E69" s="6" t="str">
        <f>VLOOKUP($B69,Sheet4!$B:$L,4,0)</f>
        <v>01/01/2003</v>
      </c>
      <c r="F69" s="6" t="s">
        <v>3433</v>
      </c>
      <c r="G69" s="6" t="e">
        <f>VLOOKUP($B69,Sheet3!$B:$I,5,0)</f>
        <v>#N/A</v>
      </c>
      <c r="H69" s="6" t="str">
        <f>VLOOKUP($B69,Sheet4!$B:$L,5,0)</f>
        <v>Tỉnh Trà Vinh</v>
      </c>
      <c r="I69" s="6" t="str">
        <f>VLOOKUP(B69,[1]Sheet3!$D:$K,5,0)</f>
        <v>Trà Vinh</v>
      </c>
      <c r="J69" s="6" t="s">
        <v>8888</v>
      </c>
      <c r="K69" s="6" t="e">
        <f>VLOOKUP($B69,Sheet3!$B:$I,6,0)</f>
        <v>#N/A</v>
      </c>
      <c r="L69" s="6" t="str">
        <f>VLOOKUP($B69,Sheet4!$B:$L,10,0)</f>
        <v>Kinh</v>
      </c>
      <c r="M69" s="6" t="s">
        <v>1895</v>
      </c>
      <c r="N69" s="6" t="e">
        <f>VLOOKUP($B69,Sheet3!$B:$I,7,0)</f>
        <v>#N/A</v>
      </c>
      <c r="O69" s="6" t="str">
        <f>VLOOKUP($B69,Sheet4!$B:$L,11,0)</f>
        <v>Không</v>
      </c>
      <c r="P69" s="6" t="s">
        <v>1901</v>
      </c>
      <c r="Q69" s="5" t="s">
        <v>151</v>
      </c>
      <c r="R69" s="17" t="s">
        <v>494</v>
      </c>
      <c r="S69" s="36" t="s">
        <v>498</v>
      </c>
      <c r="T69" s="10" t="s">
        <v>503</v>
      </c>
      <c r="U69" s="58">
        <v>1.89</v>
      </c>
      <c r="V69" s="9" t="s">
        <v>179</v>
      </c>
      <c r="W69" s="5" t="s">
        <v>152</v>
      </c>
      <c r="X69" s="34"/>
      <c r="Y69" s="3" t="s">
        <v>727</v>
      </c>
      <c r="Z69" s="15"/>
      <c r="AA69" s="15"/>
      <c r="AB69" s="15"/>
      <c r="AC69" s="15"/>
    </row>
    <row r="70" spans="1:29" ht="39.75" customHeight="1">
      <c r="A70" s="24">
        <v>67</v>
      </c>
      <c r="B70" s="4">
        <v>2154037773</v>
      </c>
      <c r="C70" s="5" t="s">
        <v>180</v>
      </c>
      <c r="D70" s="6" t="e">
        <f>VLOOKUP(B70,Sheet3!$B:$I,3,0)</f>
        <v>#N/A</v>
      </c>
      <c r="E70" s="6" t="str">
        <f>VLOOKUP($B70,Sheet4!$B:$L,4,0)</f>
        <v>26/08/2003</v>
      </c>
      <c r="F70" s="6" t="s">
        <v>7207</v>
      </c>
      <c r="G70" s="6" t="e">
        <f>VLOOKUP($B70,Sheet3!$B:$I,5,0)</f>
        <v>#N/A</v>
      </c>
      <c r="H70" s="6" t="str">
        <f>VLOOKUP($B70,Sheet4!$B:$L,5,0)</f>
        <v>Quảng Ngãi</v>
      </c>
      <c r="I70" s="6" t="str">
        <f>VLOOKUP(B70,[1]Sheet3!$D:$K,5,0)</f>
        <v>Quảng Ngãi</v>
      </c>
      <c r="J70" s="6" t="s">
        <v>1032</v>
      </c>
      <c r="K70" s="6" t="e">
        <f>VLOOKUP($B70,Sheet3!$B:$I,6,0)</f>
        <v>#N/A</v>
      </c>
      <c r="L70" s="6" t="str">
        <f>VLOOKUP($B70,Sheet4!$B:$L,10,0)</f>
        <v>Kinh</v>
      </c>
      <c r="M70" s="6" t="s">
        <v>1895</v>
      </c>
      <c r="N70" s="6" t="e">
        <f>VLOOKUP($B70,Sheet3!$B:$I,7,0)</f>
        <v>#N/A</v>
      </c>
      <c r="O70" s="6" t="str">
        <f>VLOOKUP($B70,Sheet4!$B:$L,11,0)</f>
        <v>274</v>
      </c>
      <c r="P70" s="6" t="s">
        <v>6298</v>
      </c>
      <c r="Q70" s="5" t="s">
        <v>151</v>
      </c>
      <c r="R70" s="17" t="s">
        <v>494</v>
      </c>
      <c r="S70" s="36" t="s">
        <v>498</v>
      </c>
      <c r="T70" s="10" t="s">
        <v>503</v>
      </c>
      <c r="U70" s="58">
        <v>2.29</v>
      </c>
      <c r="V70" s="9" t="s">
        <v>181</v>
      </c>
      <c r="W70" s="5" t="s">
        <v>152</v>
      </c>
      <c r="X70" s="34"/>
      <c r="Y70" s="3" t="s">
        <v>727</v>
      </c>
      <c r="Z70" s="15"/>
      <c r="AA70" s="15"/>
      <c r="AB70" s="15"/>
      <c r="AC70" s="15"/>
    </row>
    <row r="71" spans="1:29" ht="39.75" customHeight="1">
      <c r="A71" s="24">
        <v>68</v>
      </c>
      <c r="B71" s="4">
        <v>2154037157</v>
      </c>
      <c r="C71" s="5" t="s">
        <v>182</v>
      </c>
      <c r="D71" s="6" t="e">
        <f>VLOOKUP(B71,Sheet3!$B:$I,3,0)</f>
        <v>#N/A</v>
      </c>
      <c r="E71" s="6" t="str">
        <f>VLOOKUP($B71,Sheet4!$B:$L,4,0)</f>
        <v>24/12/2003</v>
      </c>
      <c r="F71" s="6" t="s">
        <v>2759</v>
      </c>
      <c r="G71" s="6" t="e">
        <f>VLOOKUP($B71,Sheet3!$B:$I,5,0)</f>
        <v>#N/A</v>
      </c>
      <c r="H71" s="6" t="str">
        <f>VLOOKUP($B71,Sheet4!$B:$L,5,0)</f>
        <v>Khánh Hòa</v>
      </c>
      <c r="I71" s="6" t="str">
        <f>VLOOKUP(B71,[1]Sheet3!$D:$K,5,0)</f>
        <v xml:space="preserve">Khánh Hoà </v>
      </c>
      <c r="J71" s="6" t="s">
        <v>8889</v>
      </c>
      <c r="K71" s="6" t="e">
        <f>VLOOKUP($B71,Sheet3!$B:$I,6,0)</f>
        <v>#N/A</v>
      </c>
      <c r="L71" s="6" t="str">
        <f>VLOOKUP($B71,Sheet4!$B:$L,10,0)</f>
        <v>Kinh</v>
      </c>
      <c r="M71" s="6" t="s">
        <v>1895</v>
      </c>
      <c r="N71" s="6" t="e">
        <f>VLOOKUP($B71,Sheet3!$B:$I,7,0)</f>
        <v>#N/A</v>
      </c>
      <c r="O71" s="6" t="str">
        <f>VLOOKUP($B71,Sheet4!$B:$L,11,0)</f>
        <v>1324</v>
      </c>
      <c r="P71" s="6" t="s">
        <v>6924</v>
      </c>
      <c r="Q71" s="5" t="s">
        <v>151</v>
      </c>
      <c r="R71" s="17" t="s">
        <v>494</v>
      </c>
      <c r="S71" s="36" t="s">
        <v>498</v>
      </c>
      <c r="T71" s="10" t="s">
        <v>503</v>
      </c>
      <c r="U71" s="58">
        <v>2.52</v>
      </c>
      <c r="V71" s="9" t="s">
        <v>183</v>
      </c>
      <c r="W71" s="5" t="s">
        <v>149</v>
      </c>
      <c r="X71" s="34"/>
      <c r="Y71" s="3" t="s">
        <v>727</v>
      </c>
      <c r="Z71" s="15"/>
      <c r="AA71" s="15"/>
      <c r="AB71" s="15"/>
      <c r="AC71" s="15"/>
    </row>
    <row r="72" spans="1:29" ht="39.75" customHeight="1">
      <c r="A72" s="24">
        <v>69</v>
      </c>
      <c r="B72" s="4">
        <v>2154037772</v>
      </c>
      <c r="C72" s="5" t="s">
        <v>184</v>
      </c>
      <c r="D72" s="6" t="e">
        <f>VLOOKUP(B72,Sheet3!$B:$I,3,0)</f>
        <v>#N/A</v>
      </c>
      <c r="E72" s="6" t="str">
        <f>VLOOKUP($B72,Sheet4!$B:$L,4,0)</f>
        <v>02/06/2003</v>
      </c>
      <c r="F72" s="6" t="s">
        <v>7133</v>
      </c>
      <c r="G72" s="6" t="e">
        <f>VLOOKUP($B72,Sheet3!$B:$I,5,0)</f>
        <v>#N/A</v>
      </c>
      <c r="H72" s="6" t="str">
        <f>VLOOKUP($B72,Sheet4!$B:$L,5,0)</f>
        <v>BRVT</v>
      </c>
      <c r="I72" s="6" t="str">
        <f>VLOOKUP(B72,[1]Sheet3!$D:$K,5,0)</f>
        <v>Bà rịa vũng tàu</v>
      </c>
      <c r="J72" s="6" t="s">
        <v>5255</v>
      </c>
      <c r="K72" s="6" t="e">
        <f>VLOOKUP($B72,Sheet3!$B:$I,6,0)</f>
        <v>#N/A</v>
      </c>
      <c r="L72" s="6" t="str">
        <f>VLOOKUP($B72,Sheet4!$B:$L,10,0)</f>
        <v>Kinh</v>
      </c>
      <c r="M72" s="6" t="s">
        <v>1895</v>
      </c>
      <c r="N72" s="6" t="e">
        <f>VLOOKUP($B72,Sheet3!$B:$I,7,0)</f>
        <v>#N/A</v>
      </c>
      <c r="O72" s="6" t="str">
        <f>VLOOKUP($B72,Sheet4!$B:$L,11,0)</f>
        <v>273</v>
      </c>
      <c r="P72" s="6" t="s">
        <v>8869</v>
      </c>
      <c r="Q72" s="5" t="s">
        <v>151</v>
      </c>
      <c r="R72" s="17" t="s">
        <v>494</v>
      </c>
      <c r="S72" s="36" t="s">
        <v>498</v>
      </c>
      <c r="T72" s="10" t="s">
        <v>503</v>
      </c>
      <c r="U72" s="58">
        <v>1.94</v>
      </c>
      <c r="V72" s="9" t="s">
        <v>739</v>
      </c>
      <c r="W72" s="5" t="s">
        <v>152</v>
      </c>
      <c r="X72" s="34"/>
      <c r="Y72" s="3" t="s">
        <v>727</v>
      </c>
      <c r="Z72" s="15"/>
      <c r="AA72" s="15"/>
      <c r="AB72" s="15"/>
      <c r="AC72" s="15"/>
    </row>
    <row r="73" spans="1:29" ht="39.75" customHeight="1">
      <c r="A73" s="24">
        <v>70</v>
      </c>
      <c r="B73" s="4">
        <v>2154037769</v>
      </c>
      <c r="C73" s="5" t="s">
        <v>186</v>
      </c>
      <c r="D73" s="6" t="e">
        <f>VLOOKUP(B73,Sheet3!$B:$I,3,0)</f>
        <v>#N/A</v>
      </c>
      <c r="E73" s="6" t="str">
        <f>VLOOKUP($B73,Sheet4!$B:$L,4,0)</f>
        <v>13/05/2003</v>
      </c>
      <c r="F73" s="6" t="s">
        <v>7206</v>
      </c>
      <c r="G73" s="6" t="e">
        <f>VLOOKUP($B73,Sheet3!$B:$I,5,0)</f>
        <v>#N/A</v>
      </c>
      <c r="H73" s="6" t="str">
        <f>VLOOKUP($B73,Sheet4!$B:$L,5,0)</f>
        <v>Bình Phước</v>
      </c>
      <c r="I73" s="6" t="str">
        <f>VLOOKUP(B73,[1]Sheet3!$D:$K,5,0)</f>
        <v>bình phước</v>
      </c>
      <c r="J73" s="6" t="s">
        <v>835</v>
      </c>
      <c r="K73" s="6" t="e">
        <f>VLOOKUP($B73,Sheet3!$B:$I,6,0)</f>
        <v>#N/A</v>
      </c>
      <c r="L73" s="6" t="str">
        <f>VLOOKUP($B73,Sheet4!$B:$L,10,0)</f>
        <v>Kinh</v>
      </c>
      <c r="M73" s="6" t="s">
        <v>1895</v>
      </c>
      <c r="N73" s="6" t="e">
        <f>VLOOKUP($B73,Sheet3!$B:$I,7,0)</f>
        <v>#N/A</v>
      </c>
      <c r="O73" s="6" t="str">
        <f>VLOOKUP($B73,Sheet4!$B:$L,11,0)</f>
        <v>270</v>
      </c>
      <c r="P73" s="6" t="s">
        <v>1901</v>
      </c>
      <c r="Q73" s="5" t="s">
        <v>151</v>
      </c>
      <c r="R73" s="17" t="s">
        <v>494</v>
      </c>
      <c r="S73" s="36" t="s">
        <v>498</v>
      </c>
      <c r="T73" s="10" t="s">
        <v>503</v>
      </c>
      <c r="U73" s="58">
        <v>2.0299999999999998</v>
      </c>
      <c r="V73" s="9" t="s">
        <v>187</v>
      </c>
      <c r="W73" s="5" t="s">
        <v>149</v>
      </c>
      <c r="X73" s="34"/>
      <c r="Y73" s="3" t="s">
        <v>727</v>
      </c>
      <c r="Z73" s="15"/>
      <c r="AA73" s="15"/>
      <c r="AB73" s="15"/>
      <c r="AC73" s="15"/>
    </row>
    <row r="74" spans="1:29" ht="39.75" customHeight="1">
      <c r="A74" s="24">
        <v>71</v>
      </c>
      <c r="B74" s="4">
        <v>2154037154</v>
      </c>
      <c r="C74" s="5" t="s">
        <v>188</v>
      </c>
      <c r="D74" s="6" t="e">
        <f>VLOOKUP(B74,Sheet3!$B:$I,3,0)</f>
        <v>#N/A</v>
      </c>
      <c r="E74" s="6" t="str">
        <f>VLOOKUP($B74,Sheet4!$B:$L,4,0)</f>
        <v>27/02/2003</v>
      </c>
      <c r="F74" s="6" t="s">
        <v>7147</v>
      </c>
      <c r="G74" s="6" t="e">
        <f>VLOOKUP($B74,Sheet3!$B:$I,5,0)</f>
        <v>#N/A</v>
      </c>
      <c r="H74" s="6" t="str">
        <f>VLOOKUP($B74,Sheet4!$B:$L,5,0)</f>
        <v>Đăk Lăk</v>
      </c>
      <c r="I74" s="6" t="str">
        <f>VLOOKUP(B74,[1]Sheet3!$D:$K,5,0)</f>
        <v>Tỉnh Đắk Lắk</v>
      </c>
      <c r="J74" s="6" t="s">
        <v>768</v>
      </c>
      <c r="K74" s="6" t="e">
        <f>VLOOKUP($B74,Sheet3!$B:$I,6,0)</f>
        <v>#N/A</v>
      </c>
      <c r="L74" s="6" t="str">
        <f>VLOOKUP($B74,Sheet4!$B:$L,10,0)</f>
        <v>Kinh</v>
      </c>
      <c r="M74" s="6" t="s">
        <v>1895</v>
      </c>
      <c r="N74" s="6" t="e">
        <f>VLOOKUP($B74,Sheet3!$B:$I,7,0)</f>
        <v>#N/A</v>
      </c>
      <c r="O74" s="6" t="str">
        <f>VLOOKUP($B74,Sheet4!$B:$L,11,0)</f>
        <v>1321</v>
      </c>
      <c r="P74" s="6" t="s">
        <v>1901</v>
      </c>
      <c r="Q74" s="5" t="s">
        <v>151</v>
      </c>
      <c r="R74" s="17" t="s">
        <v>494</v>
      </c>
      <c r="S74" s="36" t="s">
        <v>498</v>
      </c>
      <c r="T74" s="10" t="s">
        <v>503</v>
      </c>
      <c r="U74" s="58">
        <v>1.94</v>
      </c>
      <c r="V74" s="9" t="s">
        <v>189</v>
      </c>
      <c r="W74" s="5" t="s">
        <v>155</v>
      </c>
      <c r="X74" s="34"/>
      <c r="Y74" s="3" t="s">
        <v>727</v>
      </c>
      <c r="Z74" s="15"/>
      <c r="AA74" s="15"/>
      <c r="AB74" s="15"/>
      <c r="AC74" s="15"/>
    </row>
    <row r="75" spans="1:29" ht="39.75" customHeight="1">
      <c r="A75" s="24">
        <v>72</v>
      </c>
      <c r="B75" s="4">
        <v>2154037169</v>
      </c>
      <c r="C75" s="5" t="s">
        <v>190</v>
      </c>
      <c r="D75" s="6" t="e">
        <f>VLOOKUP(B75,Sheet3!$B:$I,3,0)</f>
        <v>#N/A</v>
      </c>
      <c r="E75" s="6" t="str">
        <f>VLOOKUP($B75,Sheet4!$B:$L,4,0)</f>
        <v>17/06/2003</v>
      </c>
      <c r="F75" s="6" t="s">
        <v>8895</v>
      </c>
      <c r="G75" s="6" t="e">
        <f>VLOOKUP($B75,Sheet3!$B:$I,5,0)</f>
        <v>#N/A</v>
      </c>
      <c r="H75" s="6" t="str">
        <f>VLOOKUP($B75,Sheet4!$B:$L,5,0)</f>
        <v>Bình Định</v>
      </c>
      <c r="I75" s="6" t="str">
        <f>VLOOKUP(B75,[1]Sheet3!$D:$K,5,0)</f>
        <v xml:space="preserve">Bình Định </v>
      </c>
      <c r="J75" s="6" t="s">
        <v>8890</v>
      </c>
      <c r="K75" s="6" t="e">
        <f>VLOOKUP($B75,Sheet3!$B:$I,6,0)</f>
        <v>#N/A</v>
      </c>
      <c r="L75" s="6" t="str">
        <f>VLOOKUP($B75,Sheet4!$B:$L,10,0)</f>
        <v>Kinh</v>
      </c>
      <c r="M75" s="6" t="s">
        <v>8876</v>
      </c>
      <c r="N75" s="6" t="e">
        <f>VLOOKUP($B75,Sheet3!$B:$I,7,0)</f>
        <v>#N/A</v>
      </c>
      <c r="O75" s="6" t="str">
        <f>VLOOKUP($B75,Sheet4!$B:$L,11,0)</f>
        <v>1336</v>
      </c>
      <c r="P75" s="6" t="s">
        <v>8871</v>
      </c>
      <c r="Q75" s="5" t="s">
        <v>151</v>
      </c>
      <c r="R75" s="17" t="s">
        <v>494</v>
      </c>
      <c r="S75" s="36" t="s">
        <v>498</v>
      </c>
      <c r="T75" s="10" t="s">
        <v>503</v>
      </c>
      <c r="U75" s="58">
        <v>2.11</v>
      </c>
      <c r="V75" s="9" t="s">
        <v>191</v>
      </c>
      <c r="W75" s="5" t="s">
        <v>155</v>
      </c>
      <c r="X75" s="34"/>
      <c r="Y75" s="3" t="s">
        <v>727</v>
      </c>
      <c r="Z75" s="15"/>
      <c r="AA75" s="15"/>
      <c r="AB75" s="15"/>
      <c r="AC75" s="15"/>
    </row>
    <row r="76" spans="1:29" ht="39.75" customHeight="1">
      <c r="A76" s="24">
        <v>73</v>
      </c>
      <c r="B76" s="4">
        <v>2051067538</v>
      </c>
      <c r="C76" s="5" t="s">
        <v>192</v>
      </c>
      <c r="D76" s="6" t="str">
        <f>VLOOKUP(B76,Sheet3!$B:$I,3,0)</f>
        <v>20/06/2002</v>
      </c>
      <c r="E76" s="6" t="str">
        <f>VLOOKUP($B76,Sheet4!$B:$L,4,0)</f>
        <v>20/06/2002</v>
      </c>
      <c r="F76" s="6" t="s">
        <v>1159</v>
      </c>
      <c r="G76" s="6">
        <f>VLOOKUP($B76,Sheet3!$B:$I,5,0)</f>
        <v>0</v>
      </c>
      <c r="H76" s="6" t="str">
        <f>VLOOKUP($B76,Sheet4!$B:$L,5,0)</f>
        <v>Tp.Hồ Chí MInh</v>
      </c>
      <c r="I76" s="6" t="str">
        <f>VLOOKUP(B76,[1]Sheet3!$D:$K,5,0)</f>
        <v>TPHCM</v>
      </c>
      <c r="J76" s="6" t="s">
        <v>5255</v>
      </c>
      <c r="K76" s="6">
        <f>VLOOKUP($B76,Sheet3!$B:$I,6,0)</f>
        <v>0</v>
      </c>
      <c r="L76" s="6" t="str">
        <f>VLOOKUP($B76,Sheet4!$B:$L,10,0)</f>
        <v>Kinh</v>
      </c>
      <c r="M76" s="6" t="s">
        <v>1895</v>
      </c>
      <c r="N76" s="6">
        <f>VLOOKUP($B76,Sheet3!$B:$I,7,0)</f>
        <v>0</v>
      </c>
      <c r="O76" s="6" t="str">
        <f>VLOOKUP($B76,Sheet4!$B:$L,11,0)</f>
        <v>89</v>
      </c>
      <c r="P76" s="6" t="s">
        <v>8872</v>
      </c>
      <c r="Q76" s="5" t="s">
        <v>193</v>
      </c>
      <c r="R76" s="17" t="s">
        <v>553</v>
      </c>
      <c r="S76" s="36" t="s">
        <v>500</v>
      </c>
      <c r="T76" s="10" t="s">
        <v>503</v>
      </c>
      <c r="U76" s="58">
        <v>2.1800000000000002</v>
      </c>
      <c r="V76" s="9" t="s">
        <v>194</v>
      </c>
      <c r="W76" s="5" t="s">
        <v>195</v>
      </c>
      <c r="X76" s="34"/>
      <c r="Y76" s="3" t="s">
        <v>196</v>
      </c>
      <c r="Z76" s="15"/>
      <c r="AA76" s="15"/>
      <c r="AB76" s="15"/>
      <c r="AC76" s="15"/>
    </row>
    <row r="77" spans="1:29" ht="39.75" customHeight="1">
      <c r="A77" s="24">
        <v>74</v>
      </c>
      <c r="B77" s="4">
        <v>2051067521</v>
      </c>
      <c r="C77" s="5" t="s">
        <v>197</v>
      </c>
      <c r="D77" s="6" t="str">
        <f>VLOOKUP(B77,Sheet3!$B:$I,3,0)</f>
        <v>28/04/2002</v>
      </c>
      <c r="E77" s="6" t="str">
        <f>VLOOKUP($B77,Sheet4!$B:$L,4,0)</f>
        <v>28/04/2002</v>
      </c>
      <c r="F77" s="6" t="s">
        <v>1444</v>
      </c>
      <c r="G77" s="6">
        <f>VLOOKUP($B77,Sheet3!$B:$I,5,0)</f>
        <v>0</v>
      </c>
      <c r="H77" s="6" t="str">
        <f>VLOOKUP($B77,Sheet4!$B:$L,5,0)</f>
        <v>Kon Tum</v>
      </c>
      <c r="I77" s="6" t="str">
        <f>VLOOKUP(B77,[1]Sheet3!$D:$K,5,0)</f>
        <v>Kon Tum</v>
      </c>
      <c r="J77" s="6" t="s">
        <v>1032</v>
      </c>
      <c r="K77" s="6">
        <f>VLOOKUP($B77,Sheet3!$B:$I,6,0)</f>
        <v>0</v>
      </c>
      <c r="L77" s="6" t="str">
        <f>VLOOKUP($B77,Sheet4!$B:$L,10,0)</f>
        <v>Kinh</v>
      </c>
      <c r="M77" s="6" t="s">
        <v>1895</v>
      </c>
      <c r="N77" s="6">
        <f>VLOOKUP($B77,Sheet3!$B:$I,7,0)</f>
        <v>0</v>
      </c>
      <c r="O77" s="6" t="str">
        <f>VLOOKUP($B77,Sheet4!$B:$L,11,0)</f>
        <v>72</v>
      </c>
      <c r="P77" s="6" t="s">
        <v>1901</v>
      </c>
      <c r="Q77" s="5" t="s">
        <v>193</v>
      </c>
      <c r="R77" s="17" t="s">
        <v>553</v>
      </c>
      <c r="S77" s="36" t="s">
        <v>500</v>
      </c>
      <c r="T77" s="10" t="s">
        <v>503</v>
      </c>
      <c r="U77" s="59">
        <v>2.58</v>
      </c>
      <c r="V77" s="9" t="s">
        <v>198</v>
      </c>
      <c r="W77" s="5" t="s">
        <v>199</v>
      </c>
      <c r="X77" s="34"/>
      <c r="Y77" s="3" t="s">
        <v>196</v>
      </c>
      <c r="Z77" s="15"/>
      <c r="AA77" s="15"/>
      <c r="AB77" s="15"/>
      <c r="AC77" s="15"/>
    </row>
    <row r="78" spans="1:29" ht="39.75" customHeight="1">
      <c r="A78" s="24">
        <v>75</v>
      </c>
      <c r="B78" s="4">
        <v>2051067806</v>
      </c>
      <c r="C78" s="5" t="s">
        <v>200</v>
      </c>
      <c r="D78" s="6" t="str">
        <f>VLOOKUP(B78,Sheet3!$B:$I,3,0)</f>
        <v>19/11/2002</v>
      </c>
      <c r="E78" s="6" t="str">
        <f>VLOOKUP($B78,Sheet4!$B:$L,4,0)</f>
        <v>19/11/2002</v>
      </c>
      <c r="F78" s="6" t="s">
        <v>941</v>
      </c>
      <c r="G78" s="6" t="str">
        <f>VLOOKUP($B78,Sheet3!$B:$I,5,0)</f>
        <v>Hồ Chí Minh</v>
      </c>
      <c r="H78" s="6" t="str">
        <f>VLOOKUP($B78,Sheet4!$B:$L,5,0)</f>
        <v>Thành phố Hồ Chí Minh</v>
      </c>
      <c r="I78" s="6" t="str">
        <f>VLOOKUP(B78,[1]Sheet3!$D:$K,5,0)</f>
        <v>Thành phố Hồ Chí Minh</v>
      </c>
      <c r="J78" s="6" t="s">
        <v>5255</v>
      </c>
      <c r="K78" s="6">
        <f>VLOOKUP($B78,Sheet3!$B:$I,6,0)</f>
        <v>0</v>
      </c>
      <c r="L78" s="6" t="str">
        <f>VLOOKUP($B78,Sheet4!$B:$L,10,0)</f>
        <v>Kinh</v>
      </c>
      <c r="M78" s="6" t="s">
        <v>1895</v>
      </c>
      <c r="N78" s="6">
        <f>VLOOKUP($B78,Sheet3!$B:$I,7,0)</f>
        <v>0</v>
      </c>
      <c r="O78" s="6" t="str">
        <f>VLOOKUP($B78,Sheet4!$B:$L,11,0)</f>
        <v>Không</v>
      </c>
      <c r="P78" s="6" t="s">
        <v>1901</v>
      </c>
      <c r="Q78" s="5" t="s">
        <v>193</v>
      </c>
      <c r="R78" s="17" t="s">
        <v>553</v>
      </c>
      <c r="S78" s="36" t="s">
        <v>500</v>
      </c>
      <c r="T78" s="10" t="s">
        <v>503</v>
      </c>
      <c r="U78" s="58">
        <v>2.2599999999999998</v>
      </c>
      <c r="V78" s="9" t="s">
        <v>201</v>
      </c>
      <c r="W78" s="5" t="s">
        <v>202</v>
      </c>
      <c r="X78" s="34"/>
      <c r="Y78" s="3" t="s">
        <v>196</v>
      </c>
      <c r="Z78" s="15"/>
      <c r="AA78" s="15"/>
      <c r="AB78" s="15"/>
      <c r="AC78" s="15"/>
    </row>
    <row r="79" spans="1:29" ht="39.75" customHeight="1">
      <c r="A79" s="24">
        <v>76</v>
      </c>
      <c r="B79" s="4">
        <v>2051067773</v>
      </c>
      <c r="C79" s="5" t="s">
        <v>203</v>
      </c>
      <c r="D79" s="6" t="str">
        <f>VLOOKUP(B79,Sheet3!$B:$I,3,0)</f>
        <v>18/12/2002</v>
      </c>
      <c r="E79" s="6" t="str">
        <f>VLOOKUP($B79,Sheet4!$B:$L,4,0)</f>
        <v>18/12/2002</v>
      </c>
      <c r="F79" s="6" t="s">
        <v>843</v>
      </c>
      <c r="G79" s="6" t="str">
        <f>VLOOKUP($B79,Sheet3!$B:$I,5,0)</f>
        <v>Tiền Giang</v>
      </c>
      <c r="H79" s="6" t="str">
        <f>VLOOKUP($B79,Sheet4!$B:$L,5,0)</f>
        <v>BV Cai Lậy, Tiền Giang</v>
      </c>
      <c r="I79" s="6" t="str">
        <f>VLOOKUP(B79,[1]Sheet3!$D:$K,5,0)</f>
        <v xml:space="preserve">Tiền Giang </v>
      </c>
      <c r="J79" s="6" t="s">
        <v>8891</v>
      </c>
      <c r="K79" s="6">
        <f>VLOOKUP($B79,Sheet3!$B:$I,6,0)</f>
        <v>0</v>
      </c>
      <c r="L79" s="6" t="str">
        <f>VLOOKUP($B79,Sheet4!$B:$L,10,0)</f>
        <v>Kinh</v>
      </c>
      <c r="M79" s="6" t="s">
        <v>1895</v>
      </c>
      <c r="N79" s="6">
        <f>VLOOKUP($B79,Sheet3!$B:$I,7,0)</f>
        <v>0</v>
      </c>
      <c r="O79" s="6" t="str">
        <f>VLOOKUP($B79,Sheet4!$B:$L,11,0)</f>
        <v>83</v>
      </c>
      <c r="P79" s="6" t="s">
        <v>1901</v>
      </c>
      <c r="Q79" s="5" t="s">
        <v>193</v>
      </c>
      <c r="R79" s="17" t="s">
        <v>553</v>
      </c>
      <c r="S79" s="36" t="s">
        <v>500</v>
      </c>
      <c r="T79" s="10" t="s">
        <v>503</v>
      </c>
      <c r="U79" s="58">
        <v>1.94</v>
      </c>
      <c r="V79" s="9" t="s">
        <v>204</v>
      </c>
      <c r="W79" s="5" t="s">
        <v>202</v>
      </c>
      <c r="X79" s="34"/>
      <c r="Y79" s="3" t="s">
        <v>196</v>
      </c>
      <c r="Z79" s="15"/>
      <c r="AA79" s="15"/>
      <c r="AB79" s="15"/>
      <c r="AC79" s="15"/>
    </row>
    <row r="80" spans="1:29" ht="39.75" customHeight="1">
      <c r="A80" s="24">
        <v>77</v>
      </c>
      <c r="B80" s="4">
        <v>2051067231</v>
      </c>
      <c r="C80" s="5" t="s">
        <v>205</v>
      </c>
      <c r="D80" s="6" t="str">
        <f>VLOOKUP(B80,Sheet3!$B:$I,3,0)</f>
        <v>23/12/2002</v>
      </c>
      <c r="E80" s="6" t="str">
        <f>VLOOKUP($B80,Sheet4!$B:$L,4,0)</f>
        <v>23/12/2002</v>
      </c>
      <c r="F80" s="6" t="s">
        <v>986</v>
      </c>
      <c r="G80" s="6">
        <f>VLOOKUP($B80,Sheet3!$B:$I,5,0)</f>
        <v>0</v>
      </c>
      <c r="H80" s="6" t="str">
        <f>VLOOKUP($B80,Sheet4!$B:$L,5,0)</f>
        <v>Tp.Hồ Chí Minh</v>
      </c>
      <c r="I80" s="6" t="str">
        <f>VLOOKUP(B80,[1]Sheet3!$D:$K,5,0)</f>
        <v>C12/24 ấp 3 xã Tân Quý Tây, huyện Bình Chánh TPHCM</v>
      </c>
      <c r="J80" s="6" t="s">
        <v>5255</v>
      </c>
      <c r="K80" s="6">
        <f>VLOOKUP($B80,Sheet3!$B:$I,6,0)</f>
        <v>0</v>
      </c>
      <c r="L80" s="6" t="str">
        <f>VLOOKUP($B80,Sheet4!$B:$L,10,0)</f>
        <v>Kinh</v>
      </c>
      <c r="M80" s="6" t="s">
        <v>1895</v>
      </c>
      <c r="N80" s="6">
        <f>VLOOKUP($B80,Sheet3!$B:$I,7,0)</f>
        <v>0</v>
      </c>
      <c r="O80" s="6">
        <f>VLOOKUP($B80,Sheet4!$B:$L,11,0)</f>
        <v>0</v>
      </c>
      <c r="P80" s="6" t="s">
        <v>1901</v>
      </c>
      <c r="Q80" s="5" t="s">
        <v>193</v>
      </c>
      <c r="R80" s="17" t="s">
        <v>553</v>
      </c>
      <c r="S80" s="36" t="s">
        <v>500</v>
      </c>
      <c r="T80" s="10" t="s">
        <v>503</v>
      </c>
      <c r="U80" s="58">
        <v>1.94</v>
      </c>
      <c r="V80" s="9" t="s">
        <v>206</v>
      </c>
      <c r="W80" s="5" t="s">
        <v>207</v>
      </c>
      <c r="X80" s="34"/>
      <c r="Y80" s="3" t="s">
        <v>196</v>
      </c>
      <c r="Z80" s="15"/>
      <c r="AA80" s="15"/>
      <c r="AB80" s="15"/>
      <c r="AC80" s="15"/>
    </row>
    <row r="81" spans="1:29" ht="39.75" customHeight="1">
      <c r="A81" s="24">
        <v>78</v>
      </c>
      <c r="B81" s="4">
        <v>2151067639</v>
      </c>
      <c r="C81" s="5" t="s">
        <v>208</v>
      </c>
      <c r="D81" s="6" t="e">
        <f>VLOOKUP(B81,Sheet3!$B:$I,3,0)</f>
        <v>#N/A</v>
      </c>
      <c r="E81" s="6" t="str">
        <f>VLOOKUP($B81,Sheet4!$B:$L,4,0)</f>
        <v>12/05/2003</v>
      </c>
      <c r="F81" s="6" t="s">
        <v>3165</v>
      </c>
      <c r="G81" s="6" t="e">
        <f>VLOOKUP($B81,Sheet3!$B:$I,5,0)</f>
        <v>#N/A</v>
      </c>
      <c r="H81" s="6" t="str">
        <f>VLOOKUP($B81,Sheet4!$B:$L,5,0)</f>
        <v>Bến Tre</v>
      </c>
      <c r="I81" s="6" t="str">
        <f>VLOOKUP(B81,[1]Sheet3!$D:$K,5,0)</f>
        <v>Bến Tre</v>
      </c>
      <c r="J81" s="6" t="s">
        <v>4845</v>
      </c>
      <c r="K81" s="6" t="e">
        <f>VLOOKUP($B81,Sheet3!$B:$I,6,0)</f>
        <v>#N/A</v>
      </c>
      <c r="L81" s="6" t="str">
        <f>VLOOKUP($B81,Sheet4!$B:$L,10,0)</f>
        <v>Kinh</v>
      </c>
      <c r="M81" s="6" t="s">
        <v>1895</v>
      </c>
      <c r="N81" s="6" t="e">
        <f>VLOOKUP($B81,Sheet3!$B:$I,7,0)</f>
        <v>#N/A</v>
      </c>
      <c r="O81" s="6" t="str">
        <f>VLOOKUP($B81,Sheet4!$B:$L,11,0)</f>
        <v>140</v>
      </c>
      <c r="P81" s="6" t="s">
        <v>1901</v>
      </c>
      <c r="Q81" s="5" t="s">
        <v>209</v>
      </c>
      <c r="R81" s="17" t="s">
        <v>553</v>
      </c>
      <c r="S81" s="36" t="s">
        <v>498</v>
      </c>
      <c r="T81" s="10" t="s">
        <v>503</v>
      </c>
      <c r="U81" s="58">
        <v>2.1800000000000002</v>
      </c>
      <c r="V81" s="9" t="s">
        <v>210</v>
      </c>
      <c r="W81" s="5" t="s">
        <v>207</v>
      </c>
      <c r="X81" s="34"/>
      <c r="Y81" s="3" t="s">
        <v>196</v>
      </c>
      <c r="Z81" s="15"/>
      <c r="AA81" s="15"/>
      <c r="AB81" s="15"/>
      <c r="AC81" s="15"/>
    </row>
    <row r="82" spans="1:29" ht="39.75" customHeight="1">
      <c r="A82" s="24">
        <v>79</v>
      </c>
      <c r="B82" s="4">
        <v>2151067600</v>
      </c>
      <c r="C82" s="5" t="s">
        <v>211</v>
      </c>
      <c r="D82" s="6" t="e">
        <f>VLOOKUP(B82,Sheet3!$B:$I,3,0)</f>
        <v>#N/A</v>
      </c>
      <c r="E82" s="6" t="str">
        <f>VLOOKUP($B82,Sheet4!$B:$L,4,0)</f>
        <v>24/08/2003</v>
      </c>
      <c r="F82" s="6" t="s">
        <v>7137</v>
      </c>
      <c r="G82" s="6" t="e">
        <f>VLOOKUP($B82,Sheet3!$B:$I,5,0)</f>
        <v>#N/A</v>
      </c>
      <c r="H82" s="6" t="str">
        <f>VLOOKUP($B82,Sheet4!$B:$L,5,0)</f>
        <v>Tp.HCM</v>
      </c>
      <c r="I82" s="6" t="str">
        <f>VLOOKUP(B82,[1]Sheet3!$D:$K,5,0)</f>
        <v>TP.HCM</v>
      </c>
      <c r="J82" s="6" t="s">
        <v>5255</v>
      </c>
      <c r="K82" s="6" t="e">
        <f>VLOOKUP($B82,Sheet3!$B:$I,6,0)</f>
        <v>#N/A</v>
      </c>
      <c r="L82" s="6" t="str">
        <f>VLOOKUP($B82,Sheet4!$B:$L,10,0)</f>
        <v>Kinh</v>
      </c>
      <c r="M82" s="6" t="s">
        <v>1895</v>
      </c>
      <c r="N82" s="6" t="e">
        <f>VLOOKUP($B82,Sheet3!$B:$I,7,0)</f>
        <v>#N/A</v>
      </c>
      <c r="O82" s="6" t="str">
        <f>VLOOKUP($B82,Sheet4!$B:$L,11,0)</f>
        <v>101</v>
      </c>
      <c r="P82" s="6" t="s">
        <v>1901</v>
      </c>
      <c r="Q82" s="5" t="s">
        <v>209</v>
      </c>
      <c r="R82" s="17" t="s">
        <v>553</v>
      </c>
      <c r="S82" s="36" t="s">
        <v>498</v>
      </c>
      <c r="T82" s="10" t="s">
        <v>503</v>
      </c>
      <c r="U82" s="58">
        <v>2.2999999999999998</v>
      </c>
      <c r="V82" s="9" t="s">
        <v>212</v>
      </c>
      <c r="W82" s="5" t="s">
        <v>207</v>
      </c>
      <c r="X82" s="34"/>
      <c r="Y82" s="3" t="s">
        <v>196</v>
      </c>
      <c r="Z82" s="15"/>
      <c r="AA82" s="15"/>
      <c r="AB82" s="15"/>
      <c r="AC82" s="15"/>
    </row>
    <row r="83" spans="1:29" ht="39.75" customHeight="1">
      <c r="A83" s="24">
        <v>80</v>
      </c>
      <c r="B83" s="4">
        <v>2151067645</v>
      </c>
      <c r="C83" s="5" t="s">
        <v>213</v>
      </c>
      <c r="D83" s="6" t="e">
        <f>VLOOKUP(B83,Sheet3!$B:$I,3,0)</f>
        <v>#N/A</v>
      </c>
      <c r="E83" s="6" t="str">
        <f>VLOOKUP($B83,Sheet4!$B:$L,4,0)</f>
        <v>07/08/2003</v>
      </c>
      <c r="F83" s="6" t="s">
        <v>7134</v>
      </c>
      <c r="G83" s="6" t="e">
        <f>VLOOKUP($B83,Sheet3!$B:$I,5,0)</f>
        <v>#N/A</v>
      </c>
      <c r="H83" s="6" t="str">
        <f>VLOOKUP($B83,Sheet4!$B:$L,5,0)</f>
        <v>Tp.HCM</v>
      </c>
      <c r="I83" s="6" t="str">
        <f>VLOOKUP(B83,[1]Sheet3!$D:$K,5,0)</f>
        <v xml:space="preserve">Thành phố Hồ Chí Minh </v>
      </c>
      <c r="J83" s="6" t="s">
        <v>5255</v>
      </c>
      <c r="K83" s="6" t="e">
        <f>VLOOKUP($B83,Sheet3!$B:$I,6,0)</f>
        <v>#N/A</v>
      </c>
      <c r="L83" s="6" t="str">
        <f>VLOOKUP($B83,Sheet4!$B:$L,10,0)</f>
        <v>Kinh</v>
      </c>
      <c r="M83" s="6" t="s">
        <v>1895</v>
      </c>
      <c r="N83" s="6" t="e">
        <f>VLOOKUP($B83,Sheet3!$B:$I,7,0)</f>
        <v>#N/A</v>
      </c>
      <c r="O83" s="6" t="str">
        <f>VLOOKUP($B83,Sheet4!$B:$L,11,0)</f>
        <v>146</v>
      </c>
      <c r="P83" s="6" t="s">
        <v>1901</v>
      </c>
      <c r="Q83" s="5" t="s">
        <v>209</v>
      </c>
      <c r="R83" s="17" t="s">
        <v>553</v>
      </c>
      <c r="S83" s="36" t="s">
        <v>498</v>
      </c>
      <c r="T83" s="10" t="s">
        <v>503</v>
      </c>
      <c r="U83" s="58">
        <v>2.75</v>
      </c>
      <c r="V83" s="9" t="s">
        <v>214</v>
      </c>
      <c r="W83" s="5" t="s">
        <v>215</v>
      </c>
      <c r="X83" s="34"/>
      <c r="Y83" s="3" t="s">
        <v>196</v>
      </c>
      <c r="Z83" s="15"/>
      <c r="AA83" s="15"/>
      <c r="AB83" s="15"/>
      <c r="AC83" s="15"/>
    </row>
    <row r="84" spans="1:29" ht="39.75" customHeight="1">
      <c r="A84" s="24">
        <v>81</v>
      </c>
      <c r="B84" s="4">
        <v>2151067051</v>
      </c>
      <c r="C84" s="5" t="s">
        <v>216</v>
      </c>
      <c r="D84" s="6" t="e">
        <f>VLOOKUP(B84,Sheet3!$B:$I,3,0)</f>
        <v>#N/A</v>
      </c>
      <c r="E84" s="6" t="str">
        <f>VLOOKUP($B84,Sheet4!$B:$L,4,0)</f>
        <v>11/12/2002</v>
      </c>
      <c r="F84" s="6" t="s">
        <v>1497</v>
      </c>
      <c r="G84" s="6" t="e">
        <f>VLOOKUP($B84,Sheet3!$B:$I,5,0)</f>
        <v>#N/A</v>
      </c>
      <c r="H84" s="6" t="str">
        <f>VLOOKUP($B84,Sheet4!$B:$L,5,0)</f>
        <v>Đồng Tháp</v>
      </c>
      <c r="I84" s="6" t="str">
        <f>VLOOKUP(B84,[1]Sheet3!$D:$K,5,0)</f>
        <v xml:space="preserve"> tỉnh đồng tháp</v>
      </c>
      <c r="J84" s="6" t="s">
        <v>790</v>
      </c>
      <c r="K84" s="6" t="e">
        <f>VLOOKUP($B84,Sheet3!$B:$I,6,0)</f>
        <v>#N/A</v>
      </c>
      <c r="L84" s="6" t="str">
        <f>VLOOKUP($B84,Sheet4!$B:$L,10,0)</f>
        <v>Kinh</v>
      </c>
      <c r="M84" s="6" t="s">
        <v>1895</v>
      </c>
      <c r="N84" s="6" t="e">
        <f>VLOOKUP($B84,Sheet3!$B:$I,7,0)</f>
        <v>#N/A</v>
      </c>
      <c r="O84" s="6" t="str">
        <f>VLOOKUP($B84,Sheet4!$B:$L,11,0)</f>
        <v>1218</v>
      </c>
      <c r="P84" s="6" t="s">
        <v>1901</v>
      </c>
      <c r="Q84" s="5" t="s">
        <v>209</v>
      </c>
      <c r="R84" s="17" t="s">
        <v>553</v>
      </c>
      <c r="S84" s="36" t="s">
        <v>498</v>
      </c>
      <c r="T84" s="10" t="s">
        <v>503</v>
      </c>
      <c r="U84" s="58">
        <v>2.52</v>
      </c>
      <c r="V84" s="9" t="s">
        <v>217</v>
      </c>
      <c r="W84" s="5" t="s">
        <v>202</v>
      </c>
      <c r="X84" s="34"/>
      <c r="Y84" s="3" t="s">
        <v>196</v>
      </c>
      <c r="Z84" s="15"/>
      <c r="AA84" s="15"/>
      <c r="AB84" s="15"/>
      <c r="AC84" s="15"/>
    </row>
    <row r="85" spans="1:29" ht="39.75" customHeight="1">
      <c r="A85" s="24">
        <v>82</v>
      </c>
      <c r="B85" s="4">
        <v>2151067623</v>
      </c>
      <c r="C85" s="5" t="s">
        <v>218</v>
      </c>
      <c r="D85" s="6" t="e">
        <f>VLOOKUP(B85,Sheet3!$B:$I,3,0)</f>
        <v>#N/A</v>
      </c>
      <c r="E85" s="6" t="str">
        <f>VLOOKUP($B85,Sheet4!$B:$L,4,0)</f>
        <v>25/08/2003</v>
      </c>
      <c r="F85" s="6" t="s">
        <v>7105</v>
      </c>
      <c r="G85" s="6" t="e">
        <f>VLOOKUP($B85,Sheet3!$B:$I,5,0)</f>
        <v>#N/A</v>
      </c>
      <c r="H85" s="6" t="str">
        <f>VLOOKUP($B85,Sheet4!$B:$L,5,0)</f>
        <v>Bình Thuận</v>
      </c>
      <c r="I85" s="6" t="str">
        <f>VLOOKUP(B85,[1]Sheet3!$D:$K,5,0)</f>
        <v>Tỉnh Bình Thuận</v>
      </c>
      <c r="J85" s="6" t="s">
        <v>998</v>
      </c>
      <c r="K85" s="6" t="e">
        <f>VLOOKUP($B85,Sheet3!$B:$I,6,0)</f>
        <v>#N/A</v>
      </c>
      <c r="L85" s="6" t="str">
        <f>VLOOKUP($B85,Sheet4!$B:$L,10,0)</f>
        <v>Kinh</v>
      </c>
      <c r="M85" s="6" t="s">
        <v>1895</v>
      </c>
      <c r="N85" s="6" t="e">
        <f>VLOOKUP($B85,Sheet3!$B:$I,7,0)</f>
        <v>#N/A</v>
      </c>
      <c r="O85" s="6" t="str">
        <f>VLOOKUP($B85,Sheet4!$B:$L,11,0)</f>
        <v>124</v>
      </c>
      <c r="P85" s="6" t="s">
        <v>6924</v>
      </c>
      <c r="Q85" s="5" t="s">
        <v>209</v>
      </c>
      <c r="R85" s="17" t="s">
        <v>553</v>
      </c>
      <c r="S85" s="36" t="s">
        <v>498</v>
      </c>
      <c r="T85" s="10" t="s">
        <v>503</v>
      </c>
      <c r="U85" s="58">
        <v>2.1</v>
      </c>
      <c r="V85" s="9" t="s">
        <v>219</v>
      </c>
      <c r="W85" s="5" t="s">
        <v>215</v>
      </c>
      <c r="X85" s="34"/>
      <c r="Y85" s="3" t="s">
        <v>196</v>
      </c>
      <c r="Z85" s="15"/>
      <c r="AA85" s="15"/>
      <c r="AB85" s="15"/>
      <c r="AC85" s="15"/>
    </row>
    <row r="86" spans="1:29" ht="39.75" customHeight="1">
      <c r="A86" s="24">
        <v>83</v>
      </c>
      <c r="B86" s="4">
        <v>2154027099</v>
      </c>
      <c r="C86" s="5" t="s">
        <v>220</v>
      </c>
      <c r="D86" s="6" t="e">
        <f>VLOOKUP(B86,Sheet3!$B:$I,3,0)</f>
        <v>#N/A</v>
      </c>
      <c r="E86" s="6" t="str">
        <f>VLOOKUP($B86,Sheet4!$B:$L,4,0)</f>
        <v>08/06/2003</v>
      </c>
      <c r="F86" s="6" t="s">
        <v>7127</v>
      </c>
      <c r="G86" s="6" t="e">
        <f>VLOOKUP($B86,Sheet3!$B:$I,5,0)</f>
        <v>#N/A</v>
      </c>
      <c r="H86" s="6" t="str">
        <f>VLOOKUP($B86,Sheet4!$B:$L,5,0)</f>
        <v>BV Cà Mau</v>
      </c>
      <c r="I86" s="6" t="str">
        <f>VLOOKUP(B86,[1]Sheet3!$D:$K,5,0)</f>
        <v>Cà Mau</v>
      </c>
      <c r="J86" s="6" t="s">
        <v>861</v>
      </c>
      <c r="K86" s="6" t="e">
        <f>VLOOKUP($B86,Sheet3!$B:$I,6,0)</f>
        <v>#N/A</v>
      </c>
      <c r="L86" s="6" t="str">
        <f>VLOOKUP($B86,Sheet4!$B:$L,10,0)</f>
        <v>Kinh</v>
      </c>
      <c r="M86" s="6" t="s">
        <v>1895</v>
      </c>
      <c r="N86" s="6" t="e">
        <f>VLOOKUP($B86,Sheet3!$B:$I,7,0)</f>
        <v>#N/A</v>
      </c>
      <c r="O86" s="6" t="str">
        <f>VLOOKUP($B86,Sheet4!$B:$L,11,0)</f>
        <v>1266</v>
      </c>
      <c r="P86" s="6" t="s">
        <v>6298</v>
      </c>
      <c r="Q86" s="5" t="s">
        <v>209</v>
      </c>
      <c r="R86" s="17" t="s">
        <v>553</v>
      </c>
      <c r="S86" s="36" t="s">
        <v>498</v>
      </c>
      <c r="T86" s="10" t="s">
        <v>503</v>
      </c>
      <c r="U86" s="58">
        <v>2.36</v>
      </c>
      <c r="V86" s="9" t="s">
        <v>221</v>
      </c>
      <c r="W86" s="5" t="s">
        <v>215</v>
      </c>
      <c r="X86" s="34"/>
      <c r="Y86" s="3" t="s">
        <v>196</v>
      </c>
      <c r="Z86" s="15"/>
      <c r="AA86" s="15"/>
      <c r="AB86" s="15"/>
      <c r="AC86" s="15"/>
    </row>
    <row r="87" spans="1:29" ht="39.75" customHeight="1">
      <c r="A87" s="24">
        <v>84</v>
      </c>
      <c r="B87" s="4">
        <v>2154037756</v>
      </c>
      <c r="C87" s="5" t="s">
        <v>222</v>
      </c>
      <c r="D87" s="6" t="e">
        <f>VLOOKUP(B87,Sheet3!$B:$I,3,0)</f>
        <v>#N/A</v>
      </c>
      <c r="E87" s="6" t="str">
        <f>VLOOKUP($B87,Sheet4!$B:$L,4,0)</f>
        <v>27/04/2003</v>
      </c>
      <c r="F87" s="6" t="s">
        <v>3773</v>
      </c>
      <c r="G87" s="6" t="e">
        <f>VLOOKUP($B87,Sheet3!$B:$I,5,0)</f>
        <v>#N/A</v>
      </c>
      <c r="H87" s="6" t="str">
        <f>VLOOKUP($B87,Sheet4!$B:$L,5,0)</f>
        <v>Tp.HCM</v>
      </c>
      <c r="I87" s="6" t="str">
        <f>VLOOKUP(B87,[1]Sheet3!$D:$K,5,0)</f>
        <v>Thành phố Hồ Chí Minh</v>
      </c>
      <c r="J87" s="6" t="s">
        <v>5255</v>
      </c>
      <c r="K87" s="6" t="e">
        <f>VLOOKUP($B87,Sheet3!$B:$I,6,0)</f>
        <v>#N/A</v>
      </c>
      <c r="L87" s="6" t="str">
        <f>VLOOKUP($B87,Sheet4!$B:$L,10,0)</f>
        <v>Kinh</v>
      </c>
      <c r="M87" s="6" t="s">
        <v>1895</v>
      </c>
      <c r="N87" s="6" t="e">
        <f>VLOOKUP($B87,Sheet3!$B:$I,7,0)</f>
        <v>#N/A</v>
      </c>
      <c r="O87" s="6" t="str">
        <f>VLOOKUP($B87,Sheet4!$B:$L,11,0)</f>
        <v>257</v>
      </c>
      <c r="P87" s="6" t="s">
        <v>6924</v>
      </c>
      <c r="Q87" s="5" t="s">
        <v>209</v>
      </c>
      <c r="R87" s="17" t="s">
        <v>553</v>
      </c>
      <c r="S87" s="36" t="s">
        <v>498</v>
      </c>
      <c r="T87" s="10" t="s">
        <v>503</v>
      </c>
      <c r="U87" s="58">
        <v>2.15</v>
      </c>
      <c r="V87" s="9" t="s">
        <v>223</v>
      </c>
      <c r="W87" s="5" t="s">
        <v>224</v>
      </c>
      <c r="X87" s="34"/>
      <c r="Y87" s="3" t="s">
        <v>196</v>
      </c>
      <c r="Z87" s="15"/>
      <c r="AA87" s="15"/>
      <c r="AB87" s="15"/>
      <c r="AC87" s="15"/>
    </row>
    <row r="88" spans="1:29" ht="39.75" customHeight="1">
      <c r="A88" s="24">
        <v>85</v>
      </c>
      <c r="B88" s="4">
        <v>2151067580</v>
      </c>
      <c r="C88" s="5" t="s">
        <v>225</v>
      </c>
      <c r="D88" s="6" t="e">
        <f>VLOOKUP(B88,Sheet3!$B:$I,3,0)</f>
        <v>#N/A</v>
      </c>
      <c r="E88" s="6" t="str">
        <f>VLOOKUP($B88,Sheet4!$B:$L,4,0)</f>
        <v>21/12/2003</v>
      </c>
      <c r="F88" s="6" t="s">
        <v>7121</v>
      </c>
      <c r="G88" s="6" t="e">
        <f>VLOOKUP($B88,Sheet3!$B:$I,5,0)</f>
        <v>#N/A</v>
      </c>
      <c r="H88" s="6" t="str">
        <f>VLOOKUP($B88,Sheet4!$B:$L,5,0)</f>
        <v>Thanh Hóa</v>
      </c>
      <c r="I88" s="6" t="str">
        <f>VLOOKUP(B88,[1]Sheet3!$D:$K,5,0)</f>
        <v>Thanh Hóa</v>
      </c>
      <c r="J88" s="6" t="s">
        <v>817</v>
      </c>
      <c r="K88" s="6" t="e">
        <f>VLOOKUP($B88,Sheet3!$B:$I,6,0)</f>
        <v>#N/A</v>
      </c>
      <c r="L88" s="6" t="str">
        <f>VLOOKUP($B88,Sheet4!$B:$L,10,0)</f>
        <v>Kinh</v>
      </c>
      <c r="M88" s="6" t="s">
        <v>1895</v>
      </c>
      <c r="N88" s="6" t="e">
        <f>VLOOKUP($B88,Sheet3!$B:$I,7,0)</f>
        <v>#N/A</v>
      </c>
      <c r="O88" s="6" t="str">
        <f>VLOOKUP($B88,Sheet4!$B:$L,11,0)</f>
        <v>81</v>
      </c>
      <c r="P88" s="6" t="s">
        <v>1901</v>
      </c>
      <c r="Q88" s="5" t="s">
        <v>209</v>
      </c>
      <c r="R88" s="17" t="s">
        <v>553</v>
      </c>
      <c r="S88" s="36" t="s">
        <v>498</v>
      </c>
      <c r="T88" s="10" t="s">
        <v>503</v>
      </c>
      <c r="U88" s="58">
        <v>2.0099999999999998</v>
      </c>
      <c r="V88" s="9" t="s">
        <v>226</v>
      </c>
      <c r="W88" s="5" t="s">
        <v>227</v>
      </c>
      <c r="X88" s="34"/>
      <c r="Y88" s="3" t="s">
        <v>196</v>
      </c>
      <c r="Z88" s="15"/>
      <c r="AA88" s="15"/>
      <c r="AB88" s="15"/>
      <c r="AC88" s="15"/>
    </row>
    <row r="89" spans="1:29" ht="39.75" customHeight="1">
      <c r="A89" s="24">
        <v>86</v>
      </c>
      <c r="B89" s="4">
        <v>2151067371</v>
      </c>
      <c r="C89" s="5" t="s">
        <v>228</v>
      </c>
      <c r="D89" s="6" t="str">
        <f>VLOOKUP(B89,Sheet3!$B:$I,3,0)</f>
        <v>11/11/2003</v>
      </c>
      <c r="E89" s="6" t="str">
        <f>VLOOKUP($B89,Sheet4!$B:$L,4,0)</f>
        <v>11/11/2003</v>
      </c>
      <c r="F89" s="6" t="s">
        <v>3831</v>
      </c>
      <c r="G89" s="6">
        <f>VLOOKUP($B89,Sheet3!$B:$I,5,0)</f>
        <v>0</v>
      </c>
      <c r="H89" s="6" t="str">
        <f>VLOOKUP($B89,Sheet4!$B:$L,5,0)</f>
        <v>Phú Yên</v>
      </c>
      <c r="I89" s="6" t="str">
        <f>VLOOKUP(B89,[1]Sheet3!$D:$K,5,0)</f>
        <v>Phú Yên</v>
      </c>
      <c r="J89" s="6" t="s">
        <v>768</v>
      </c>
      <c r="K89" s="6">
        <f>VLOOKUP($B89,Sheet3!$B:$I,6,0)</f>
        <v>0</v>
      </c>
      <c r="L89" s="6" t="str">
        <f>VLOOKUP($B89,Sheet4!$B:$L,10,0)</f>
        <v>Kinh</v>
      </c>
      <c r="M89" s="6" t="s">
        <v>1895</v>
      </c>
      <c r="N89" s="6">
        <f>VLOOKUP($B89,Sheet3!$B:$I,7,0)</f>
        <v>0</v>
      </c>
      <c r="O89" s="6" t="str">
        <f>VLOOKUP($B89,Sheet4!$B:$L,11,0)</f>
        <v>33</v>
      </c>
      <c r="P89" s="6" t="s">
        <v>1901</v>
      </c>
      <c r="Q89" s="5" t="s">
        <v>209</v>
      </c>
      <c r="R89" s="17" t="s">
        <v>553</v>
      </c>
      <c r="S89" s="36" t="s">
        <v>498</v>
      </c>
      <c r="T89" s="10" t="s">
        <v>503</v>
      </c>
      <c r="U89" s="58">
        <v>2.78</v>
      </c>
      <c r="V89" s="9" t="s">
        <v>229</v>
      </c>
      <c r="W89" s="5" t="s">
        <v>199</v>
      </c>
      <c r="X89" s="34"/>
      <c r="Y89" s="3" t="s">
        <v>196</v>
      </c>
      <c r="Z89" s="15"/>
      <c r="AA89" s="15"/>
      <c r="AB89" s="15"/>
      <c r="AC89" s="15"/>
    </row>
    <row r="90" spans="1:29" ht="39.75" customHeight="1">
      <c r="A90" s="24">
        <v>87</v>
      </c>
      <c r="B90" s="4">
        <v>2151067646</v>
      </c>
      <c r="C90" s="5" t="s">
        <v>230</v>
      </c>
      <c r="D90" s="6" t="e">
        <f>VLOOKUP(B90,Sheet3!$B:$I,3,0)</f>
        <v>#N/A</v>
      </c>
      <c r="E90" s="6" t="str">
        <f>VLOOKUP($B90,Sheet4!$B:$L,4,0)</f>
        <v>11/12/2003</v>
      </c>
      <c r="F90" s="61">
        <v>37937</v>
      </c>
      <c r="G90" s="6" t="e">
        <f>VLOOKUP($B90,Sheet3!$B:$I,5,0)</f>
        <v>#N/A</v>
      </c>
      <c r="H90" s="6" t="str">
        <f>VLOOKUP($B90,Sheet4!$B:$L,5,0)</f>
        <v>BVND Gia Định, Tp.HCM</v>
      </c>
      <c r="I90" s="6" t="str">
        <f>VLOOKUP(B90,[1]Sheet3!$D:$K,5,0)</f>
        <v>TPHCM</v>
      </c>
      <c r="J90" s="6" t="s">
        <v>5255</v>
      </c>
      <c r="K90" s="6" t="e">
        <f>VLOOKUP($B90,Sheet3!$B:$I,6,0)</f>
        <v>#N/A</v>
      </c>
      <c r="L90" s="6" t="str">
        <f>VLOOKUP($B90,Sheet4!$B:$L,10,0)</f>
        <v>Kinh</v>
      </c>
      <c r="M90" s="6" t="s">
        <v>1895</v>
      </c>
      <c r="N90" s="6" t="e">
        <f>VLOOKUP($B90,Sheet3!$B:$I,7,0)</f>
        <v>#N/A</v>
      </c>
      <c r="O90" s="6" t="str">
        <f>VLOOKUP($B90,Sheet4!$B:$L,11,0)</f>
        <v>147</v>
      </c>
      <c r="P90" s="6" t="s">
        <v>8872</v>
      </c>
      <c r="Q90" s="5" t="s">
        <v>209</v>
      </c>
      <c r="R90" s="17" t="s">
        <v>553</v>
      </c>
      <c r="S90" s="36" t="s">
        <v>498</v>
      </c>
      <c r="T90" s="10" t="s">
        <v>503</v>
      </c>
      <c r="U90" s="58">
        <v>2.65</v>
      </c>
      <c r="V90" s="9" t="s">
        <v>231</v>
      </c>
      <c r="W90" s="5" t="s">
        <v>195</v>
      </c>
      <c r="X90" s="34"/>
      <c r="Y90" s="3" t="s">
        <v>196</v>
      </c>
      <c r="Z90" s="15"/>
      <c r="AA90" s="15"/>
      <c r="AB90" s="15"/>
      <c r="AC90" s="15"/>
    </row>
    <row r="91" spans="1:29" ht="39.75" customHeight="1">
      <c r="A91" s="24">
        <v>88</v>
      </c>
      <c r="B91" s="4">
        <v>2151067587</v>
      </c>
      <c r="C91" s="5" t="s">
        <v>232</v>
      </c>
      <c r="D91" s="6" t="e">
        <f>VLOOKUP(B91,Sheet3!$B:$I,3,0)</f>
        <v>#N/A</v>
      </c>
      <c r="E91" s="6" t="str">
        <f>VLOOKUP($B91,Sheet4!$B:$L,4,0)</f>
        <v>28/11/2003</v>
      </c>
      <c r="F91" s="6" t="s">
        <v>7155</v>
      </c>
      <c r="G91" s="6" t="e">
        <f>VLOOKUP($B91,Sheet3!$B:$I,5,0)</f>
        <v>#N/A</v>
      </c>
      <c r="H91" s="6" t="str">
        <f>VLOOKUP($B91,Sheet4!$B:$L,5,0)</f>
        <v>Tp.HCM</v>
      </c>
      <c r="I91" s="6" t="str">
        <f>VLOOKUP(B91,[1]Sheet3!$D:$K,5,0)</f>
        <v xml:space="preserve">Thành phố Hồ Chí Minh </v>
      </c>
      <c r="J91" s="6" t="s">
        <v>5255</v>
      </c>
      <c r="K91" s="6" t="e">
        <f>VLOOKUP($B91,Sheet3!$B:$I,6,0)</f>
        <v>#N/A</v>
      </c>
      <c r="L91" s="6" t="str">
        <f>VLOOKUP($B91,Sheet4!$B:$L,10,0)</f>
        <v>Kinh</v>
      </c>
      <c r="M91" s="6" t="s">
        <v>1895</v>
      </c>
      <c r="N91" s="6" t="e">
        <f>VLOOKUP($B91,Sheet3!$B:$I,7,0)</f>
        <v>#N/A</v>
      </c>
      <c r="O91" s="6" t="str">
        <f>VLOOKUP($B91,Sheet4!$B:$L,11,0)</f>
        <v>88</v>
      </c>
      <c r="P91" s="6" t="s">
        <v>8869</v>
      </c>
      <c r="Q91" s="5" t="s">
        <v>233</v>
      </c>
      <c r="R91" s="17" t="s">
        <v>553</v>
      </c>
      <c r="S91" s="36" t="s">
        <v>498</v>
      </c>
      <c r="T91" s="10" t="s">
        <v>503</v>
      </c>
      <c r="U91" s="58">
        <v>2.02</v>
      </c>
      <c r="V91" s="9" t="s">
        <v>234</v>
      </c>
      <c r="W91" s="5" t="s">
        <v>224</v>
      </c>
      <c r="X91" s="34"/>
      <c r="Y91" s="3" t="s">
        <v>196</v>
      </c>
      <c r="Z91" s="15"/>
      <c r="AA91" s="15"/>
      <c r="AB91" s="15"/>
      <c r="AC91" s="15"/>
    </row>
    <row r="92" spans="1:29" ht="39.75" customHeight="1">
      <c r="A92" s="24">
        <v>89</v>
      </c>
      <c r="B92" s="4">
        <v>2151067614</v>
      </c>
      <c r="C92" s="5" t="s">
        <v>235</v>
      </c>
      <c r="D92" s="6" t="e">
        <f>VLOOKUP(B92,Sheet3!$B:$I,3,0)</f>
        <v>#N/A</v>
      </c>
      <c r="E92" s="6" t="str">
        <f>VLOOKUP($B92,Sheet4!$B:$L,4,0)</f>
        <v>27/10/2003</v>
      </c>
      <c r="F92" s="6" t="s">
        <v>7114</v>
      </c>
      <c r="G92" s="6" t="e">
        <f>VLOOKUP($B92,Sheet3!$B:$I,5,0)</f>
        <v>#N/A</v>
      </c>
      <c r="H92" s="6" t="str">
        <f>VLOOKUP($B92,Sheet4!$B:$L,5,0)</f>
        <v>Kiên Giang</v>
      </c>
      <c r="I92" s="6" t="str">
        <f>VLOOKUP(B92,[1]Sheet3!$D:$K,5,0)</f>
        <v>Mỹ Đức, Thành phố Hà Tiên, Tỉnh Kiên Giang</v>
      </c>
      <c r="J92" s="6" t="s">
        <v>892</v>
      </c>
      <c r="K92" s="6" t="e">
        <f>VLOOKUP($B92,Sheet3!$B:$I,6,0)</f>
        <v>#N/A</v>
      </c>
      <c r="L92" s="6" t="str">
        <f>VLOOKUP($B92,Sheet4!$B:$L,10,0)</f>
        <v>Kinh</v>
      </c>
      <c r="M92" s="6" t="s">
        <v>1895</v>
      </c>
      <c r="N92" s="6" t="e">
        <f>VLOOKUP($B92,Sheet3!$B:$I,7,0)</f>
        <v>#N/A</v>
      </c>
      <c r="O92" s="6" t="str">
        <f>VLOOKUP($B92,Sheet4!$B:$L,11,0)</f>
        <v>115</v>
      </c>
      <c r="P92" s="6" t="s">
        <v>6298</v>
      </c>
      <c r="Q92" s="5" t="s">
        <v>233</v>
      </c>
      <c r="R92" s="17" t="s">
        <v>553</v>
      </c>
      <c r="S92" s="36" t="s">
        <v>498</v>
      </c>
      <c r="T92" s="10" t="s">
        <v>503</v>
      </c>
      <c r="U92" s="58">
        <v>2.14</v>
      </c>
      <c r="V92" s="9" t="s">
        <v>236</v>
      </c>
      <c r="W92" s="5" t="s">
        <v>224</v>
      </c>
      <c r="X92" s="34"/>
      <c r="Y92" s="3" t="s">
        <v>196</v>
      </c>
      <c r="Z92" s="15"/>
      <c r="AA92" s="15"/>
      <c r="AB92" s="15"/>
      <c r="AC92" s="15"/>
    </row>
    <row r="93" spans="1:29" ht="39.75" customHeight="1">
      <c r="A93" s="24">
        <v>90</v>
      </c>
      <c r="B93" s="4">
        <v>2151067585</v>
      </c>
      <c r="C93" s="5" t="s">
        <v>237</v>
      </c>
      <c r="D93" s="6" t="e">
        <f>VLOOKUP(B93,Sheet3!$B:$I,3,0)</f>
        <v>#N/A</v>
      </c>
      <c r="E93" s="6" t="str">
        <f>VLOOKUP($B93,Sheet4!$B:$L,4,0)</f>
        <v>11/05/2003</v>
      </c>
      <c r="F93" s="6" t="s">
        <v>7096</v>
      </c>
      <c r="G93" s="6" t="e">
        <f>VLOOKUP($B93,Sheet3!$B:$I,5,0)</f>
        <v>#N/A</v>
      </c>
      <c r="H93" s="6" t="str">
        <f>VLOOKUP($B93,Sheet4!$B:$L,5,0)</f>
        <v>BÌnh Định</v>
      </c>
      <c r="I93" s="6" t="str">
        <f>VLOOKUP(B93,[1]Sheet3!$D:$K,5,0)</f>
        <v>Bình Định</v>
      </c>
      <c r="J93" s="6" t="s">
        <v>821</v>
      </c>
      <c r="K93" s="6" t="e">
        <f>VLOOKUP($B93,Sheet3!$B:$I,6,0)</f>
        <v>#N/A</v>
      </c>
      <c r="L93" s="6" t="str">
        <f>VLOOKUP($B93,Sheet4!$B:$L,10,0)</f>
        <v>Kinh</v>
      </c>
      <c r="M93" s="6" t="s">
        <v>1895</v>
      </c>
      <c r="N93" s="6" t="e">
        <f>VLOOKUP($B93,Sheet3!$B:$I,7,0)</f>
        <v>#N/A</v>
      </c>
      <c r="O93" s="6" t="str">
        <f>VLOOKUP($B93,Sheet4!$B:$L,11,0)</f>
        <v>86</v>
      </c>
      <c r="P93" s="6" t="s">
        <v>6298</v>
      </c>
      <c r="Q93" s="5" t="s">
        <v>233</v>
      </c>
      <c r="R93" s="17" t="s">
        <v>553</v>
      </c>
      <c r="S93" s="36" t="s">
        <v>498</v>
      </c>
      <c r="T93" s="10" t="s">
        <v>503</v>
      </c>
      <c r="U93" s="58">
        <v>2.88</v>
      </c>
      <c r="V93" s="9" t="s">
        <v>238</v>
      </c>
      <c r="W93" s="5" t="s">
        <v>239</v>
      </c>
      <c r="X93" s="34"/>
      <c r="Y93" s="3" t="s">
        <v>196</v>
      </c>
      <c r="Z93" s="15"/>
      <c r="AA93" s="15"/>
      <c r="AB93" s="15"/>
      <c r="AC93" s="15"/>
    </row>
    <row r="94" spans="1:29" ht="39.75" customHeight="1">
      <c r="A94" s="24">
        <v>91</v>
      </c>
      <c r="B94" s="4">
        <v>2151067077</v>
      </c>
      <c r="C94" s="5" t="s">
        <v>240</v>
      </c>
      <c r="D94" s="6" t="e">
        <f>VLOOKUP(B94,Sheet3!$B:$I,3,0)</f>
        <v>#N/A</v>
      </c>
      <c r="E94" s="6" t="str">
        <f>VLOOKUP($B94,Sheet4!$B:$L,4,0)</f>
        <v>11/09/2003</v>
      </c>
      <c r="F94" s="6" t="s">
        <v>7159</v>
      </c>
      <c r="G94" s="6" t="e">
        <f>VLOOKUP($B94,Sheet3!$B:$I,5,0)</f>
        <v>#N/A</v>
      </c>
      <c r="H94" s="6" t="str">
        <f>VLOOKUP($B94,Sheet4!$B:$L,5,0)</f>
        <v>Đăk Lăk</v>
      </c>
      <c r="I94" s="6" t="str">
        <f>VLOOKUP(B94,[1]Sheet3!$D:$K,5,0)</f>
        <v>Huyện Krông Buk tỉnh Đắk Lắk</v>
      </c>
      <c r="J94" s="6" t="s">
        <v>768</v>
      </c>
      <c r="K94" s="6" t="e">
        <f>VLOOKUP($B94,Sheet3!$B:$I,6,0)</f>
        <v>#N/A</v>
      </c>
      <c r="L94" s="6" t="str">
        <f>VLOOKUP($B94,Sheet4!$B:$L,10,0)</f>
        <v>Kinh</v>
      </c>
      <c r="M94" s="6" t="s">
        <v>1895</v>
      </c>
      <c r="N94" s="6" t="e">
        <f>VLOOKUP($B94,Sheet3!$B:$I,7,0)</f>
        <v>#N/A</v>
      </c>
      <c r="O94" s="6" t="str">
        <f>VLOOKUP($B94,Sheet4!$B:$L,11,0)</f>
        <v>1244</v>
      </c>
      <c r="P94" s="6" t="s">
        <v>1901</v>
      </c>
      <c r="Q94" s="5" t="s">
        <v>233</v>
      </c>
      <c r="R94" s="17" t="s">
        <v>553</v>
      </c>
      <c r="S94" s="36" t="s">
        <v>498</v>
      </c>
      <c r="T94" s="10" t="s">
        <v>503</v>
      </c>
      <c r="U94" s="58">
        <v>2.4900000000000002</v>
      </c>
      <c r="V94" s="9" t="s">
        <v>241</v>
      </c>
      <c r="W94" s="5" t="s">
        <v>239</v>
      </c>
      <c r="X94" s="34"/>
      <c r="Y94" s="3" t="s">
        <v>196</v>
      </c>
      <c r="Z94" s="15"/>
      <c r="AA94" s="15"/>
      <c r="AB94" s="15"/>
      <c r="AC94" s="15"/>
    </row>
    <row r="95" spans="1:29" ht="39.75" customHeight="1">
      <c r="A95" s="24">
        <v>92</v>
      </c>
      <c r="B95" s="4">
        <v>2151067635</v>
      </c>
      <c r="C95" s="5" t="s">
        <v>242</v>
      </c>
      <c r="D95" s="6" t="e">
        <f>VLOOKUP(B95,Sheet3!$B:$I,3,0)</f>
        <v>#N/A</v>
      </c>
      <c r="E95" s="6" t="str">
        <f>VLOOKUP($B95,Sheet4!$B:$L,4,0)</f>
        <v>27/02/2003</v>
      </c>
      <c r="F95" s="6" t="s">
        <v>7147</v>
      </c>
      <c r="G95" s="6" t="e">
        <f>VLOOKUP($B95,Sheet3!$B:$I,5,0)</f>
        <v>#N/A</v>
      </c>
      <c r="H95" s="6" t="str">
        <f>VLOOKUP($B95,Sheet4!$B:$L,5,0)</f>
        <v>Đak Nông</v>
      </c>
      <c r="I95" s="6" t="str">
        <f>VLOOKUP(B95,[1]Sheet3!$D:$K,5,0)</f>
        <v>Đăk Nông</v>
      </c>
      <c r="J95" s="6" t="s">
        <v>998</v>
      </c>
      <c r="K95" s="6" t="e">
        <f>VLOOKUP($B95,Sheet3!$B:$I,6,0)</f>
        <v>#N/A</v>
      </c>
      <c r="L95" s="6" t="str">
        <f>VLOOKUP($B95,Sheet4!$B:$L,10,0)</f>
        <v>Kinh</v>
      </c>
      <c r="M95" s="6" t="s">
        <v>1895</v>
      </c>
      <c r="N95" s="6" t="e">
        <f>VLOOKUP($B95,Sheet3!$B:$I,7,0)</f>
        <v>#N/A</v>
      </c>
      <c r="O95" s="6" t="str">
        <f>VLOOKUP($B95,Sheet4!$B:$L,11,0)</f>
        <v>136</v>
      </c>
      <c r="P95" s="6" t="s">
        <v>1901</v>
      </c>
      <c r="Q95" s="5" t="s">
        <v>233</v>
      </c>
      <c r="R95" s="17" t="s">
        <v>553</v>
      </c>
      <c r="S95" s="36" t="s">
        <v>498</v>
      </c>
      <c r="T95" s="10" t="s">
        <v>503</v>
      </c>
      <c r="U95" s="58">
        <v>2.2599999999999998</v>
      </c>
      <c r="V95" s="9" t="s">
        <v>243</v>
      </c>
      <c r="W95" s="5" t="s">
        <v>224</v>
      </c>
      <c r="X95" s="34"/>
      <c r="Y95" s="3" t="s">
        <v>196</v>
      </c>
      <c r="Z95" s="15"/>
      <c r="AA95" s="15"/>
      <c r="AB95" s="15"/>
      <c r="AC95" s="15"/>
    </row>
    <row r="96" spans="1:29" ht="39.75" customHeight="1">
      <c r="A96" s="24">
        <v>93</v>
      </c>
      <c r="B96" s="4">
        <v>2151067053</v>
      </c>
      <c r="C96" s="5" t="s">
        <v>244</v>
      </c>
      <c r="D96" s="6" t="e">
        <f>VLOOKUP(B96,Sheet3!$B:$I,3,0)</f>
        <v>#N/A</v>
      </c>
      <c r="E96" s="6" t="str">
        <f>VLOOKUP($B96,Sheet4!$B:$L,4,0)</f>
        <v>20/09/2003</v>
      </c>
      <c r="F96" s="6" t="s">
        <v>7139</v>
      </c>
      <c r="G96" s="6" t="e">
        <f>VLOOKUP($B96,Sheet3!$B:$I,5,0)</f>
        <v>#N/A</v>
      </c>
      <c r="H96" s="6" t="str">
        <f>VLOOKUP($B96,Sheet4!$B:$L,5,0)</f>
        <v>Đồng Tháp</v>
      </c>
      <c r="I96" s="6" t="str">
        <f>VLOOKUP(B96,[1]Sheet3!$D:$K,5,0)</f>
        <v>xã Thường Thới Hậu A, huyện Hồng Ngự, tỉnh Đồng Tháp</v>
      </c>
      <c r="J96" s="6" t="s">
        <v>790</v>
      </c>
      <c r="K96" s="6" t="e">
        <f>VLOOKUP($B96,Sheet3!$B:$I,6,0)</f>
        <v>#N/A</v>
      </c>
      <c r="L96" s="6" t="str">
        <f>VLOOKUP($B96,Sheet4!$B:$L,10,0)</f>
        <v>Kinh</v>
      </c>
      <c r="M96" s="6" t="s">
        <v>1895</v>
      </c>
      <c r="N96" s="6" t="e">
        <f>VLOOKUP($B96,Sheet3!$B:$I,7,0)</f>
        <v>#N/A</v>
      </c>
      <c r="O96" s="6" t="str">
        <f>VLOOKUP($B96,Sheet4!$B:$L,11,0)</f>
        <v>1220</v>
      </c>
      <c r="P96" s="6" t="s">
        <v>1901</v>
      </c>
      <c r="Q96" s="5" t="s">
        <v>233</v>
      </c>
      <c r="R96" s="17" t="s">
        <v>553</v>
      </c>
      <c r="S96" s="36" t="s">
        <v>498</v>
      </c>
      <c r="T96" s="10" t="s">
        <v>503</v>
      </c>
      <c r="U96" s="58">
        <v>2.42</v>
      </c>
      <c r="V96" s="9" t="s">
        <v>245</v>
      </c>
      <c r="W96" s="5" t="s">
        <v>227</v>
      </c>
      <c r="X96" s="34"/>
      <c r="Y96" s="3" t="s">
        <v>196</v>
      </c>
      <c r="Z96" s="15"/>
      <c r="AA96" s="15"/>
      <c r="AB96" s="15"/>
      <c r="AC96" s="15"/>
    </row>
    <row r="97" spans="1:29" ht="39.75" customHeight="1">
      <c r="A97" s="24">
        <v>94</v>
      </c>
      <c r="B97" s="4">
        <v>2151067628</v>
      </c>
      <c r="C97" s="5" t="s">
        <v>246</v>
      </c>
      <c r="D97" s="6" t="e">
        <f>VLOOKUP(B97,Sheet3!$B:$I,3,0)</f>
        <v>#N/A</v>
      </c>
      <c r="E97" s="6" t="str">
        <f>VLOOKUP($B97,Sheet4!$B:$L,4,0)</f>
        <v>07/12/2003</v>
      </c>
      <c r="F97" s="6" t="s">
        <v>7149</v>
      </c>
      <c r="G97" s="6" t="e">
        <f>VLOOKUP($B97,Sheet3!$B:$I,5,0)</f>
        <v>#N/A</v>
      </c>
      <c r="H97" s="6" t="str">
        <f>VLOOKUP($B97,Sheet4!$B:$L,5,0)</f>
        <v>Tp.HCM</v>
      </c>
      <c r="I97" s="6" t="str">
        <f>VLOOKUP(B97,[1]Sheet3!$D:$K,5,0)</f>
        <v xml:space="preserve">Thành phố Hồ Chí Minh </v>
      </c>
      <c r="J97" s="6" t="s">
        <v>8892</v>
      </c>
      <c r="K97" s="6" t="e">
        <f>VLOOKUP($B97,Sheet3!$B:$I,6,0)</f>
        <v>#N/A</v>
      </c>
      <c r="L97" s="6" t="str">
        <f>VLOOKUP($B97,Sheet4!$B:$L,10,0)</f>
        <v>Kinh</v>
      </c>
      <c r="M97" s="6" t="s">
        <v>1895</v>
      </c>
      <c r="N97" s="6" t="e">
        <f>VLOOKUP($B97,Sheet3!$B:$I,7,0)</f>
        <v>#N/A</v>
      </c>
      <c r="O97" s="6" t="str">
        <f>VLOOKUP($B97,Sheet4!$B:$L,11,0)</f>
        <v>129</v>
      </c>
      <c r="P97" s="6" t="s">
        <v>8872</v>
      </c>
      <c r="Q97" s="5" t="s">
        <v>233</v>
      </c>
      <c r="R97" s="17" t="s">
        <v>553</v>
      </c>
      <c r="S97" s="36" t="s">
        <v>498</v>
      </c>
      <c r="T97" s="10" t="s">
        <v>503</v>
      </c>
      <c r="U97" s="58">
        <v>2.5</v>
      </c>
      <c r="V97" s="9" t="s">
        <v>247</v>
      </c>
      <c r="W97" s="5" t="s">
        <v>227</v>
      </c>
      <c r="X97" s="34"/>
      <c r="Y97" s="3" t="s">
        <v>196</v>
      </c>
      <c r="Z97" s="15"/>
      <c r="AA97" s="15"/>
      <c r="AB97" s="15"/>
      <c r="AC97" s="15"/>
    </row>
    <row r="98" spans="1:29" ht="39.75" customHeight="1">
      <c r="A98" s="24">
        <v>95</v>
      </c>
      <c r="B98" s="4">
        <v>2151067612</v>
      </c>
      <c r="C98" s="5" t="s">
        <v>248</v>
      </c>
      <c r="D98" s="6" t="e">
        <f>VLOOKUP(B98,Sheet3!$B:$I,3,0)</f>
        <v>#N/A</v>
      </c>
      <c r="E98" s="6" t="str">
        <f>VLOOKUP($B98,Sheet4!$B:$L,4,0)</f>
        <v>11/07/2003</v>
      </c>
      <c r="F98" s="6" t="s">
        <v>3795</v>
      </c>
      <c r="G98" s="6" t="e">
        <f>VLOOKUP($B98,Sheet3!$B:$I,5,0)</f>
        <v>#N/A</v>
      </c>
      <c r="H98" s="6" t="str">
        <f>VLOOKUP($B98,Sheet4!$B:$L,5,0)</f>
        <v>Quảng Ngãi</v>
      </c>
      <c r="I98" s="6" t="str">
        <f>VLOOKUP(B98,[1]Sheet3!$D:$K,5,0)</f>
        <v>Tổ 3 phường Lê Hồng Phong thành phố Quảng Ngãi tỉnh Quảng Ngãi</v>
      </c>
      <c r="J98" s="6" t="s">
        <v>1032</v>
      </c>
      <c r="K98" s="6" t="e">
        <f>VLOOKUP($B98,Sheet3!$B:$I,6,0)</f>
        <v>#N/A</v>
      </c>
      <c r="L98" s="6" t="str">
        <f>VLOOKUP($B98,Sheet4!$B:$L,10,0)</f>
        <v>Kinh</v>
      </c>
      <c r="M98" s="6" t="s">
        <v>1895</v>
      </c>
      <c r="N98" s="6" t="e">
        <f>VLOOKUP($B98,Sheet3!$B:$I,7,0)</f>
        <v>#N/A</v>
      </c>
      <c r="O98" s="6" t="str">
        <f>VLOOKUP($B98,Sheet4!$B:$L,11,0)</f>
        <v>113</v>
      </c>
      <c r="P98" s="6" t="s">
        <v>1901</v>
      </c>
      <c r="Q98" s="5" t="s">
        <v>233</v>
      </c>
      <c r="R98" s="17" t="s">
        <v>553</v>
      </c>
      <c r="S98" s="36" t="s">
        <v>498</v>
      </c>
      <c r="T98" s="10" t="s">
        <v>503</v>
      </c>
      <c r="U98" s="58">
        <v>2.5499999999999998</v>
      </c>
      <c r="V98" s="9" t="s">
        <v>249</v>
      </c>
      <c r="W98" s="5" t="s">
        <v>202</v>
      </c>
      <c r="X98" s="34"/>
      <c r="Y98" s="3" t="s">
        <v>196</v>
      </c>
      <c r="Z98" s="15"/>
      <c r="AA98" s="15"/>
      <c r="AB98" s="15"/>
      <c r="AC98" s="15"/>
    </row>
    <row r="99" spans="1:29" ht="39.75" customHeight="1">
      <c r="A99" s="24">
        <v>96</v>
      </c>
      <c r="B99" s="4">
        <v>2151067575</v>
      </c>
      <c r="C99" s="5" t="s">
        <v>250</v>
      </c>
      <c r="D99" s="6" t="e">
        <f>VLOOKUP(B99,Sheet3!$B:$I,3,0)</f>
        <v>#N/A</v>
      </c>
      <c r="E99" s="6" t="str">
        <f>VLOOKUP($B99,Sheet4!$B:$L,4,0)</f>
        <v>12/10/2003</v>
      </c>
      <c r="F99" s="6" t="s">
        <v>3778</v>
      </c>
      <c r="G99" s="6" t="e">
        <f>VLOOKUP($B99,Sheet3!$B:$I,5,0)</f>
        <v>#N/A</v>
      </c>
      <c r="H99" s="6" t="str">
        <f>VLOOKUP($B99,Sheet4!$B:$L,5,0)</f>
        <v>Đổng Tháp</v>
      </c>
      <c r="I99" s="6" t="str">
        <f>VLOOKUP(B99,[1]Sheet3!$D:$K,5,0)</f>
        <v>Đồng Tháp</v>
      </c>
      <c r="J99" s="6" t="s">
        <v>790</v>
      </c>
      <c r="K99" s="6" t="e">
        <f>VLOOKUP($B99,Sheet3!$B:$I,6,0)</f>
        <v>#N/A</v>
      </c>
      <c r="L99" s="6" t="str">
        <f>VLOOKUP($B99,Sheet4!$B:$L,10,0)</f>
        <v>Kinh</v>
      </c>
      <c r="M99" s="6" t="s">
        <v>1895</v>
      </c>
      <c r="N99" s="6" t="e">
        <f>VLOOKUP($B99,Sheet3!$B:$I,7,0)</f>
        <v>#N/A</v>
      </c>
      <c r="O99" s="6" t="str">
        <f>VLOOKUP($B99,Sheet4!$B:$L,11,0)</f>
        <v>76</v>
      </c>
      <c r="P99" s="6" t="s">
        <v>1901</v>
      </c>
      <c r="Q99" s="5" t="s">
        <v>233</v>
      </c>
      <c r="R99" s="17" t="s">
        <v>553</v>
      </c>
      <c r="S99" s="36" t="s">
        <v>498</v>
      </c>
      <c r="T99" s="10" t="s">
        <v>503</v>
      </c>
      <c r="U99" s="58">
        <v>3.22</v>
      </c>
      <c r="V99" s="9" t="s">
        <v>251</v>
      </c>
      <c r="W99" s="5" t="s">
        <v>199</v>
      </c>
      <c r="X99" s="34"/>
      <c r="Y99" s="3" t="s">
        <v>196</v>
      </c>
      <c r="Z99" s="15"/>
      <c r="AA99" s="15"/>
      <c r="AB99" s="15"/>
      <c r="AC99" s="15"/>
    </row>
    <row r="100" spans="1:29" ht="39.75" customHeight="1">
      <c r="A100" s="24">
        <v>97</v>
      </c>
      <c r="B100" s="4">
        <v>2051067522</v>
      </c>
      <c r="C100" s="5" t="s">
        <v>252</v>
      </c>
      <c r="D100" s="6" t="str">
        <f>VLOOKUP(B100,Sheet3!$B:$I,3,0)</f>
        <v>22/12/2002</v>
      </c>
      <c r="E100" s="6" t="str">
        <f>VLOOKUP($B100,Sheet4!$B:$L,4,0)</f>
        <v>22/12/2002</v>
      </c>
      <c r="F100" s="6" t="s">
        <v>873</v>
      </c>
      <c r="G100" s="6">
        <f>VLOOKUP($B100,Sheet3!$B:$I,5,0)</f>
        <v>0</v>
      </c>
      <c r="H100" s="6" t="str">
        <f>VLOOKUP($B100,Sheet4!$B:$L,5,0)</f>
        <v>phù cát-Bình định</v>
      </c>
      <c r="I100" s="6" t="str">
        <f>VLOOKUP(B100,[1]Sheet3!$D:$K,5,0)</f>
        <v>Phù cát, bình định</v>
      </c>
      <c r="J100" s="6" t="s">
        <v>821</v>
      </c>
      <c r="K100" s="6">
        <f>VLOOKUP($B100,Sheet3!$B:$I,6,0)</f>
        <v>0</v>
      </c>
      <c r="L100" s="6" t="str">
        <f>VLOOKUP($B100,Sheet4!$B:$L,10,0)</f>
        <v>73</v>
      </c>
      <c r="M100" s="6" t="s">
        <v>1895</v>
      </c>
      <c r="N100" s="6">
        <f>VLOOKUP($B100,Sheet3!$B:$I,7,0)</f>
        <v>0</v>
      </c>
      <c r="O100" s="6" t="str">
        <f>VLOOKUP($B100,Sheet4!$B:$L,11,0)</f>
        <v>không</v>
      </c>
      <c r="P100" s="6" t="s">
        <v>1901</v>
      </c>
      <c r="Q100" s="5" t="s">
        <v>193</v>
      </c>
      <c r="R100" s="17" t="s">
        <v>553</v>
      </c>
      <c r="S100" s="36" t="s">
        <v>500</v>
      </c>
      <c r="T100" s="10" t="s">
        <v>503</v>
      </c>
      <c r="U100" s="58">
        <v>2.69</v>
      </c>
      <c r="V100" s="9" t="s">
        <v>253</v>
      </c>
      <c r="W100" s="5" t="s">
        <v>224</v>
      </c>
      <c r="X100" s="34"/>
      <c r="Y100" s="3" t="s">
        <v>196</v>
      </c>
      <c r="Z100" s="15"/>
      <c r="AA100" s="15"/>
      <c r="AB100" s="15"/>
      <c r="AC100" s="15"/>
    </row>
    <row r="101" spans="1:29" ht="39.75" customHeight="1">
      <c r="A101" s="24">
        <v>98</v>
      </c>
      <c r="B101" s="4">
        <v>2051067571</v>
      </c>
      <c r="C101" s="5" t="s">
        <v>254</v>
      </c>
      <c r="D101" s="6" t="str">
        <f>VLOOKUP(B101,Sheet3!$B:$I,3,0)</f>
        <v>15/11/2002</v>
      </c>
      <c r="E101" s="6" t="str">
        <f>VLOOKUP($B101,Sheet4!$B:$L,4,0)</f>
        <v>15/11/2002</v>
      </c>
      <c r="F101" s="6" t="s">
        <v>1070</v>
      </c>
      <c r="G101" s="6">
        <f>VLOOKUP($B101,Sheet3!$B:$I,5,0)</f>
        <v>0</v>
      </c>
      <c r="H101" s="6" t="str">
        <f>VLOOKUP($B101,Sheet4!$B:$L,5,0)</f>
        <v>Phú Yên</v>
      </c>
      <c r="I101" s="6" t="str">
        <f>VLOOKUP(B101,[1]Sheet3!$D:$K,5,0)</f>
        <v>Hòa Vinh, Thị xã Đông Hòa, Tỉnh Phú Yên</v>
      </c>
      <c r="J101" s="6" t="s">
        <v>768</v>
      </c>
      <c r="K101" s="6">
        <f>VLOOKUP($B101,Sheet3!$B:$I,6,0)</f>
        <v>0</v>
      </c>
      <c r="L101" s="6" t="str">
        <f>VLOOKUP($B101,Sheet4!$B:$L,10,0)</f>
        <v>Kinh</v>
      </c>
      <c r="M101" s="6" t="s">
        <v>1895</v>
      </c>
      <c r="N101" s="6">
        <f>VLOOKUP($B101,Sheet3!$B:$I,7,0)</f>
        <v>0</v>
      </c>
      <c r="O101" s="6" t="str">
        <f>VLOOKUP($B101,Sheet4!$B:$L,11,0)</f>
        <v>122</v>
      </c>
      <c r="P101" s="6" t="s">
        <v>1901</v>
      </c>
      <c r="Q101" s="5" t="s">
        <v>193</v>
      </c>
      <c r="R101" s="17" t="s">
        <v>553</v>
      </c>
      <c r="S101" s="36" t="s">
        <v>500</v>
      </c>
      <c r="T101" s="10" t="s">
        <v>503</v>
      </c>
      <c r="U101" s="58">
        <v>2.12</v>
      </c>
      <c r="V101" s="9" t="s">
        <v>255</v>
      </c>
      <c r="W101" s="5" t="s">
        <v>195</v>
      </c>
      <c r="X101" s="34"/>
      <c r="Y101" s="3" t="s">
        <v>196</v>
      </c>
      <c r="Z101" s="15"/>
      <c r="AA101" s="15"/>
      <c r="AB101" s="15"/>
      <c r="AC101" s="15"/>
    </row>
    <row r="102" spans="1:29" ht="39.75" customHeight="1">
      <c r="A102" s="24">
        <v>99</v>
      </c>
      <c r="B102" s="4">
        <v>2151017502</v>
      </c>
      <c r="C102" s="5" t="s">
        <v>256</v>
      </c>
      <c r="D102" s="6" t="e">
        <f>VLOOKUP(B102,Sheet3!$B:$I,3,0)</f>
        <v>#N/A</v>
      </c>
      <c r="E102" s="6" t="str">
        <f>VLOOKUP($B102,Sheet4!$B:$L,4,0)</f>
        <v>15/04/2003</v>
      </c>
      <c r="F102" s="6" t="s">
        <v>7165</v>
      </c>
      <c r="G102" s="6" t="e">
        <f>VLOOKUP($B102,Sheet3!$B:$I,5,0)</f>
        <v>#N/A</v>
      </c>
      <c r="H102" s="6" t="str">
        <f>VLOOKUP($B102,Sheet4!$B:$L,5,0)</f>
        <v>Quy Nhơn</v>
      </c>
      <c r="I102" s="6" t="str">
        <f>VLOOKUP(B102,[1]Sheet3!$D:$K,5,0)</f>
        <v>Bình Định</v>
      </c>
      <c r="J102" s="6" t="s">
        <v>821</v>
      </c>
      <c r="K102" s="6" t="e">
        <f>VLOOKUP($B102,Sheet3!$B:$I,6,0)</f>
        <v>#N/A</v>
      </c>
      <c r="L102" s="6" t="str">
        <f>VLOOKUP($B102,Sheet4!$B:$L,10,0)</f>
        <v>Kinh</v>
      </c>
      <c r="M102" s="6" t="s">
        <v>1895</v>
      </c>
      <c r="N102" s="6" t="e">
        <f>VLOOKUP($B102,Sheet3!$B:$I,7,0)</f>
        <v>#N/A</v>
      </c>
      <c r="O102" s="6" t="str">
        <f>VLOOKUP($B102,Sheet4!$B:$L,11,0)</f>
        <v>3</v>
      </c>
      <c r="P102" s="6" t="s">
        <v>1901</v>
      </c>
      <c r="Q102" s="5" t="s">
        <v>257</v>
      </c>
      <c r="R102" s="17" t="s">
        <v>258</v>
      </c>
      <c r="S102" s="36" t="s">
        <v>498</v>
      </c>
      <c r="T102" s="10" t="s">
        <v>503</v>
      </c>
      <c r="U102" s="58">
        <v>2.48</v>
      </c>
      <c r="V102" s="9" t="s">
        <v>750</v>
      </c>
      <c r="W102" s="5" t="s">
        <v>260</v>
      </c>
      <c r="X102" s="34"/>
      <c r="Y102" s="3" t="s">
        <v>261</v>
      </c>
      <c r="Z102" s="15"/>
      <c r="AA102" s="15"/>
      <c r="AB102" s="15"/>
      <c r="AC102" s="15"/>
    </row>
    <row r="103" spans="1:29" ht="39.75" customHeight="1">
      <c r="A103" s="24">
        <v>100</v>
      </c>
      <c r="B103" s="4">
        <v>2151017356</v>
      </c>
      <c r="C103" s="5" t="s">
        <v>262</v>
      </c>
      <c r="D103" s="6" t="str">
        <f>VLOOKUP(B103,Sheet3!$B:$I,3,0)</f>
        <v>16/06/2001</v>
      </c>
      <c r="E103" s="6" t="str">
        <f>VLOOKUP($B103,Sheet4!$B:$L,4,0)</f>
        <v>16/06/2001</v>
      </c>
      <c r="F103" s="6" t="s">
        <v>3797</v>
      </c>
      <c r="G103" s="6">
        <f>VLOOKUP($B103,Sheet3!$B:$I,5,0)</f>
        <v>0</v>
      </c>
      <c r="H103" s="6" t="str">
        <f>VLOOKUP($B103,Sheet4!$B:$L,5,0)</f>
        <v>An Giang</v>
      </c>
      <c r="I103" s="6" t="str">
        <f>VLOOKUP(B103,[1]Sheet3!$D:$K,5,0)</f>
        <v>An Giang</v>
      </c>
      <c r="J103" s="6" t="s">
        <v>892</v>
      </c>
      <c r="K103" s="6">
        <f>VLOOKUP($B103,Sheet3!$B:$I,6,0)</f>
        <v>0</v>
      </c>
      <c r="L103" s="6" t="str">
        <f>VLOOKUP($B103,Sheet4!$B:$L,10,0)</f>
        <v>Kinh</v>
      </c>
      <c r="M103" s="6" t="s">
        <v>1895</v>
      </c>
      <c r="N103" s="6">
        <f>VLOOKUP($B103,Sheet3!$B:$I,7,0)</f>
        <v>0</v>
      </c>
      <c r="O103" s="6" t="str">
        <f>VLOOKUP($B103,Sheet4!$B:$L,11,0)</f>
        <v>18</v>
      </c>
      <c r="P103" s="6" t="s">
        <v>1901</v>
      </c>
      <c r="Q103" s="5" t="s">
        <v>257</v>
      </c>
      <c r="R103" s="17" t="s">
        <v>258</v>
      </c>
      <c r="S103" s="36" t="s">
        <v>498</v>
      </c>
      <c r="T103" s="10" t="s">
        <v>503</v>
      </c>
      <c r="U103" s="58">
        <v>2.48</v>
      </c>
      <c r="V103" s="9" t="s">
        <v>263</v>
      </c>
      <c r="W103" s="5" t="s">
        <v>260</v>
      </c>
      <c r="X103" s="34"/>
      <c r="Y103" s="3" t="s">
        <v>261</v>
      </c>
      <c r="Z103" s="15"/>
      <c r="AA103" s="15"/>
      <c r="AB103" s="15"/>
      <c r="AC103" s="15"/>
    </row>
    <row r="104" spans="1:29" ht="39.75" customHeight="1">
      <c r="A104" s="24">
        <v>101</v>
      </c>
      <c r="B104" s="4">
        <v>2151017500</v>
      </c>
      <c r="C104" s="5" t="s">
        <v>264</v>
      </c>
      <c r="D104" s="6" t="e">
        <f>VLOOKUP(B104,Sheet3!$B:$I,3,0)</f>
        <v>#N/A</v>
      </c>
      <c r="E104" s="6" t="str">
        <f>VLOOKUP($B104,Sheet4!$B:$L,4,0)</f>
        <v>15/07/2003</v>
      </c>
      <c r="F104" s="6" t="s">
        <v>7150</v>
      </c>
      <c r="G104" s="6" t="e">
        <f>VLOOKUP($B104,Sheet3!$B:$I,5,0)</f>
        <v>#N/A</v>
      </c>
      <c r="H104" s="6" t="str">
        <f>VLOOKUP($B104,Sheet4!$B:$L,5,0)</f>
        <v>Thái Bình</v>
      </c>
      <c r="I104" s="6" t="str">
        <f>VLOOKUP(B104,[1]Sheet3!$D:$K,5,0)</f>
        <v>Thái Bình</v>
      </c>
      <c r="J104" s="6" t="s">
        <v>8893</v>
      </c>
      <c r="K104" s="6" t="e">
        <f>VLOOKUP($B104,Sheet3!$B:$I,6,0)</f>
        <v>#N/A</v>
      </c>
      <c r="L104" s="6" t="str">
        <f>VLOOKUP($B104,Sheet4!$B:$L,10,0)</f>
        <v>Kinh</v>
      </c>
      <c r="M104" s="6" t="s">
        <v>1895</v>
      </c>
      <c r="N104" s="6" t="e">
        <f>VLOOKUP($B104,Sheet3!$B:$I,7,0)</f>
        <v>#N/A</v>
      </c>
      <c r="O104" s="6" t="str">
        <f>VLOOKUP($B104,Sheet4!$B:$L,11,0)</f>
        <v>1</v>
      </c>
      <c r="P104" s="6" t="s">
        <v>1901</v>
      </c>
      <c r="Q104" s="5" t="s">
        <v>257</v>
      </c>
      <c r="R104" s="17" t="s">
        <v>258</v>
      </c>
      <c r="S104" s="36" t="s">
        <v>498</v>
      </c>
      <c r="T104" s="10" t="s">
        <v>503</v>
      </c>
      <c r="U104" s="58">
        <v>2.13</v>
      </c>
      <c r="V104" s="9" t="s">
        <v>752</v>
      </c>
      <c r="W104" s="5" t="s">
        <v>260</v>
      </c>
      <c r="X104" s="34"/>
      <c r="Y104" s="3" t="s">
        <v>261</v>
      </c>
      <c r="Z104" s="15"/>
      <c r="AA104" s="15"/>
      <c r="AB104" s="15"/>
      <c r="AC104" s="15"/>
    </row>
    <row r="105" spans="1:29" ht="39.75" customHeight="1">
      <c r="A105" s="24">
        <v>102</v>
      </c>
      <c r="B105" s="4">
        <v>2151017211</v>
      </c>
      <c r="C105" s="5" t="s">
        <v>266</v>
      </c>
      <c r="D105" s="6" t="e">
        <f>VLOOKUP(B105,Sheet3!$B:$I,3,0)</f>
        <v>#N/A</v>
      </c>
      <c r="E105" s="6" t="str">
        <f>VLOOKUP($B105,Sheet4!$B:$L,4,0)</f>
        <v>18/05/1999</v>
      </c>
      <c r="F105" s="6" t="s">
        <v>7166</v>
      </c>
      <c r="G105" s="6" t="e">
        <f>VLOOKUP($B105,Sheet3!$B:$I,5,0)</f>
        <v>#N/A</v>
      </c>
      <c r="H105" s="6" t="str">
        <f>VLOOKUP($B105,Sheet4!$B:$L,5,0)</f>
        <v>Nghệ An</v>
      </c>
      <c r="I105" s="6" t="str">
        <f>VLOOKUP(B105,[1]Sheet3!$D:$K,5,0)</f>
        <v>Nghệ An</v>
      </c>
      <c r="J105" s="6" t="s">
        <v>857</v>
      </c>
      <c r="K105" s="6" t="e">
        <f>VLOOKUP($B105,Sheet3!$B:$I,6,0)</f>
        <v>#N/A</v>
      </c>
      <c r="L105" s="6" t="str">
        <f>VLOOKUP($B105,Sheet4!$B:$L,10,0)</f>
        <v>Kinh</v>
      </c>
      <c r="M105" s="6" t="s">
        <v>1895</v>
      </c>
      <c r="N105" s="6" t="e">
        <f>VLOOKUP($B105,Sheet3!$B:$I,7,0)</f>
        <v>#N/A</v>
      </c>
      <c r="O105" s="6" t="str">
        <f>VLOOKUP($B105,Sheet4!$B:$L,11,0)</f>
        <v>1378</v>
      </c>
      <c r="P105" s="6" t="s">
        <v>1901</v>
      </c>
      <c r="Q105" s="5" t="s">
        <v>257</v>
      </c>
      <c r="R105" s="17" t="s">
        <v>258</v>
      </c>
      <c r="S105" s="36" t="s">
        <v>498</v>
      </c>
      <c r="T105" s="10" t="s">
        <v>503</v>
      </c>
      <c r="U105" s="58">
        <v>3.01</v>
      </c>
      <c r="V105" s="9" t="s">
        <v>267</v>
      </c>
      <c r="W105" s="5" t="s">
        <v>260</v>
      </c>
      <c r="X105" s="34"/>
      <c r="Y105" s="3" t="s">
        <v>261</v>
      </c>
      <c r="Z105" s="15"/>
      <c r="AA105" s="15"/>
      <c r="AB105" s="15"/>
      <c r="AC105" s="15"/>
    </row>
    <row r="106" spans="1:29" ht="39.75" customHeight="1">
      <c r="A106" s="24">
        <v>103</v>
      </c>
      <c r="B106" s="4">
        <v>2154077856</v>
      </c>
      <c r="C106" s="5" t="s">
        <v>268</v>
      </c>
      <c r="D106" s="6" t="e">
        <f>VLOOKUP(B106,Sheet3!$B:$I,3,0)</f>
        <v>#N/A</v>
      </c>
      <c r="E106" s="6" t="str">
        <f>VLOOKUP($B106,Sheet4!$B:$L,4,0)</f>
        <v>16/02/2003</v>
      </c>
      <c r="F106" s="6" t="s">
        <v>7125</v>
      </c>
      <c r="G106" s="6" t="e">
        <f>VLOOKUP($B106,Sheet3!$B:$I,5,0)</f>
        <v>#N/A</v>
      </c>
      <c r="H106" s="6" t="str">
        <f>VLOOKUP($B106,Sheet4!$B:$L,5,0)</f>
        <v>Bến Tre</v>
      </c>
      <c r="I106" s="6" t="str">
        <f>VLOOKUP(B106,[1]Sheet3!$D:$K,5,0)</f>
        <v>tỉnh Bến Tre</v>
      </c>
      <c r="J106" s="6" t="s">
        <v>4845</v>
      </c>
      <c r="K106" s="6" t="e">
        <f>VLOOKUP($B106,Sheet3!$B:$I,6,0)</f>
        <v>#N/A</v>
      </c>
      <c r="L106" s="6" t="str">
        <f>VLOOKUP($B106,Sheet4!$B:$L,10,0)</f>
        <v>Kinh</v>
      </c>
      <c r="M106" s="6" t="s">
        <v>1895</v>
      </c>
      <c r="N106" s="6" t="e">
        <f>VLOOKUP($B106,Sheet3!$B:$I,7,0)</f>
        <v>#N/A</v>
      </c>
      <c r="O106" s="6" t="str">
        <f>VLOOKUP($B106,Sheet4!$B:$L,11,0)</f>
        <v>357</v>
      </c>
      <c r="P106" s="6" t="s">
        <v>1901</v>
      </c>
      <c r="Q106" s="5" t="s">
        <v>257</v>
      </c>
      <c r="R106" s="17" t="s">
        <v>258</v>
      </c>
      <c r="S106" s="36" t="s">
        <v>498</v>
      </c>
      <c r="T106" s="10" t="s">
        <v>503</v>
      </c>
      <c r="U106" s="58">
        <v>2.96</v>
      </c>
      <c r="V106" s="9" t="s">
        <v>269</v>
      </c>
      <c r="W106" s="5" t="s">
        <v>270</v>
      </c>
      <c r="X106" s="34" t="s">
        <v>271</v>
      </c>
      <c r="Y106" s="3" t="s">
        <v>261</v>
      </c>
      <c r="Z106" s="15"/>
      <c r="AA106" s="15"/>
      <c r="AB106" s="15"/>
      <c r="AC106" s="15"/>
    </row>
    <row r="107" spans="1:29" ht="39.75" customHeight="1">
      <c r="A107" s="24">
        <v>104</v>
      </c>
      <c r="B107" s="4">
        <v>2151017347</v>
      </c>
      <c r="C107" s="5" t="s">
        <v>272</v>
      </c>
      <c r="D107" s="6" t="str">
        <f>VLOOKUP(B107,Sheet3!$B:$I,3,0)</f>
        <v>30/06/2003</v>
      </c>
      <c r="E107" s="6" t="str">
        <f>VLOOKUP($B107,Sheet4!$B:$L,4,0)</f>
        <v>30/06/2003</v>
      </c>
      <c r="F107" s="6" t="s">
        <v>3779</v>
      </c>
      <c r="G107" s="6">
        <f>VLOOKUP($B107,Sheet3!$B:$I,5,0)</f>
        <v>0</v>
      </c>
      <c r="H107" s="6" t="str">
        <f>VLOOKUP($B107,Sheet4!$B:$L,5,0)</f>
        <v>Khánh Hòa</v>
      </c>
      <c r="I107" s="6" t="str">
        <f>VLOOKUP(B107,[1]Sheet3!$D:$K,5,0)</f>
        <v>Khánh Hoà</v>
      </c>
      <c r="J107" s="6" t="s">
        <v>6397</v>
      </c>
      <c r="K107" s="6">
        <f>VLOOKUP($B107,Sheet3!$B:$I,6,0)</f>
        <v>0</v>
      </c>
      <c r="L107" s="6" t="str">
        <f>VLOOKUP($B107,Sheet4!$B:$L,10,0)</f>
        <v>Kinh</v>
      </c>
      <c r="M107" s="6" t="s">
        <v>1895</v>
      </c>
      <c r="N107" s="6">
        <f>VLOOKUP($B107,Sheet3!$B:$I,7,0)</f>
        <v>0</v>
      </c>
      <c r="O107" s="6" t="str">
        <f>VLOOKUP($B107,Sheet4!$B:$L,11,0)</f>
        <v>9</v>
      </c>
      <c r="P107" s="6" t="s">
        <v>6924</v>
      </c>
      <c r="Q107" s="5" t="s">
        <v>257</v>
      </c>
      <c r="R107" s="17" t="s">
        <v>258</v>
      </c>
      <c r="S107" s="36" t="s">
        <v>498</v>
      </c>
      <c r="T107" s="10" t="s">
        <v>503</v>
      </c>
      <c r="U107" s="58">
        <v>2.96</v>
      </c>
      <c r="V107" s="9" t="s">
        <v>273</v>
      </c>
      <c r="W107" s="5" t="s">
        <v>270</v>
      </c>
      <c r="X107" s="34" t="s">
        <v>271</v>
      </c>
      <c r="Y107" s="3" t="s">
        <v>261</v>
      </c>
      <c r="Z107" s="15"/>
      <c r="AA107" s="15"/>
      <c r="AB107" s="15"/>
      <c r="AC107" s="15"/>
    </row>
    <row r="108" spans="1:29" ht="39.75" customHeight="1">
      <c r="A108" s="24">
        <v>105</v>
      </c>
      <c r="B108" s="4">
        <v>2151017522</v>
      </c>
      <c r="C108" s="5" t="s">
        <v>274</v>
      </c>
      <c r="D108" s="6" t="e">
        <f>VLOOKUP(B108,Sheet3!$B:$I,3,0)</f>
        <v>#N/A</v>
      </c>
      <c r="E108" s="6" t="str">
        <f>VLOOKUP($B108,Sheet4!$B:$L,4,0)</f>
        <v>05/11/2003</v>
      </c>
      <c r="F108" s="6" t="s">
        <v>7096</v>
      </c>
      <c r="G108" s="6" t="e">
        <f>VLOOKUP($B108,Sheet3!$B:$I,5,0)</f>
        <v>#N/A</v>
      </c>
      <c r="H108" s="6" t="str">
        <f>VLOOKUP($B108,Sheet4!$B:$L,5,0)</f>
        <v>Đăk Nông</v>
      </c>
      <c r="I108" s="6" t="str">
        <f>VLOOKUP(B108,[1]Sheet3!$D:$K,5,0)</f>
        <v>Đắk Lắk</v>
      </c>
      <c r="J108" s="6" t="s">
        <v>998</v>
      </c>
      <c r="K108" s="6" t="e">
        <f>VLOOKUP($B108,Sheet3!$B:$I,6,0)</f>
        <v>#N/A</v>
      </c>
      <c r="L108" s="6" t="str">
        <f>VLOOKUP($B108,Sheet4!$B:$L,10,0)</f>
        <v>Kinh</v>
      </c>
      <c r="M108" s="6" t="s">
        <v>1895</v>
      </c>
      <c r="N108" s="6" t="e">
        <f>VLOOKUP($B108,Sheet3!$B:$I,7,0)</f>
        <v>#N/A</v>
      </c>
      <c r="O108" s="6" t="str">
        <f>VLOOKUP($B108,Sheet4!$B:$L,11,0)</f>
        <v>23</v>
      </c>
      <c r="P108" s="6" t="s">
        <v>1901</v>
      </c>
      <c r="Q108" s="5" t="s">
        <v>257</v>
      </c>
      <c r="R108" s="17" t="s">
        <v>258</v>
      </c>
      <c r="S108" s="36" t="s">
        <v>498</v>
      </c>
      <c r="T108" s="10" t="s">
        <v>503</v>
      </c>
      <c r="U108" s="58">
        <v>2.59</v>
      </c>
      <c r="V108" s="9" t="s">
        <v>275</v>
      </c>
      <c r="W108" s="5" t="s">
        <v>270</v>
      </c>
      <c r="X108" s="34" t="s">
        <v>271</v>
      </c>
      <c r="Y108" s="3" t="s">
        <v>261</v>
      </c>
      <c r="Z108" s="15"/>
      <c r="AA108" s="15"/>
      <c r="AB108" s="15"/>
      <c r="AC108" s="15"/>
    </row>
    <row r="109" spans="1:29" ht="39.75" customHeight="1">
      <c r="A109" s="24">
        <v>106</v>
      </c>
      <c r="B109" s="4">
        <v>2151017220</v>
      </c>
      <c r="C109" s="5" t="s">
        <v>276</v>
      </c>
      <c r="D109" s="6" t="e">
        <f>VLOOKUP(B109,Sheet3!$B:$I,3,0)</f>
        <v>#N/A</v>
      </c>
      <c r="E109" s="6" t="str">
        <f>VLOOKUP($B109,Sheet4!$B:$L,4,0)</f>
        <v>24/09/2003</v>
      </c>
      <c r="F109" s="6" t="s">
        <v>7122</v>
      </c>
      <c r="G109" s="6" t="e">
        <f>VLOOKUP($B109,Sheet3!$B:$I,5,0)</f>
        <v>#N/A</v>
      </c>
      <c r="H109" s="6">
        <f>VLOOKUP($B109,Sheet4!$B:$L,5,0)</f>
        <v>0</v>
      </c>
      <c r="I109" s="6" t="str">
        <f>VLOOKUP(B109,[1]Sheet3!$D:$K,5,0)</f>
        <v xml:space="preserve">Bình Dương </v>
      </c>
      <c r="J109" s="6" t="s">
        <v>5255</v>
      </c>
      <c r="K109" s="6" t="e">
        <f>VLOOKUP($B109,Sheet3!$B:$I,6,0)</f>
        <v>#N/A</v>
      </c>
      <c r="L109" s="6" t="str">
        <f>VLOOKUP($B109,Sheet4!$B:$L,10,0)</f>
        <v>1387</v>
      </c>
      <c r="M109" s="6" t="s">
        <v>1895</v>
      </c>
      <c r="N109" s="6" t="e">
        <f>VLOOKUP($B109,Sheet3!$B:$I,7,0)</f>
        <v>#N/A</v>
      </c>
      <c r="O109" s="6" t="str">
        <f>VLOOKUP($B109,Sheet4!$B:$L,11,0)</f>
        <v>1387</v>
      </c>
      <c r="P109" s="6" t="s">
        <v>1901</v>
      </c>
      <c r="Q109" s="5" t="s">
        <v>257</v>
      </c>
      <c r="R109" s="17" t="s">
        <v>258</v>
      </c>
      <c r="S109" s="36" t="s">
        <v>498</v>
      </c>
      <c r="T109" s="10" t="s">
        <v>503</v>
      </c>
      <c r="U109" s="58">
        <v>2.25</v>
      </c>
      <c r="V109" s="9" t="s">
        <v>277</v>
      </c>
      <c r="W109" s="5" t="s">
        <v>270</v>
      </c>
      <c r="X109" s="34" t="s">
        <v>271</v>
      </c>
      <c r="Y109" s="3" t="s">
        <v>261</v>
      </c>
      <c r="Z109" s="15"/>
      <c r="AA109" s="15"/>
      <c r="AB109" s="15"/>
      <c r="AC109" s="15"/>
    </row>
    <row r="110" spans="1:29" ht="39.75" customHeight="1">
      <c r="A110" s="24">
        <v>107</v>
      </c>
      <c r="B110" s="4">
        <v>2151017214</v>
      </c>
      <c r="C110" s="5" t="s">
        <v>278</v>
      </c>
      <c r="D110" s="6" t="e">
        <f>VLOOKUP(B110,Sheet3!$B:$I,3,0)</f>
        <v>#N/A</v>
      </c>
      <c r="E110" s="6" t="str">
        <f>VLOOKUP($B110,Sheet4!$B:$L,4,0)</f>
        <v>20/05/2003</v>
      </c>
      <c r="F110" s="6" t="s">
        <v>7167</v>
      </c>
      <c r="G110" s="6" t="e">
        <f>VLOOKUP($B110,Sheet3!$B:$I,5,0)</f>
        <v>#N/A</v>
      </c>
      <c r="H110" s="6" t="str">
        <f>VLOOKUP($B110,Sheet4!$B:$L,5,0)</f>
        <v>Đồng Nai</v>
      </c>
      <c r="I110" s="6" t="str">
        <f>VLOOKUP(B110,[1]Sheet3!$D:$K,5,0)</f>
        <v>Đồng Nai</v>
      </c>
      <c r="J110" s="6" t="s">
        <v>835</v>
      </c>
      <c r="K110" s="6" t="e">
        <f>VLOOKUP($B110,Sheet3!$B:$I,6,0)</f>
        <v>#N/A</v>
      </c>
      <c r="L110" s="6" t="str">
        <f>VLOOKUP($B110,Sheet4!$B:$L,10,0)</f>
        <v>Kinh</v>
      </c>
      <c r="M110" s="6" t="s">
        <v>1895</v>
      </c>
      <c r="N110" s="6" t="e">
        <f>VLOOKUP($B110,Sheet3!$B:$I,7,0)</f>
        <v>#N/A</v>
      </c>
      <c r="O110" s="6" t="str">
        <f>VLOOKUP($B110,Sheet4!$B:$L,11,0)</f>
        <v>1381</v>
      </c>
      <c r="P110" s="6" t="s">
        <v>8872</v>
      </c>
      <c r="Q110" s="5" t="s">
        <v>257</v>
      </c>
      <c r="R110" s="17" t="s">
        <v>258</v>
      </c>
      <c r="S110" s="36" t="s">
        <v>498</v>
      </c>
      <c r="T110" s="10" t="s">
        <v>503</v>
      </c>
      <c r="U110" s="58">
        <v>2.5499999999999998</v>
      </c>
      <c r="V110" s="9" t="s">
        <v>279</v>
      </c>
      <c r="W110" s="5" t="s">
        <v>271</v>
      </c>
      <c r="X110" s="34"/>
      <c r="Y110" s="3" t="s">
        <v>261</v>
      </c>
      <c r="Z110" s="15"/>
      <c r="AA110" s="15"/>
      <c r="AB110" s="15"/>
      <c r="AC110" s="15"/>
    </row>
    <row r="111" spans="1:29" ht="39.75" customHeight="1">
      <c r="A111" s="24">
        <v>108</v>
      </c>
      <c r="B111" s="4">
        <v>2151017520</v>
      </c>
      <c r="C111" s="5" t="s">
        <v>280</v>
      </c>
      <c r="D111" s="6" t="e">
        <f>VLOOKUP(B111,Sheet3!$B:$I,3,0)</f>
        <v>#N/A</v>
      </c>
      <c r="E111" s="6" t="str">
        <f>VLOOKUP($B111,Sheet4!$B:$L,4,0)</f>
        <v>20/08/2003</v>
      </c>
      <c r="F111" s="6" t="s">
        <v>7169</v>
      </c>
      <c r="G111" s="6" t="e">
        <f>VLOOKUP($B111,Sheet3!$B:$I,5,0)</f>
        <v>#N/A</v>
      </c>
      <c r="H111" s="6" t="str">
        <f>VLOOKUP($B111,Sheet4!$B:$L,5,0)</f>
        <v>Gia Lai</v>
      </c>
      <c r="I111" s="6" t="str">
        <f>VLOOKUP(B111,[1]Sheet3!$D:$K,5,0)</f>
        <v>Gia Lai</v>
      </c>
      <c r="J111" s="6" t="s">
        <v>821</v>
      </c>
      <c r="K111" s="6" t="e">
        <f>VLOOKUP($B111,Sheet3!$B:$I,6,0)</f>
        <v>#N/A</v>
      </c>
      <c r="L111" s="6" t="str">
        <f>VLOOKUP($B111,Sheet4!$B:$L,10,0)</f>
        <v>Kinh</v>
      </c>
      <c r="M111" s="6" t="s">
        <v>1895</v>
      </c>
      <c r="N111" s="6" t="e">
        <f>VLOOKUP($B111,Sheet3!$B:$I,7,0)</f>
        <v>#N/A</v>
      </c>
      <c r="O111" s="6" t="str">
        <f>VLOOKUP($B111,Sheet4!$B:$L,11,0)</f>
        <v>21</v>
      </c>
      <c r="P111" s="6" t="s">
        <v>1901</v>
      </c>
      <c r="Q111" s="5" t="s">
        <v>257</v>
      </c>
      <c r="R111" s="17" t="s">
        <v>258</v>
      </c>
      <c r="S111" s="36" t="s">
        <v>498</v>
      </c>
      <c r="T111" s="10" t="s">
        <v>503</v>
      </c>
      <c r="U111" s="58">
        <v>2.2999999999999998</v>
      </c>
      <c r="V111" s="9" t="s">
        <v>281</v>
      </c>
      <c r="W111" s="5" t="s">
        <v>271</v>
      </c>
      <c r="X111" s="34"/>
      <c r="Y111" s="3" t="s">
        <v>261</v>
      </c>
      <c r="Z111" s="15"/>
      <c r="AA111" s="15"/>
      <c r="AB111" s="15"/>
      <c r="AC111" s="15"/>
    </row>
    <row r="112" spans="1:29" ht="39.75" customHeight="1">
      <c r="A112" s="24">
        <v>109</v>
      </c>
      <c r="B112" s="4">
        <v>2151017525</v>
      </c>
      <c r="C112" s="5" t="s">
        <v>282</v>
      </c>
      <c r="D112" s="6" t="e">
        <f>VLOOKUP(B112,Sheet3!$B:$I,3,0)</f>
        <v>#N/A</v>
      </c>
      <c r="E112" s="6" t="str">
        <f>VLOOKUP($B112,Sheet4!$B:$L,4,0)</f>
        <v>28/12/2003</v>
      </c>
      <c r="F112" s="6" t="s">
        <v>7095</v>
      </c>
      <c r="G112" s="6" t="e">
        <f>VLOOKUP($B112,Sheet3!$B:$I,5,0)</f>
        <v>#N/A</v>
      </c>
      <c r="H112" s="6" t="str">
        <f>VLOOKUP($B112,Sheet4!$B:$L,5,0)</f>
        <v>Bình Thuận</v>
      </c>
      <c r="I112" s="6" t="str">
        <f>VLOOKUP(B112,[1]Sheet3!$D:$K,5,0)</f>
        <v xml:space="preserve">Thôn phú hưng xã hàm mỹ huyện hàm thuận nam tỉnh bình thuận </v>
      </c>
      <c r="J112" s="6" t="s">
        <v>998</v>
      </c>
      <c r="K112" s="6" t="e">
        <f>VLOOKUP($B112,Sheet3!$B:$I,6,0)</f>
        <v>#N/A</v>
      </c>
      <c r="L112" s="6" t="str">
        <f>VLOOKUP($B112,Sheet4!$B:$L,10,0)</f>
        <v>Kinh</v>
      </c>
      <c r="M112" s="6" t="s">
        <v>8876</v>
      </c>
      <c r="N112" s="6" t="e">
        <f>VLOOKUP($B112,Sheet3!$B:$I,7,0)</f>
        <v>#N/A</v>
      </c>
      <c r="O112" s="6" t="str">
        <f>VLOOKUP($B112,Sheet4!$B:$L,11,0)</f>
        <v>26</v>
      </c>
      <c r="P112" s="6" t="s">
        <v>1901</v>
      </c>
      <c r="Q112" s="5" t="s">
        <v>257</v>
      </c>
      <c r="R112" s="17" t="s">
        <v>258</v>
      </c>
      <c r="S112" s="36" t="s">
        <v>498</v>
      </c>
      <c r="T112" s="10" t="s">
        <v>503</v>
      </c>
      <c r="U112" s="58" t="s">
        <v>721</v>
      </c>
      <c r="V112" s="9" t="s">
        <v>751</v>
      </c>
      <c r="W112" s="5" t="s">
        <v>260</v>
      </c>
      <c r="X112" s="34" t="s">
        <v>270</v>
      </c>
      <c r="Y112" s="3" t="s">
        <v>261</v>
      </c>
      <c r="Z112" s="15"/>
      <c r="AA112" s="15"/>
      <c r="AB112" s="15"/>
      <c r="AC112" s="15"/>
    </row>
    <row r="113" spans="1:29" ht="39.75" customHeight="1">
      <c r="A113" s="24">
        <v>110</v>
      </c>
      <c r="B113" s="4">
        <v>2051077592</v>
      </c>
      <c r="C113" s="5" t="s">
        <v>284</v>
      </c>
      <c r="D113" s="6" t="str">
        <f>VLOOKUP(B113,Sheet3!$B:$I,3,0)</f>
        <v>16/08/2002</v>
      </c>
      <c r="E113" s="6" t="str">
        <f>VLOOKUP($B113,Sheet4!$B:$L,4,0)</f>
        <v>16/08/2002</v>
      </c>
      <c r="F113" s="6" t="s">
        <v>876</v>
      </c>
      <c r="G113" s="6">
        <f>VLOOKUP($B113,Sheet3!$B:$I,5,0)</f>
        <v>0</v>
      </c>
      <c r="H113" s="6" t="str">
        <f>VLOOKUP($B113,Sheet4!$B:$L,5,0)</f>
        <v>Tp.Hồ Chí Minh</v>
      </c>
      <c r="I113" s="6" t="str">
        <f>VLOOKUP(B113,[1]Sheet3!$D:$K,5,0)</f>
        <v>TP. Hồ Chí Minh</v>
      </c>
      <c r="J113" s="6" t="s">
        <v>5255</v>
      </c>
      <c r="K113" s="6">
        <f>VLOOKUP($B113,Sheet3!$B:$I,6,0)</f>
        <v>0</v>
      </c>
      <c r="L113" s="6" t="str">
        <f>VLOOKUP($B113,Sheet4!$B:$L,10,0)</f>
        <v>Kinh</v>
      </c>
      <c r="M113" s="6" t="s">
        <v>1895</v>
      </c>
      <c r="N113" s="6">
        <f>VLOOKUP($B113,Sheet3!$B:$I,7,0)</f>
        <v>0</v>
      </c>
      <c r="O113" s="6" t="str">
        <f>VLOOKUP($B113,Sheet4!$B:$L,11,0)</f>
        <v>143</v>
      </c>
      <c r="P113" s="6" t="s">
        <v>1901</v>
      </c>
      <c r="Q113" s="5" t="s">
        <v>285</v>
      </c>
      <c r="R113" s="17" t="s">
        <v>258</v>
      </c>
      <c r="S113" s="36" t="s">
        <v>500</v>
      </c>
      <c r="T113" s="10" t="s">
        <v>503</v>
      </c>
      <c r="U113" s="58">
        <v>2.13</v>
      </c>
      <c r="V113" s="9" t="s">
        <v>748</v>
      </c>
      <c r="W113" s="5" t="s">
        <v>260</v>
      </c>
      <c r="X113" s="34" t="s">
        <v>270</v>
      </c>
      <c r="Y113" s="3" t="s">
        <v>261</v>
      </c>
      <c r="Z113" s="15"/>
      <c r="AA113" s="15"/>
      <c r="AB113" s="15"/>
      <c r="AC113" s="15"/>
    </row>
    <row r="114" spans="1:29" ht="39.75" customHeight="1">
      <c r="A114" s="24">
        <v>111</v>
      </c>
      <c r="B114" s="4">
        <v>2031070253</v>
      </c>
      <c r="C114" s="5" t="s">
        <v>287</v>
      </c>
      <c r="D114" s="5" t="s">
        <v>3868</v>
      </c>
      <c r="E114" s="6" t="str">
        <f>VLOOKUP($B114,Sheet4!$B:$L,4,0)</f>
        <v>00/01/1900</v>
      </c>
      <c r="F114" s="6" t="s">
        <v>3868</v>
      </c>
      <c r="G114" s="6" t="s">
        <v>804</v>
      </c>
      <c r="H114" s="6">
        <f>VLOOKUP($B114,Sheet4!$B:$L,5,0)</f>
        <v>0</v>
      </c>
      <c r="I114" s="6" t="str">
        <f>VLOOKUP(B114,[1]Sheet3!$D:$K,5,0)</f>
        <v>Bình Định</v>
      </c>
      <c r="J114" s="6" t="s">
        <v>821</v>
      </c>
      <c r="K114" s="5" t="s">
        <v>1895</v>
      </c>
      <c r="L114" s="6">
        <f>VLOOKUP($B114,Sheet4!$B:$L,10,0)</f>
        <v>0</v>
      </c>
      <c r="M114" s="6" t="s">
        <v>1895</v>
      </c>
      <c r="N114" s="5" t="s">
        <v>1901</v>
      </c>
      <c r="O114" s="6">
        <f>VLOOKUP($B114,Sheet4!$B:$L,11,0)</f>
        <v>0</v>
      </c>
      <c r="P114" s="6" t="s">
        <v>1901</v>
      </c>
      <c r="Q114" s="5" t="s">
        <v>288</v>
      </c>
      <c r="R114" s="17" t="s">
        <v>258</v>
      </c>
      <c r="S114" s="36" t="s">
        <v>501</v>
      </c>
      <c r="T114" s="10" t="s">
        <v>502</v>
      </c>
      <c r="U114" s="58" t="s">
        <v>715</v>
      </c>
      <c r="V114" s="9" t="s">
        <v>754</v>
      </c>
      <c r="W114" s="5" t="s">
        <v>260</v>
      </c>
      <c r="X114" s="34" t="s">
        <v>270</v>
      </c>
      <c r="Y114" s="3" t="s">
        <v>261</v>
      </c>
      <c r="Z114" s="15"/>
      <c r="AA114" s="15"/>
      <c r="AB114" s="15"/>
      <c r="AC114" s="15"/>
    </row>
    <row r="115" spans="1:29" ht="39.75" customHeight="1">
      <c r="A115" s="24">
        <v>112</v>
      </c>
      <c r="B115" s="4">
        <v>2031070259</v>
      </c>
      <c r="C115" s="5" t="s">
        <v>290</v>
      </c>
      <c r="D115" s="5" t="s">
        <v>3866</v>
      </c>
      <c r="E115" s="6" t="str">
        <f>VLOOKUP($B115,Sheet4!$B:$L,4,0)</f>
        <v>00/01/1900</v>
      </c>
      <c r="F115" s="6" t="s">
        <v>3866</v>
      </c>
      <c r="G115" s="5" t="s">
        <v>3867</v>
      </c>
      <c r="H115" s="6">
        <f>VLOOKUP($B115,Sheet4!$B:$L,5,0)</f>
        <v>0</v>
      </c>
      <c r="I115" s="6" t="str">
        <f>VLOOKUP(B115,[1]Sheet3!$D:$K,5,0)</f>
        <v>TP.HCM</v>
      </c>
      <c r="J115" s="6" t="s">
        <v>5255</v>
      </c>
      <c r="K115" s="5" t="s">
        <v>1895</v>
      </c>
      <c r="L115" s="6">
        <f>VLOOKUP($B115,Sheet4!$B:$L,10,0)</f>
        <v>0</v>
      </c>
      <c r="M115" s="6" t="s">
        <v>1895</v>
      </c>
      <c r="N115" s="5" t="s">
        <v>1901</v>
      </c>
      <c r="O115" s="6">
        <f>VLOOKUP($B115,Sheet4!$B:$L,11,0)</f>
        <v>0</v>
      </c>
      <c r="P115" s="6" t="s">
        <v>1901</v>
      </c>
      <c r="Q115" s="5" t="s">
        <v>288</v>
      </c>
      <c r="R115" s="17" t="s">
        <v>258</v>
      </c>
      <c r="S115" s="36" t="s">
        <v>501</v>
      </c>
      <c r="T115" s="10" t="s">
        <v>502</v>
      </c>
      <c r="U115" s="58" t="s">
        <v>717</v>
      </c>
      <c r="V115" s="9" t="s">
        <v>291</v>
      </c>
      <c r="W115" s="5" t="s">
        <v>260</v>
      </c>
      <c r="X115" s="34" t="s">
        <v>270</v>
      </c>
      <c r="Y115" s="3" t="s">
        <v>261</v>
      </c>
      <c r="Z115" s="15"/>
      <c r="AA115" s="15"/>
      <c r="AB115" s="15"/>
      <c r="AC115" s="15"/>
    </row>
    <row r="116" spans="1:29" ht="39.75" customHeight="1">
      <c r="A116" s="24">
        <v>113</v>
      </c>
      <c r="B116" s="4">
        <v>2151017353</v>
      </c>
      <c r="C116" s="5" t="s">
        <v>292</v>
      </c>
      <c r="D116" s="6" t="str">
        <f>VLOOKUP(B116,Sheet3!$B:$I,3,0)</f>
        <v>02/10/2003</v>
      </c>
      <c r="E116" s="6" t="str">
        <f>VLOOKUP($B116,Sheet4!$B:$L,4,0)</f>
        <v>19/06/2002</v>
      </c>
      <c r="F116" s="6" t="s">
        <v>3790</v>
      </c>
      <c r="G116" s="6">
        <f>VLOOKUP($B116,Sheet3!$B:$I,5,0)</f>
        <v>0</v>
      </c>
      <c r="H116" s="6" t="str">
        <f>VLOOKUP($B116,Sheet4!$B:$L,5,0)</f>
        <v>Bình Thuận</v>
      </c>
      <c r="I116" s="6" t="str">
        <f>VLOOKUP(B116,[1]Sheet3!$D:$K,5,0)</f>
        <v>Lagi, Bình Thuận</v>
      </c>
      <c r="J116" s="6" t="s">
        <v>998</v>
      </c>
      <c r="K116" s="6">
        <f>VLOOKUP($B116,Sheet3!$B:$I,6,0)</f>
        <v>0</v>
      </c>
      <c r="L116" s="6" t="str">
        <f>VLOOKUP($B116,Sheet4!$B:$L,10,0)</f>
        <v>Kinh</v>
      </c>
      <c r="M116" s="6" t="s">
        <v>1895</v>
      </c>
      <c r="N116" s="6">
        <f>VLOOKUP($B116,Sheet3!$B:$I,7,0)</f>
        <v>0</v>
      </c>
      <c r="O116" s="6" t="str">
        <f>VLOOKUP($B116,Sheet4!$B:$L,11,0)</f>
        <v>15</v>
      </c>
      <c r="P116" s="6" t="s">
        <v>6924</v>
      </c>
      <c r="Q116" s="5" t="s">
        <v>293</v>
      </c>
      <c r="R116" s="17" t="s">
        <v>294</v>
      </c>
      <c r="S116" s="36" t="s">
        <v>498</v>
      </c>
      <c r="T116" s="10" t="s">
        <v>503</v>
      </c>
      <c r="U116" s="58">
        <v>3.08</v>
      </c>
      <c r="V116" s="9" t="s">
        <v>295</v>
      </c>
      <c r="W116" s="5" t="s">
        <v>296</v>
      </c>
      <c r="X116" s="34" t="s">
        <v>297</v>
      </c>
      <c r="Y116" s="3" t="s">
        <v>261</v>
      </c>
      <c r="Z116" s="15"/>
      <c r="AA116" s="15"/>
      <c r="AB116" s="15"/>
      <c r="AC116" s="15"/>
    </row>
    <row r="117" spans="1:29" ht="39.75" customHeight="1">
      <c r="A117" s="24">
        <v>114</v>
      </c>
      <c r="B117" s="4">
        <v>2151017342</v>
      </c>
      <c r="C117" s="5" t="s">
        <v>298</v>
      </c>
      <c r="D117" s="6" t="str">
        <f>VLOOKUP(B117,Sheet3!$B:$I,3,0)</f>
        <v>02/02/2003</v>
      </c>
      <c r="E117" s="6" t="str">
        <f>VLOOKUP($B117,Sheet4!$B:$L,4,0)</f>
        <v>02/02/2003</v>
      </c>
      <c r="F117" s="6" t="s">
        <v>3769</v>
      </c>
      <c r="G117" s="6">
        <f>VLOOKUP($B117,Sheet3!$B:$I,5,0)</f>
        <v>0</v>
      </c>
      <c r="H117" s="6" t="str">
        <f>VLOOKUP($B117,Sheet4!$B:$L,5,0)</f>
        <v>Tp.HCM</v>
      </c>
      <c r="I117" s="6" t="str">
        <f>VLOOKUP(B117,[1]Sheet3!$D:$K,5,0)</f>
        <v>Thành phố Hồ Chí Minh</v>
      </c>
      <c r="J117" s="6" t="s">
        <v>5255</v>
      </c>
      <c r="K117" s="6">
        <f>VLOOKUP($B117,Sheet3!$B:$I,6,0)</f>
        <v>0</v>
      </c>
      <c r="L117" s="6" t="str">
        <f>VLOOKUP($B117,Sheet4!$B:$L,10,0)</f>
        <v>Hoa</v>
      </c>
      <c r="M117" s="6" t="s">
        <v>2135</v>
      </c>
      <c r="N117" s="6">
        <f>VLOOKUP($B117,Sheet3!$B:$I,7,0)</f>
        <v>0</v>
      </c>
      <c r="O117" s="6" t="str">
        <f>VLOOKUP($B117,Sheet4!$B:$L,11,0)</f>
        <v>4</v>
      </c>
      <c r="P117" s="6" t="s">
        <v>1901</v>
      </c>
      <c r="Q117" s="5" t="s">
        <v>293</v>
      </c>
      <c r="R117" s="17" t="s">
        <v>294</v>
      </c>
      <c r="S117" s="36" t="s">
        <v>498</v>
      </c>
      <c r="T117" s="10" t="s">
        <v>503</v>
      </c>
      <c r="U117" s="58">
        <v>2.92</v>
      </c>
      <c r="V117" s="9" t="s">
        <v>299</v>
      </c>
      <c r="W117" s="5" t="s">
        <v>296</v>
      </c>
      <c r="X117" s="34" t="s">
        <v>297</v>
      </c>
      <c r="Y117" s="3" t="s">
        <v>261</v>
      </c>
      <c r="Z117" s="15"/>
      <c r="AA117" s="15"/>
      <c r="AB117" s="15"/>
      <c r="AC117" s="15"/>
    </row>
    <row r="118" spans="1:29" ht="39.75" customHeight="1">
      <c r="A118" s="24">
        <v>115</v>
      </c>
      <c r="B118" s="4">
        <v>2151017343</v>
      </c>
      <c r="C118" s="5" t="s">
        <v>300</v>
      </c>
      <c r="D118" s="6" t="str">
        <f>VLOOKUP(B118,Sheet3!$B:$I,3,0)</f>
        <v>30/08/2003</v>
      </c>
      <c r="E118" s="6" t="str">
        <f>VLOOKUP($B118,Sheet4!$B:$L,4,0)</f>
        <v>30/08/2003</v>
      </c>
      <c r="F118" s="6" t="s">
        <v>3771</v>
      </c>
      <c r="G118" s="6">
        <f>VLOOKUP($B118,Sheet3!$B:$I,5,0)</f>
        <v>0</v>
      </c>
      <c r="H118" s="6" t="str">
        <f>VLOOKUP($B118,Sheet4!$B:$L,5,0)</f>
        <v>BV Từ Dũ, tp.HCM</v>
      </c>
      <c r="I118" s="6" t="str">
        <f>VLOOKUP(B118,[1]Sheet3!$D:$K,5,0)</f>
        <v>TP Hồ Chí Minh</v>
      </c>
      <c r="J118" s="6" t="s">
        <v>5255</v>
      </c>
      <c r="K118" s="6">
        <f>VLOOKUP($B118,Sheet3!$B:$I,6,0)</f>
        <v>0</v>
      </c>
      <c r="L118" s="6" t="str">
        <f>VLOOKUP($B118,Sheet4!$B:$L,10,0)</f>
        <v>Kinh</v>
      </c>
      <c r="M118" s="6" t="s">
        <v>1895</v>
      </c>
      <c r="N118" s="6">
        <f>VLOOKUP($B118,Sheet3!$B:$I,7,0)</f>
        <v>0</v>
      </c>
      <c r="O118" s="6" t="str">
        <f>VLOOKUP($B118,Sheet4!$B:$L,11,0)</f>
        <v>5</v>
      </c>
      <c r="P118" s="6" t="s">
        <v>6924</v>
      </c>
      <c r="Q118" s="5" t="s">
        <v>293</v>
      </c>
      <c r="R118" s="17" t="s">
        <v>294</v>
      </c>
      <c r="S118" s="36" t="s">
        <v>498</v>
      </c>
      <c r="T118" s="10" t="s">
        <v>503</v>
      </c>
      <c r="U118" s="58">
        <v>2.8</v>
      </c>
      <c r="V118" s="9" t="s">
        <v>753</v>
      </c>
      <c r="W118" s="5" t="s">
        <v>296</v>
      </c>
      <c r="X118" s="34" t="s">
        <v>297</v>
      </c>
      <c r="Y118" s="3" t="s">
        <v>261</v>
      </c>
      <c r="Z118" s="15"/>
      <c r="AA118" s="15"/>
      <c r="AB118" s="15"/>
      <c r="AC118" s="15"/>
    </row>
    <row r="119" spans="1:29" ht="39.75" customHeight="1">
      <c r="A119" s="24">
        <v>116</v>
      </c>
      <c r="B119" s="4">
        <v>1851022689</v>
      </c>
      <c r="C119" s="5" t="s">
        <v>302</v>
      </c>
      <c r="D119" s="6" t="e">
        <f>VLOOKUP(B119,Sheet3!$B:$I,3,0)</f>
        <v>#N/A</v>
      </c>
      <c r="E119" s="6" t="str">
        <f>VLOOKUP($B119,Sheet4!$B:$L,4,0)</f>
        <v>24/01/2000</v>
      </c>
      <c r="F119" s="6" t="s">
        <v>8773</v>
      </c>
      <c r="G119" s="6" t="e">
        <f>VLOOKUP($B119,Sheet3!$B:$I,5,0)</f>
        <v>#N/A</v>
      </c>
      <c r="H119" s="6">
        <f>VLOOKUP($B119,Sheet4!$B:$L,5,0)</f>
        <v>0</v>
      </c>
      <c r="I119" s="6" t="str">
        <f>VLOOKUP(B119,[1]Sheet3!$D:$K,5,0)</f>
        <v xml:space="preserve">Đồng kho tánh linh bình thuận </v>
      </c>
      <c r="J119" s="6" t="s">
        <v>998</v>
      </c>
      <c r="K119" s="6" t="e">
        <f>VLOOKUP($B119,Sheet3!$B:$I,6,0)</f>
        <v>#N/A</v>
      </c>
      <c r="L119" s="6">
        <f>VLOOKUP($B119,Sheet4!$B:$L,10,0)</f>
        <v>0</v>
      </c>
      <c r="M119" s="6" t="s">
        <v>8875</v>
      </c>
      <c r="N119" s="6" t="e">
        <f>VLOOKUP($B119,Sheet3!$B:$I,7,0)</f>
        <v>#N/A</v>
      </c>
      <c r="O119" s="6">
        <f>VLOOKUP($B119,Sheet4!$B:$L,11,0)</f>
        <v>0</v>
      </c>
      <c r="P119" s="6" t="s">
        <v>1901</v>
      </c>
      <c r="Q119" s="5" t="s">
        <v>303</v>
      </c>
      <c r="R119" s="17" t="s">
        <v>294</v>
      </c>
      <c r="S119" s="36" t="s">
        <v>499</v>
      </c>
      <c r="T119" s="10" t="s">
        <v>503</v>
      </c>
      <c r="U119" s="58" t="s">
        <v>521</v>
      </c>
      <c r="V119" s="9" t="s">
        <v>304</v>
      </c>
      <c r="W119" s="5" t="s">
        <v>297</v>
      </c>
      <c r="X119" s="34" t="s">
        <v>296</v>
      </c>
      <c r="Y119" s="3" t="s">
        <v>261</v>
      </c>
      <c r="Z119" s="15"/>
      <c r="AA119" s="15"/>
      <c r="AB119" s="15"/>
      <c r="AC119" s="15"/>
    </row>
    <row r="120" spans="1:29" ht="39.75" customHeight="1">
      <c r="A120" s="24">
        <v>117</v>
      </c>
      <c r="B120" s="4">
        <v>2051027046</v>
      </c>
      <c r="C120" s="5" t="s">
        <v>305</v>
      </c>
      <c r="D120" s="6" t="str">
        <f>VLOOKUP(B120,Sheet3!$B:$I,3,0)</f>
        <v>30/08/2002</v>
      </c>
      <c r="E120" s="6" t="str">
        <f>VLOOKUP($B120,Sheet4!$B:$L,4,0)</f>
        <v>30/08/2002</v>
      </c>
      <c r="F120" s="6" t="s">
        <v>1255</v>
      </c>
      <c r="G120" s="6">
        <f>VLOOKUP($B120,Sheet3!$B:$I,5,0)</f>
        <v>0</v>
      </c>
      <c r="H120" s="6" t="str">
        <f>VLOOKUP($B120,Sheet4!$B:$L,5,0)</f>
        <v>Tp.Hồ chí Minh</v>
      </c>
      <c r="I120" s="6" t="str">
        <f>VLOOKUP(B120,[1]Sheet3!$D:$K,5,0)</f>
        <v>Tp. Hồ Chí Minh</v>
      </c>
      <c r="J120" s="6" t="s">
        <v>5255</v>
      </c>
      <c r="K120" s="6">
        <f>VLOOKUP($B120,Sheet3!$B:$I,6,0)</f>
        <v>0</v>
      </c>
      <c r="L120" s="6" t="str">
        <f>VLOOKUP($B120,Sheet4!$B:$L,10,0)</f>
        <v>Kinh</v>
      </c>
      <c r="M120" s="6" t="s">
        <v>1895</v>
      </c>
      <c r="N120" s="6">
        <f>VLOOKUP($B120,Sheet3!$B:$I,7,0)</f>
        <v>0</v>
      </c>
      <c r="O120" s="6" t="str">
        <f>VLOOKUP($B120,Sheet4!$B:$L,11,0)</f>
        <v>Không</v>
      </c>
      <c r="P120" s="6" t="s">
        <v>1901</v>
      </c>
      <c r="Q120" s="5" t="s">
        <v>306</v>
      </c>
      <c r="R120" s="17" t="s">
        <v>294</v>
      </c>
      <c r="S120" s="36" t="s">
        <v>500</v>
      </c>
      <c r="T120" s="10" t="s">
        <v>503</v>
      </c>
      <c r="U120" s="58">
        <v>2.14</v>
      </c>
      <c r="V120" s="9" t="s">
        <v>307</v>
      </c>
      <c r="W120" s="5" t="s">
        <v>297</v>
      </c>
      <c r="X120" s="34" t="s">
        <v>296</v>
      </c>
      <c r="Y120" s="3" t="s">
        <v>261</v>
      </c>
      <c r="Z120" s="15"/>
      <c r="AA120" s="15"/>
      <c r="AB120" s="15"/>
      <c r="AC120" s="15"/>
    </row>
    <row r="121" spans="1:29" ht="39.75" customHeight="1">
      <c r="A121" s="24">
        <v>118</v>
      </c>
      <c r="B121" s="4">
        <v>2051027473</v>
      </c>
      <c r="C121" s="5" t="s">
        <v>308</v>
      </c>
      <c r="D121" s="6" t="str">
        <f>VLOOKUP(B121,Sheet3!$B:$I,3,0)</f>
        <v>24/02/2002</v>
      </c>
      <c r="E121" s="6" t="str">
        <f>VLOOKUP($B121,Sheet4!$B:$L,4,0)</f>
        <v>24/02/2002</v>
      </c>
      <c r="F121" s="6" t="s">
        <v>1262</v>
      </c>
      <c r="G121" s="6">
        <f>VLOOKUP($B121,Sheet3!$B:$I,5,0)</f>
        <v>0</v>
      </c>
      <c r="H121" s="6" t="str">
        <f>VLOOKUP($B121,Sheet4!$B:$L,5,0)</f>
        <v>Gia Lai</v>
      </c>
      <c r="I121" s="6" t="str">
        <f>VLOOKUP(B121,[1]Sheet3!$D:$K,5,0)</f>
        <v>Thôn Marin 3, xã iamrơn, huyện iapa, Tỉnh Gia lai</v>
      </c>
      <c r="J121" s="6" t="s">
        <v>821</v>
      </c>
      <c r="K121" s="6">
        <f>VLOOKUP($B121,Sheet3!$B:$I,6,0)</f>
        <v>0</v>
      </c>
      <c r="L121" s="6" t="str">
        <f>VLOOKUP($B121,Sheet4!$B:$L,10,0)</f>
        <v>Jrai</v>
      </c>
      <c r="M121" s="6" t="s">
        <v>8877</v>
      </c>
      <c r="N121" s="6">
        <f>VLOOKUP($B121,Sheet3!$B:$I,7,0)</f>
        <v>0</v>
      </c>
      <c r="O121" s="6" t="str">
        <f>VLOOKUP($B121,Sheet4!$B:$L,11,0)</f>
        <v>24</v>
      </c>
      <c r="P121" s="6" t="s">
        <v>8870</v>
      </c>
      <c r="Q121" s="5" t="s">
        <v>306</v>
      </c>
      <c r="R121" s="17" t="s">
        <v>294</v>
      </c>
      <c r="S121" s="36" t="s">
        <v>500</v>
      </c>
      <c r="T121" s="10" t="s">
        <v>503</v>
      </c>
      <c r="U121" s="58">
        <v>2.02</v>
      </c>
      <c r="V121" s="9" t="s">
        <v>309</v>
      </c>
      <c r="W121" s="5" t="s">
        <v>297</v>
      </c>
      <c r="X121" s="34" t="s">
        <v>296</v>
      </c>
      <c r="Y121" s="3" t="s">
        <v>261</v>
      </c>
      <c r="Z121" s="15"/>
      <c r="AA121" s="15"/>
      <c r="AB121" s="15"/>
      <c r="AC121" s="15"/>
    </row>
    <row r="122" spans="1:29" ht="39.75" customHeight="1">
      <c r="A122" s="24">
        <v>119</v>
      </c>
      <c r="B122" s="4">
        <v>2051027048</v>
      </c>
      <c r="C122" s="5" t="s">
        <v>310</v>
      </c>
      <c r="D122" s="6" t="str">
        <f>VLOOKUP(B122,Sheet3!$B:$I,3,0)</f>
        <v>01/10/2002</v>
      </c>
      <c r="E122" s="6" t="str">
        <f>VLOOKUP($B122,Sheet4!$B:$L,4,0)</f>
        <v>01/10/2002</v>
      </c>
      <c r="F122" s="6" t="s">
        <v>1079</v>
      </c>
      <c r="G122" s="6">
        <f>VLOOKUP($B122,Sheet3!$B:$I,5,0)</f>
        <v>0</v>
      </c>
      <c r="H122" s="6" t="str">
        <f>VLOOKUP($B122,Sheet4!$B:$L,5,0)</f>
        <v>Đồng Nai</v>
      </c>
      <c r="I122" s="6" t="str">
        <f>VLOOKUP(B122,[1]Sheet3!$D:$K,5,0)</f>
        <v>Đồng Nai</v>
      </c>
      <c r="J122" s="6" t="s">
        <v>835</v>
      </c>
      <c r="K122" s="6">
        <f>VLOOKUP($B122,Sheet3!$B:$I,6,0)</f>
        <v>0</v>
      </c>
      <c r="L122" s="6" t="str">
        <f>VLOOKUP($B122,Sheet4!$B:$L,10,0)</f>
        <v>Kinh</v>
      </c>
      <c r="M122" s="6" t="s">
        <v>1895</v>
      </c>
      <c r="N122" s="6">
        <f>VLOOKUP($B122,Sheet3!$B:$I,7,0)</f>
        <v>0</v>
      </c>
      <c r="O122" s="6" t="str">
        <f>VLOOKUP($B122,Sheet4!$B:$L,11,0)</f>
        <v>không</v>
      </c>
      <c r="P122" s="6" t="s">
        <v>1901</v>
      </c>
      <c r="Q122" s="5" t="s">
        <v>306</v>
      </c>
      <c r="R122" s="17" t="s">
        <v>294</v>
      </c>
      <c r="S122" s="36" t="s">
        <v>500</v>
      </c>
      <c r="T122" s="10" t="s">
        <v>503</v>
      </c>
      <c r="U122" s="58">
        <v>2.0099999999999998</v>
      </c>
      <c r="V122" s="9" t="s">
        <v>311</v>
      </c>
      <c r="W122" s="5" t="s">
        <v>297</v>
      </c>
      <c r="X122" s="34" t="s">
        <v>296</v>
      </c>
      <c r="Y122" s="3" t="s">
        <v>261</v>
      </c>
      <c r="Z122" s="15"/>
      <c r="AA122" s="15"/>
      <c r="AB122" s="15"/>
      <c r="AC122" s="15"/>
    </row>
    <row r="123" spans="1:29" ht="39.75" customHeight="1">
      <c r="A123" s="24">
        <v>120</v>
      </c>
      <c r="B123" s="4">
        <v>2151017006</v>
      </c>
      <c r="C123" s="5" t="s">
        <v>312</v>
      </c>
      <c r="D123" s="6" t="e">
        <f>VLOOKUP(B123,Sheet3!$B:$I,3,0)</f>
        <v>#N/A</v>
      </c>
      <c r="E123" s="6" t="str">
        <f>VLOOKUP($B123,Sheet4!$B:$L,4,0)</f>
        <v>01/06/2003</v>
      </c>
      <c r="F123" s="6" t="s">
        <v>2143</v>
      </c>
      <c r="G123" s="6" t="e">
        <f>VLOOKUP($B123,Sheet3!$B:$I,5,0)</f>
        <v>#N/A</v>
      </c>
      <c r="H123" s="6" t="str">
        <f>VLOOKUP($B123,Sheet4!$B:$L,5,0)</f>
        <v>Đăk Lăk</v>
      </c>
      <c r="I123" s="6" t="str">
        <f>VLOOKUP(B123,[1]Sheet3!$D:$K,5,0)</f>
        <v>Bệnh viện Đa Khoa, thành phố Buôn Ma Thuột, tỉnh Đăk Lăk</v>
      </c>
      <c r="J123" s="6" t="s">
        <v>768</v>
      </c>
      <c r="K123" s="6" t="e">
        <f>VLOOKUP($B123,Sheet3!$B:$I,6,0)</f>
        <v>#N/A</v>
      </c>
      <c r="L123" s="6" t="str">
        <f>VLOOKUP($B123,Sheet4!$B:$L,10,0)</f>
        <v>Kinh</v>
      </c>
      <c r="M123" s="6" t="s">
        <v>1895</v>
      </c>
      <c r="N123" s="6" t="e">
        <f>VLOOKUP($B123,Sheet3!$B:$I,7,0)</f>
        <v>#N/A</v>
      </c>
      <c r="O123" s="6" t="str">
        <f>VLOOKUP($B123,Sheet4!$B:$L,11,0)</f>
        <v>1173</v>
      </c>
      <c r="P123" s="6" t="s">
        <v>1901</v>
      </c>
      <c r="Q123" s="5" t="s">
        <v>313</v>
      </c>
      <c r="R123" s="17" t="s">
        <v>314</v>
      </c>
      <c r="S123" s="36" t="s">
        <v>498</v>
      </c>
      <c r="T123" s="10" t="s">
        <v>503</v>
      </c>
      <c r="U123" s="58">
        <v>3.11</v>
      </c>
      <c r="V123" s="9" t="s">
        <v>315</v>
      </c>
      <c r="W123" s="5" t="s">
        <v>316</v>
      </c>
      <c r="X123" s="34"/>
      <c r="Y123" s="3" t="s">
        <v>317</v>
      </c>
      <c r="Z123" s="15"/>
      <c r="AA123" s="15"/>
      <c r="AB123" s="15"/>
      <c r="AC123" s="15"/>
    </row>
    <row r="124" spans="1:29" ht="39.75" customHeight="1">
      <c r="A124" s="24">
        <v>121</v>
      </c>
      <c r="B124" s="4">
        <v>2151017531</v>
      </c>
      <c r="C124" s="5" t="s">
        <v>318</v>
      </c>
      <c r="D124" s="6" t="e">
        <f>VLOOKUP(B124,Sheet3!$B:$I,3,0)</f>
        <v>#N/A</v>
      </c>
      <c r="E124" s="6" t="str">
        <f>VLOOKUP($B124,Sheet4!$B:$L,4,0)</f>
        <v>28/08/2003</v>
      </c>
      <c r="F124" s="6" t="s">
        <v>7119</v>
      </c>
      <c r="G124" s="6" t="e">
        <f>VLOOKUP($B124,Sheet3!$B:$I,5,0)</f>
        <v>#N/A</v>
      </c>
      <c r="H124" s="6" t="str">
        <f>VLOOKUP($B124,Sheet4!$B:$L,5,0)</f>
        <v>Bình Định</v>
      </c>
      <c r="I124" s="6" t="str">
        <f>VLOOKUP(B124,[1]Sheet3!$D:$K,5,0)</f>
        <v>Bình Định</v>
      </c>
      <c r="J124" s="6" t="s">
        <v>821</v>
      </c>
      <c r="K124" s="6" t="e">
        <f>VLOOKUP($B124,Sheet3!$B:$I,6,0)</f>
        <v>#N/A</v>
      </c>
      <c r="L124" s="6" t="str">
        <f>VLOOKUP($B124,Sheet4!$B:$L,10,0)</f>
        <v>Kinh</v>
      </c>
      <c r="M124" s="6" t="s">
        <v>1895</v>
      </c>
      <c r="N124" s="6" t="e">
        <f>VLOOKUP($B124,Sheet3!$B:$I,7,0)</f>
        <v>#N/A</v>
      </c>
      <c r="O124" s="6" t="str">
        <f>VLOOKUP($B124,Sheet4!$B:$L,11,0)</f>
        <v>32</v>
      </c>
      <c r="P124" s="6" t="s">
        <v>1901</v>
      </c>
      <c r="Q124" s="5" t="s">
        <v>313</v>
      </c>
      <c r="R124" s="17" t="s">
        <v>314</v>
      </c>
      <c r="S124" s="36" t="s">
        <v>498</v>
      </c>
      <c r="T124" s="10" t="s">
        <v>503</v>
      </c>
      <c r="U124" s="58">
        <v>2.19</v>
      </c>
      <c r="V124" s="9" t="s">
        <v>319</v>
      </c>
      <c r="W124" s="5" t="s">
        <v>316</v>
      </c>
      <c r="X124" s="34"/>
      <c r="Y124" s="3" t="s">
        <v>317</v>
      </c>
      <c r="Z124" s="15"/>
      <c r="AA124" s="15"/>
      <c r="AB124" s="15"/>
      <c r="AC124" s="15"/>
    </row>
    <row r="125" spans="1:29" ht="39.75" customHeight="1">
      <c r="A125" s="24">
        <v>122</v>
      </c>
      <c r="B125" s="4">
        <v>2151017025</v>
      </c>
      <c r="C125" s="5" t="s">
        <v>320</v>
      </c>
      <c r="D125" s="6" t="e">
        <f>VLOOKUP(B125,Sheet3!$B:$I,3,0)</f>
        <v>#N/A</v>
      </c>
      <c r="E125" s="6" t="str">
        <f>VLOOKUP($B125,Sheet4!$B:$L,4,0)</f>
        <v>23/11/2003</v>
      </c>
      <c r="F125" s="6" t="s">
        <v>7117</v>
      </c>
      <c r="G125" s="6" t="e">
        <f>VLOOKUP($B125,Sheet3!$B:$I,5,0)</f>
        <v>#N/A</v>
      </c>
      <c r="H125" s="6" t="str">
        <f>VLOOKUP($B125,Sheet4!$B:$L,5,0)</f>
        <v>Đăk Lăk</v>
      </c>
      <c r="I125" s="6" t="str">
        <f>VLOOKUP(B125,[1]Sheet3!$D:$K,5,0)</f>
        <v>Phường Tân Lợi, thành phố Buôn Ma Thuột, tỉnh Đăk Lăk</v>
      </c>
      <c r="J125" s="6" t="s">
        <v>768</v>
      </c>
      <c r="K125" s="6" t="e">
        <f>VLOOKUP($B125,Sheet3!$B:$I,6,0)</f>
        <v>#N/A</v>
      </c>
      <c r="L125" s="6" t="str">
        <f>VLOOKUP($B125,Sheet4!$B:$L,10,0)</f>
        <v>Kinh</v>
      </c>
      <c r="M125" s="6" t="s">
        <v>1895</v>
      </c>
      <c r="N125" s="6" t="e">
        <f>VLOOKUP($B125,Sheet3!$B:$I,7,0)</f>
        <v>#N/A</v>
      </c>
      <c r="O125" s="6" t="str">
        <f>VLOOKUP($B125,Sheet4!$B:$L,11,0)</f>
        <v>1192</v>
      </c>
      <c r="P125" s="6" t="s">
        <v>1901</v>
      </c>
      <c r="Q125" s="5" t="s">
        <v>313</v>
      </c>
      <c r="R125" s="17" t="s">
        <v>314</v>
      </c>
      <c r="S125" s="36" t="s">
        <v>498</v>
      </c>
      <c r="T125" s="10" t="s">
        <v>503</v>
      </c>
      <c r="U125" s="58">
        <v>3.03</v>
      </c>
      <c r="V125" s="9" t="s">
        <v>321</v>
      </c>
      <c r="W125" s="5" t="s">
        <v>316</v>
      </c>
      <c r="X125" s="34"/>
      <c r="Y125" s="3" t="s">
        <v>317</v>
      </c>
      <c r="Z125" s="15"/>
      <c r="AA125" s="15"/>
      <c r="AB125" s="15"/>
      <c r="AC125" s="15"/>
    </row>
    <row r="126" spans="1:29" ht="39.75" customHeight="1">
      <c r="A126" s="24">
        <v>123</v>
      </c>
      <c r="B126" s="4">
        <v>2151017019</v>
      </c>
      <c r="C126" s="5" t="s">
        <v>322</v>
      </c>
      <c r="D126" s="6" t="e">
        <f>VLOOKUP(B126,Sheet3!$B:$I,3,0)</f>
        <v>#N/A</v>
      </c>
      <c r="E126" s="6" t="str">
        <f>VLOOKUP($B126,Sheet4!$B:$L,4,0)</f>
        <v>24/06/2003</v>
      </c>
      <c r="F126" s="6" t="s">
        <v>7112</v>
      </c>
      <c r="G126" s="6" t="e">
        <f>VLOOKUP($B126,Sheet3!$B:$I,5,0)</f>
        <v>#N/A</v>
      </c>
      <c r="H126" s="6" t="str">
        <f>VLOOKUP($B126,Sheet4!$B:$L,5,0)</f>
        <v>Bà rịa vũng tàu</v>
      </c>
      <c r="I126" s="6" t="str">
        <f>VLOOKUP(B126,[1]Sheet3!$D:$K,5,0)</f>
        <v>Đất Đỏ BR-VT</v>
      </c>
      <c r="J126" s="6" t="s">
        <v>5255</v>
      </c>
      <c r="K126" s="6" t="e">
        <f>VLOOKUP($B126,Sheet3!$B:$I,6,0)</f>
        <v>#N/A</v>
      </c>
      <c r="L126" s="6" t="str">
        <f>VLOOKUP($B126,Sheet4!$B:$L,10,0)</f>
        <v>Kinh</v>
      </c>
      <c r="M126" s="6" t="s">
        <v>1895</v>
      </c>
      <c r="N126" s="6" t="e">
        <f>VLOOKUP($B126,Sheet3!$B:$I,7,0)</f>
        <v>#N/A</v>
      </c>
      <c r="O126" s="6" t="str">
        <f>VLOOKUP($B126,Sheet4!$B:$L,11,0)</f>
        <v>1186</v>
      </c>
      <c r="P126" s="6" t="s">
        <v>1901</v>
      </c>
      <c r="Q126" s="5" t="s">
        <v>313</v>
      </c>
      <c r="R126" s="17" t="s">
        <v>314</v>
      </c>
      <c r="S126" s="36" t="s">
        <v>498</v>
      </c>
      <c r="T126" s="10" t="s">
        <v>503</v>
      </c>
      <c r="U126" s="58">
        <v>2.2999999999999998</v>
      </c>
      <c r="V126" s="9" t="s">
        <v>323</v>
      </c>
      <c r="W126" s="5" t="s">
        <v>316</v>
      </c>
      <c r="X126" s="34"/>
      <c r="Y126" s="3" t="s">
        <v>317</v>
      </c>
      <c r="Z126" s="15"/>
      <c r="AA126" s="15"/>
      <c r="AB126" s="15"/>
      <c r="AC126" s="15"/>
    </row>
    <row r="127" spans="1:29" ht="39.75" customHeight="1">
      <c r="A127" s="24">
        <v>124</v>
      </c>
      <c r="B127" s="4">
        <v>2151017008</v>
      </c>
      <c r="C127" s="5" t="s">
        <v>324</v>
      </c>
      <c r="D127" s="6" t="e">
        <f>VLOOKUP(B127,Sheet3!$B:$I,3,0)</f>
        <v>#N/A</v>
      </c>
      <c r="E127" s="6" t="str">
        <f>VLOOKUP($B127,Sheet4!$B:$L,4,0)</f>
        <v>30/07/2003</v>
      </c>
      <c r="F127" s="6" t="s">
        <v>7101</v>
      </c>
      <c r="G127" s="6" t="e">
        <f>VLOOKUP($B127,Sheet3!$B:$I,5,0)</f>
        <v>#N/A</v>
      </c>
      <c r="H127" s="6" t="str">
        <f>VLOOKUP($B127,Sheet4!$B:$L,5,0)</f>
        <v>TP.Huế</v>
      </c>
      <c r="I127" s="6" t="str">
        <f>VLOOKUP(B127,[1]Sheet3!$D:$K,5,0)</f>
        <v>Bình Định</v>
      </c>
      <c r="J127" s="6" t="s">
        <v>821</v>
      </c>
      <c r="K127" s="6" t="e">
        <f>VLOOKUP($B127,Sheet3!$B:$I,6,0)</f>
        <v>#N/A</v>
      </c>
      <c r="L127" s="6" t="str">
        <f>VLOOKUP($B127,Sheet4!$B:$L,10,0)</f>
        <v>Kinh</v>
      </c>
      <c r="M127" s="6" t="s">
        <v>1895</v>
      </c>
      <c r="N127" s="6" t="e">
        <f>VLOOKUP($B127,Sheet3!$B:$I,7,0)</f>
        <v>#N/A</v>
      </c>
      <c r="O127" s="6" t="str">
        <f>VLOOKUP($B127,Sheet4!$B:$L,11,0)</f>
        <v>1175</v>
      </c>
      <c r="P127" s="6" t="s">
        <v>1901</v>
      </c>
      <c r="Q127" s="5" t="s">
        <v>313</v>
      </c>
      <c r="R127" s="17" t="s">
        <v>314</v>
      </c>
      <c r="S127" s="36" t="s">
        <v>498</v>
      </c>
      <c r="T127" s="10" t="s">
        <v>503</v>
      </c>
      <c r="U127" s="58">
        <v>2.33</v>
      </c>
      <c r="V127" s="9" t="s">
        <v>325</v>
      </c>
      <c r="W127" s="5" t="s">
        <v>316</v>
      </c>
      <c r="X127" s="34"/>
      <c r="Y127" s="3" t="s">
        <v>317</v>
      </c>
      <c r="Z127" s="15"/>
      <c r="AA127" s="15"/>
      <c r="AB127" s="15"/>
      <c r="AC127" s="15"/>
    </row>
    <row r="128" spans="1:29" ht="39.75" customHeight="1">
      <c r="A128" s="24">
        <v>125</v>
      </c>
      <c r="B128" s="4">
        <v>2151017508</v>
      </c>
      <c r="C128" s="5" t="s">
        <v>326</v>
      </c>
      <c r="D128" s="6" t="e">
        <f>VLOOKUP(B128,Sheet3!$B:$I,3,0)</f>
        <v>#N/A</v>
      </c>
      <c r="E128" s="6" t="str">
        <f>VLOOKUP($B128,Sheet4!$B:$L,4,0)</f>
        <v>18/07/2003</v>
      </c>
      <c r="F128" s="6" t="s">
        <v>7110</v>
      </c>
      <c r="G128" s="6" t="e">
        <f>VLOOKUP($B128,Sheet3!$B:$I,5,0)</f>
        <v>#N/A</v>
      </c>
      <c r="H128" s="6" t="str">
        <f>VLOOKUP($B128,Sheet4!$B:$L,5,0)</f>
        <v>NInh Thuận</v>
      </c>
      <c r="I128" s="6" t="str">
        <f>VLOOKUP(B128,[1]Sheet3!$D:$K,5,0)</f>
        <v>Hoài Trung - Phước Thái - Ninh Phước - Ninh Thuận</v>
      </c>
      <c r="J128" s="6" t="s">
        <v>6397</v>
      </c>
      <c r="K128" s="6" t="e">
        <f>VLOOKUP($B128,Sheet3!$B:$I,6,0)</f>
        <v>#N/A</v>
      </c>
      <c r="L128" s="6" t="str">
        <f>VLOOKUP($B128,Sheet4!$B:$L,10,0)</f>
        <v>Chăm</v>
      </c>
      <c r="M128" s="6" t="s">
        <v>4035</v>
      </c>
      <c r="N128" s="6" t="e">
        <f>VLOOKUP($B128,Sheet3!$B:$I,7,0)</f>
        <v>#N/A</v>
      </c>
      <c r="O128" s="6" t="str">
        <f>VLOOKUP($B128,Sheet4!$B:$L,11,0)</f>
        <v>9</v>
      </c>
      <c r="P128" s="6" t="s">
        <v>8873</v>
      </c>
      <c r="Q128" s="5" t="s">
        <v>313</v>
      </c>
      <c r="R128" s="17" t="s">
        <v>314</v>
      </c>
      <c r="S128" s="36" t="s">
        <v>498</v>
      </c>
      <c r="T128" s="10" t="s">
        <v>503</v>
      </c>
      <c r="U128" s="58">
        <v>2.13</v>
      </c>
      <c r="V128" s="9" t="s">
        <v>327</v>
      </c>
      <c r="W128" s="5" t="s">
        <v>316</v>
      </c>
      <c r="X128" s="34"/>
      <c r="Y128" s="3" t="s">
        <v>317</v>
      </c>
      <c r="Z128" s="15"/>
      <c r="AA128" s="15"/>
      <c r="AB128" s="15"/>
      <c r="AC128" s="15"/>
    </row>
    <row r="129" spans="1:29" ht="39.75" customHeight="1">
      <c r="A129" s="24">
        <v>126</v>
      </c>
      <c r="B129" s="4">
        <v>2151017000</v>
      </c>
      <c r="C129" s="5" t="s">
        <v>328</v>
      </c>
      <c r="D129" s="6" t="e">
        <f>VLOOKUP(B129,Sheet3!$B:$I,3,0)</f>
        <v>#N/A</v>
      </c>
      <c r="E129" s="6" t="str">
        <f>VLOOKUP($B129,Sheet4!$B:$L,4,0)</f>
        <v>04/09/2003</v>
      </c>
      <c r="F129" s="6" t="s">
        <v>7093</v>
      </c>
      <c r="G129" s="6" t="e">
        <f>VLOOKUP($B129,Sheet3!$B:$I,5,0)</f>
        <v>#N/A</v>
      </c>
      <c r="H129" s="6" t="str">
        <f>VLOOKUP($B129,Sheet4!$B:$L,5,0)</f>
        <v>Tỉnh Hòa Bình</v>
      </c>
      <c r="I129" s="6" t="str">
        <f>VLOOKUP(B129,[1]Sheet3!$D:$K,5,0)</f>
        <v>Tổ 4, Phường Đồng Tiến, Thành Phố Hoà Bình, Tỉnh Hoà Bình</v>
      </c>
      <c r="J129" s="6" t="s">
        <v>8901</v>
      </c>
      <c r="K129" s="6" t="e">
        <f>VLOOKUP($B129,Sheet3!$B:$I,6,0)</f>
        <v>#N/A</v>
      </c>
      <c r="L129" s="6" t="str">
        <f>VLOOKUP($B129,Sheet4!$B:$L,10,0)</f>
        <v>Kinh</v>
      </c>
      <c r="M129" s="6" t="s">
        <v>1895</v>
      </c>
      <c r="N129" s="6" t="e">
        <f>VLOOKUP($B129,Sheet3!$B:$I,7,0)</f>
        <v>#N/A</v>
      </c>
      <c r="O129" s="6" t="str">
        <f>VLOOKUP($B129,Sheet4!$B:$L,11,0)</f>
        <v>1167</v>
      </c>
      <c r="P129" s="6" t="s">
        <v>1901</v>
      </c>
      <c r="Q129" s="5" t="s">
        <v>313</v>
      </c>
      <c r="R129" s="17" t="s">
        <v>314</v>
      </c>
      <c r="S129" s="36" t="s">
        <v>498</v>
      </c>
      <c r="T129" s="10" t="s">
        <v>503</v>
      </c>
      <c r="U129" s="58">
        <v>2.0499999999999998</v>
      </c>
      <c r="V129" s="9" t="s">
        <v>329</v>
      </c>
      <c r="W129" s="5" t="s">
        <v>316</v>
      </c>
      <c r="X129" s="34"/>
      <c r="Y129" s="3" t="s">
        <v>317</v>
      </c>
      <c r="Z129" s="15"/>
      <c r="AA129" s="15"/>
      <c r="AB129" s="15"/>
      <c r="AC129" s="15"/>
    </row>
    <row r="130" spans="1:29" ht="39.75" customHeight="1">
      <c r="A130" s="24">
        <v>127</v>
      </c>
      <c r="B130" s="4">
        <v>2151017515</v>
      </c>
      <c r="C130" s="5" t="s">
        <v>330</v>
      </c>
      <c r="D130" s="6" t="e">
        <f>VLOOKUP(B130,Sheet3!$B:$I,3,0)</f>
        <v>#N/A</v>
      </c>
      <c r="E130" s="6" t="str">
        <f>VLOOKUP($B130,Sheet4!$B:$L,4,0)</f>
        <v>09/10/2003</v>
      </c>
      <c r="F130" s="6" t="s">
        <v>7116</v>
      </c>
      <c r="G130" s="6" t="e">
        <f>VLOOKUP($B130,Sheet3!$B:$I,5,0)</f>
        <v>#N/A</v>
      </c>
      <c r="H130" s="6" t="str">
        <f>VLOOKUP($B130,Sheet4!$B:$L,5,0)</f>
        <v>Nghệ An</v>
      </c>
      <c r="I130" s="6" t="str">
        <f>VLOOKUP(B130,[1]Sheet3!$D:$K,5,0)</f>
        <v xml:space="preserve">Tỉnh Nghệ An </v>
      </c>
      <c r="J130" s="6" t="s">
        <v>8885</v>
      </c>
      <c r="K130" s="6" t="e">
        <f>VLOOKUP($B130,Sheet3!$B:$I,6,0)</f>
        <v>#N/A</v>
      </c>
      <c r="L130" s="6" t="str">
        <f>VLOOKUP($B130,Sheet4!$B:$L,10,0)</f>
        <v>Kinh</v>
      </c>
      <c r="M130" s="6" t="s">
        <v>8876</v>
      </c>
      <c r="N130" s="6" t="e">
        <f>VLOOKUP($B130,Sheet3!$B:$I,7,0)</f>
        <v>#N/A</v>
      </c>
      <c r="O130" s="6" t="str">
        <f>VLOOKUP($B130,Sheet4!$B:$L,11,0)</f>
        <v>16</v>
      </c>
      <c r="P130" s="6" t="s">
        <v>8869</v>
      </c>
      <c r="Q130" s="5" t="s">
        <v>313</v>
      </c>
      <c r="R130" s="17" t="s">
        <v>314</v>
      </c>
      <c r="S130" s="36" t="s">
        <v>498</v>
      </c>
      <c r="T130" s="10" t="s">
        <v>503</v>
      </c>
      <c r="U130" s="58">
        <v>2.81</v>
      </c>
      <c r="V130" s="9" t="s">
        <v>331</v>
      </c>
      <c r="W130" s="5" t="s">
        <v>316</v>
      </c>
      <c r="X130" s="34"/>
      <c r="Y130" s="3" t="s">
        <v>317</v>
      </c>
      <c r="Z130" s="15"/>
      <c r="AA130" s="15"/>
      <c r="AB130" s="15"/>
      <c r="AC130" s="15"/>
    </row>
    <row r="131" spans="1:29" ht="39.75" customHeight="1">
      <c r="A131" s="24">
        <v>128</v>
      </c>
      <c r="B131" s="4">
        <v>2151017010</v>
      </c>
      <c r="C131" s="5" t="s">
        <v>332</v>
      </c>
      <c r="D131" s="6" t="e">
        <f>VLOOKUP(B131,Sheet3!$B:$I,3,0)</f>
        <v>#N/A</v>
      </c>
      <c r="E131" s="6" t="str">
        <f>VLOOKUP($B131,Sheet4!$B:$L,4,0)</f>
        <v>18/09/2003</v>
      </c>
      <c r="F131" s="6" t="s">
        <v>7103</v>
      </c>
      <c r="G131" s="6" t="e">
        <f>VLOOKUP($B131,Sheet3!$B:$I,5,0)</f>
        <v>#N/A</v>
      </c>
      <c r="H131" s="6" t="str">
        <f>VLOOKUP($B131,Sheet4!$B:$L,5,0)</f>
        <v>Tây Ninh</v>
      </c>
      <c r="I131" s="6" t="str">
        <f>VLOOKUP(B131,[1]Sheet3!$D:$K,5,0)</f>
        <v>Tây Ninh</v>
      </c>
      <c r="J131" s="6" t="s">
        <v>3967</v>
      </c>
      <c r="K131" s="6" t="e">
        <f>VLOOKUP($B131,Sheet3!$B:$I,6,0)</f>
        <v>#N/A</v>
      </c>
      <c r="L131" s="6" t="str">
        <f>VLOOKUP($B131,Sheet4!$B:$L,10,0)</f>
        <v>Kinh</v>
      </c>
      <c r="M131" s="6" t="s">
        <v>1895</v>
      </c>
      <c r="N131" s="6" t="e">
        <f>VLOOKUP($B131,Sheet3!$B:$I,7,0)</f>
        <v>#N/A</v>
      </c>
      <c r="O131" s="6" t="str">
        <f>VLOOKUP($B131,Sheet4!$B:$L,11,0)</f>
        <v>1177</v>
      </c>
      <c r="P131" s="6" t="s">
        <v>1901</v>
      </c>
      <c r="Q131" s="5" t="s">
        <v>313</v>
      </c>
      <c r="R131" s="17" t="s">
        <v>314</v>
      </c>
      <c r="S131" s="36" t="s">
        <v>498</v>
      </c>
      <c r="T131" s="10" t="s">
        <v>503</v>
      </c>
      <c r="U131" s="58">
        <v>2.1800000000000002</v>
      </c>
      <c r="V131" s="9" t="s">
        <v>333</v>
      </c>
      <c r="W131" s="5" t="s">
        <v>316</v>
      </c>
      <c r="X131" s="34"/>
      <c r="Y131" s="3" t="s">
        <v>317</v>
      </c>
      <c r="Z131" s="15"/>
      <c r="AA131" s="15"/>
      <c r="AB131" s="15"/>
      <c r="AC131" s="15"/>
    </row>
    <row r="132" spans="1:29" ht="39.75" customHeight="1">
      <c r="A132" s="24">
        <v>129</v>
      </c>
      <c r="B132" s="4">
        <v>2151017507</v>
      </c>
      <c r="C132" s="5" t="s">
        <v>334</v>
      </c>
      <c r="D132" s="6" t="e">
        <f>VLOOKUP(B132,Sheet3!$B:$I,3,0)</f>
        <v>#N/A</v>
      </c>
      <c r="E132" s="6" t="str">
        <f>VLOOKUP($B132,Sheet4!$B:$L,4,0)</f>
        <v>11/06/2003</v>
      </c>
      <c r="F132" s="6" t="s">
        <v>7108</v>
      </c>
      <c r="G132" s="6" t="e">
        <f>VLOOKUP($B132,Sheet3!$B:$I,5,0)</f>
        <v>#N/A</v>
      </c>
      <c r="H132" s="6" t="str">
        <f>VLOOKUP($B132,Sheet4!$B:$L,5,0)</f>
        <v>Phan Thiết</v>
      </c>
      <c r="I132" s="6" t="str">
        <f>VLOOKUP(B132,[1]Sheet3!$D:$K,5,0)</f>
        <v>Bệnh viện An Phước ,235 Trần Phú, Phường Phú Trinh, TP. Phan Thiết, Tỉnh Bình Thuận</v>
      </c>
      <c r="J132" s="6" t="s">
        <v>998</v>
      </c>
      <c r="K132" s="6" t="e">
        <f>VLOOKUP($B132,Sheet3!$B:$I,6,0)</f>
        <v>#N/A</v>
      </c>
      <c r="L132" s="6" t="str">
        <f>VLOOKUP($B132,Sheet4!$B:$L,10,0)</f>
        <v>Kinh</v>
      </c>
      <c r="M132" s="6" t="s">
        <v>1895</v>
      </c>
      <c r="N132" s="6" t="e">
        <f>VLOOKUP($B132,Sheet3!$B:$I,7,0)</f>
        <v>#N/A</v>
      </c>
      <c r="O132" s="6" t="str">
        <f>VLOOKUP($B132,Sheet4!$B:$L,11,0)</f>
        <v>8</v>
      </c>
      <c r="P132" s="6" t="s">
        <v>6298</v>
      </c>
      <c r="Q132" s="5" t="s">
        <v>313</v>
      </c>
      <c r="R132" s="17" t="s">
        <v>314</v>
      </c>
      <c r="S132" s="36" t="s">
        <v>498</v>
      </c>
      <c r="T132" s="10" t="s">
        <v>503</v>
      </c>
      <c r="U132" s="58">
        <v>2.38</v>
      </c>
      <c r="V132" s="9" t="s">
        <v>335</v>
      </c>
      <c r="W132" s="5" t="s">
        <v>316</v>
      </c>
      <c r="X132" s="34"/>
      <c r="Y132" s="3" t="s">
        <v>317</v>
      </c>
      <c r="Z132" s="15"/>
      <c r="AA132" s="15"/>
      <c r="AB132" s="15"/>
      <c r="AC132" s="15"/>
    </row>
    <row r="133" spans="1:29" ht="39.75" customHeight="1">
      <c r="A133" s="24">
        <v>130</v>
      </c>
      <c r="B133" s="4">
        <v>2154077881</v>
      </c>
      <c r="C133" s="5" t="s">
        <v>336</v>
      </c>
      <c r="D133" s="6" t="e">
        <f>VLOOKUP(B133,Sheet3!$B:$I,3,0)</f>
        <v>#N/A</v>
      </c>
      <c r="E133" s="6" t="str">
        <f>VLOOKUP($B133,Sheet4!$B:$L,4,0)</f>
        <v>20/01/2003</v>
      </c>
      <c r="F133" s="6" t="s">
        <v>7107</v>
      </c>
      <c r="G133" s="6" t="e">
        <f>VLOOKUP($B133,Sheet3!$B:$I,5,0)</f>
        <v>#N/A</v>
      </c>
      <c r="H133" s="6" t="str">
        <f>VLOOKUP($B133,Sheet4!$B:$L,5,0)</f>
        <v>Nam Định</v>
      </c>
      <c r="I133" s="6" t="str">
        <f>VLOOKUP(B133,[1]Sheet3!$D:$K,5,0)</f>
        <v>Hải hậu , Nam Định</v>
      </c>
      <c r="J133" s="6" t="s">
        <v>8902</v>
      </c>
      <c r="K133" s="6" t="e">
        <f>VLOOKUP($B133,Sheet3!$B:$I,6,0)</f>
        <v>#N/A</v>
      </c>
      <c r="L133" s="6" t="str">
        <f>VLOOKUP($B133,Sheet4!$B:$L,10,0)</f>
        <v>Kinh</v>
      </c>
      <c r="M133" s="6" t="s">
        <v>1895</v>
      </c>
      <c r="N133" s="6" t="e">
        <f>VLOOKUP($B133,Sheet3!$B:$I,7,0)</f>
        <v>#N/A</v>
      </c>
      <c r="O133" s="6" t="str">
        <f>VLOOKUP($B133,Sheet4!$B:$L,11,0)</f>
        <v>382</v>
      </c>
      <c r="P133" s="6" t="s">
        <v>1901</v>
      </c>
      <c r="Q133" s="5" t="s">
        <v>313</v>
      </c>
      <c r="R133" s="17" t="s">
        <v>314</v>
      </c>
      <c r="S133" s="36" t="s">
        <v>498</v>
      </c>
      <c r="T133" s="10" t="s">
        <v>503</v>
      </c>
      <c r="U133" s="58">
        <v>2.66</v>
      </c>
      <c r="V133" s="9" t="s">
        <v>337</v>
      </c>
      <c r="W133" s="5" t="s">
        <v>338</v>
      </c>
      <c r="X133" s="34"/>
      <c r="Y133" s="3" t="s">
        <v>317</v>
      </c>
      <c r="Z133" s="15"/>
      <c r="AA133" s="15"/>
      <c r="AB133" s="15"/>
      <c r="AC133" s="15"/>
    </row>
    <row r="134" spans="1:29" ht="39.75" customHeight="1">
      <c r="A134" s="24">
        <v>131</v>
      </c>
      <c r="B134" s="4">
        <v>2151017021</v>
      </c>
      <c r="C134" s="5" t="s">
        <v>339</v>
      </c>
      <c r="D134" s="6" t="e">
        <f>VLOOKUP(B134,Sheet3!$B:$I,3,0)</f>
        <v>#N/A</v>
      </c>
      <c r="E134" s="6" t="str">
        <f>VLOOKUP($B134,Sheet4!$B:$L,4,0)</f>
        <v>18/09/2003</v>
      </c>
      <c r="F134" s="6" t="s">
        <v>7103</v>
      </c>
      <c r="G134" s="6" t="e">
        <f>VLOOKUP($B134,Sheet3!$B:$I,5,0)</f>
        <v>#N/A</v>
      </c>
      <c r="H134" s="6" t="str">
        <f>VLOOKUP($B134,Sheet4!$B:$L,5,0)</f>
        <v>TT Y tế Củ Chi</v>
      </c>
      <c r="I134" s="6" t="str">
        <f>VLOOKUP(B134,[1]Sheet3!$D:$K,5,0)</f>
        <v>TPHCM</v>
      </c>
      <c r="J134" s="6" t="s">
        <v>5255</v>
      </c>
      <c r="K134" s="6" t="e">
        <f>VLOOKUP($B134,Sheet3!$B:$I,6,0)</f>
        <v>#N/A</v>
      </c>
      <c r="L134" s="6" t="str">
        <f>VLOOKUP($B134,Sheet4!$B:$L,10,0)</f>
        <v>Kinh</v>
      </c>
      <c r="M134" s="6" t="s">
        <v>1895</v>
      </c>
      <c r="N134" s="6" t="e">
        <f>VLOOKUP($B134,Sheet3!$B:$I,7,0)</f>
        <v>#N/A</v>
      </c>
      <c r="O134" s="6" t="str">
        <f>VLOOKUP($B134,Sheet4!$B:$L,11,0)</f>
        <v>1188</v>
      </c>
      <c r="P134" s="6" t="s">
        <v>1901</v>
      </c>
      <c r="Q134" s="5" t="s">
        <v>313</v>
      </c>
      <c r="R134" s="17" t="s">
        <v>314</v>
      </c>
      <c r="S134" s="36" t="s">
        <v>498</v>
      </c>
      <c r="T134" s="10" t="s">
        <v>503</v>
      </c>
      <c r="U134" s="58">
        <v>2.96</v>
      </c>
      <c r="V134" s="9" t="s">
        <v>340</v>
      </c>
      <c r="W134" s="5" t="s">
        <v>338</v>
      </c>
      <c r="X134" s="34"/>
      <c r="Y134" s="3" t="s">
        <v>317</v>
      </c>
      <c r="Z134" s="15"/>
      <c r="AA134" s="15"/>
      <c r="AB134" s="15"/>
      <c r="AC134" s="15"/>
    </row>
    <row r="135" spans="1:29" ht="39.75" customHeight="1">
      <c r="A135" s="24">
        <v>132</v>
      </c>
      <c r="B135" s="4">
        <v>2151017209</v>
      </c>
      <c r="C135" s="5" t="s">
        <v>341</v>
      </c>
      <c r="D135" s="6" t="e">
        <f>VLOOKUP(B135,Sheet3!$B:$I,3,0)</f>
        <v>#N/A</v>
      </c>
      <c r="E135" s="6" t="str">
        <f>VLOOKUP($B135,Sheet4!$B:$L,4,0)</f>
        <v>11/05/2003</v>
      </c>
      <c r="F135" s="6"/>
      <c r="G135" s="6" t="e">
        <f>VLOOKUP($B135,Sheet3!$B:$I,5,0)</f>
        <v>#N/A</v>
      </c>
      <c r="H135" s="6" t="str">
        <f>VLOOKUP($B135,Sheet4!$B:$L,5,0)</f>
        <v>Đồng Nai</v>
      </c>
      <c r="I135" s="6" t="e">
        <f>VLOOKUP(B135,[1]Sheet3!$D:$K,5,0)</f>
        <v>#N/A</v>
      </c>
      <c r="J135" s="6"/>
      <c r="K135" s="6" t="e">
        <f>VLOOKUP($B135,Sheet3!$B:$I,6,0)</f>
        <v>#N/A</v>
      </c>
      <c r="L135" s="6" t="str">
        <f>VLOOKUP($B135,Sheet4!$B:$L,10,0)</f>
        <v>Kinh</v>
      </c>
      <c r="M135" s="6"/>
      <c r="N135" s="6" t="e">
        <f>VLOOKUP($B135,Sheet3!$B:$I,7,0)</f>
        <v>#N/A</v>
      </c>
      <c r="O135" s="6" t="str">
        <f>VLOOKUP($B135,Sheet4!$B:$L,11,0)</f>
        <v>1376</v>
      </c>
      <c r="P135" s="6"/>
      <c r="Q135" s="5" t="s">
        <v>313</v>
      </c>
      <c r="R135" s="17" t="s">
        <v>314</v>
      </c>
      <c r="S135" s="36" t="s">
        <v>498</v>
      </c>
      <c r="T135" s="10" t="s">
        <v>503</v>
      </c>
      <c r="U135" s="58">
        <v>2.2000000000000002</v>
      </c>
      <c r="V135" s="9" t="s">
        <v>342</v>
      </c>
      <c r="W135" s="5" t="s">
        <v>338</v>
      </c>
      <c r="X135" s="34" t="s">
        <v>343</v>
      </c>
      <c r="Y135" s="3" t="s">
        <v>317</v>
      </c>
      <c r="Z135" s="15"/>
      <c r="AA135" s="15"/>
      <c r="AB135" s="15"/>
      <c r="AC135" s="15"/>
    </row>
    <row r="136" spans="1:29" ht="39.75" customHeight="1">
      <c r="A136" s="24">
        <v>133</v>
      </c>
      <c r="B136" s="4">
        <v>2051017456</v>
      </c>
      <c r="C136" s="5" t="s">
        <v>344</v>
      </c>
      <c r="D136" s="6" t="str">
        <f>VLOOKUP(B136,Sheet3!$B:$I,3,0)</f>
        <v>04/03/2002</v>
      </c>
      <c r="E136" s="6" t="str">
        <f>VLOOKUP($B136,Sheet4!$B:$L,4,0)</f>
        <v>04/03/2002</v>
      </c>
      <c r="F136" s="6" t="s">
        <v>1224</v>
      </c>
      <c r="G136" s="6">
        <f>VLOOKUP($B136,Sheet3!$B:$I,5,0)</f>
        <v>0</v>
      </c>
      <c r="H136" s="6" t="str">
        <f>VLOOKUP($B136,Sheet4!$B:$L,5,0)</f>
        <v>Lâm Đồng</v>
      </c>
      <c r="I136" s="6" t="str">
        <f>VLOOKUP(B136,[1]Sheet3!$D:$K,5,0)</f>
        <v>Lâm Đồng</v>
      </c>
      <c r="J136" s="6" t="s">
        <v>998</v>
      </c>
      <c r="K136" s="6">
        <f>VLOOKUP($B136,Sheet3!$B:$I,6,0)</f>
        <v>0</v>
      </c>
      <c r="L136" s="6" t="str">
        <f>VLOOKUP($B136,Sheet4!$B:$L,10,0)</f>
        <v>Kinh</v>
      </c>
      <c r="M136" s="6" t="s">
        <v>1895</v>
      </c>
      <c r="N136" s="6">
        <f>VLOOKUP($B136,Sheet3!$B:$I,7,0)</f>
        <v>0</v>
      </c>
      <c r="O136" s="6" t="str">
        <f>VLOOKUP($B136,Sheet4!$B:$L,11,0)</f>
        <v>7</v>
      </c>
      <c r="P136" s="6" t="s">
        <v>1901</v>
      </c>
      <c r="Q136" s="5" t="s">
        <v>345</v>
      </c>
      <c r="R136" s="17" t="s">
        <v>314</v>
      </c>
      <c r="S136" s="36" t="s">
        <v>500</v>
      </c>
      <c r="T136" s="10" t="s">
        <v>503</v>
      </c>
      <c r="U136" s="58">
        <v>1.95</v>
      </c>
      <c r="V136" s="9" t="s">
        <v>346</v>
      </c>
      <c r="W136" s="5" t="s">
        <v>338</v>
      </c>
      <c r="X136" s="34" t="s">
        <v>343</v>
      </c>
      <c r="Y136" s="3" t="s">
        <v>317</v>
      </c>
      <c r="Z136" s="15"/>
      <c r="AA136" s="15"/>
      <c r="AB136" s="15"/>
      <c r="AC136" s="15"/>
    </row>
    <row r="137" spans="1:29" ht="39.75" customHeight="1">
      <c r="A137" s="24">
        <v>134</v>
      </c>
      <c r="B137" s="4">
        <v>2051017000</v>
      </c>
      <c r="C137" s="5" t="s">
        <v>347</v>
      </c>
      <c r="D137" s="6" t="e">
        <f>VLOOKUP(B137,Sheet3!$B:$I,3,0)</f>
        <v>#N/A</v>
      </c>
      <c r="E137" s="6" t="str">
        <f>VLOOKUP($B137,Sheet4!$B:$L,4,0)</f>
        <v>29/09/2002</v>
      </c>
      <c r="F137" s="6" t="s">
        <v>1167</v>
      </c>
      <c r="G137" s="6" t="e">
        <f>VLOOKUP($B137,Sheet3!$B:$I,5,0)</f>
        <v>#N/A</v>
      </c>
      <c r="H137" s="6">
        <f>VLOOKUP($B137,Sheet4!$B:$L,5,0)</f>
        <v>0</v>
      </c>
      <c r="I137" s="6" t="str">
        <f>VLOOKUP(B137,[1]Sheet3!$D:$K,5,0)</f>
        <v>Hà Nội</v>
      </c>
      <c r="J137" s="6" t="s">
        <v>8880</v>
      </c>
      <c r="K137" s="6" t="e">
        <f>VLOOKUP($B137,Sheet3!$B:$I,6,0)</f>
        <v>#N/A</v>
      </c>
      <c r="L137" s="6" t="str">
        <f>VLOOKUP($B137,Sheet4!$B:$L,10,0)</f>
        <v>14</v>
      </c>
      <c r="M137" s="6" t="s">
        <v>1895</v>
      </c>
      <c r="N137" s="6" t="e">
        <f>VLOOKUP($B137,Sheet3!$B:$I,7,0)</f>
        <v>#N/A</v>
      </c>
      <c r="O137" s="6" t="str">
        <f>VLOOKUP($B137,Sheet4!$B:$L,11,0)</f>
        <v>14</v>
      </c>
      <c r="P137" s="6" t="s">
        <v>1901</v>
      </c>
      <c r="Q137" s="5" t="s">
        <v>345</v>
      </c>
      <c r="R137" s="17" t="s">
        <v>314</v>
      </c>
      <c r="S137" s="36" t="s">
        <v>500</v>
      </c>
      <c r="T137" s="10" t="s">
        <v>503</v>
      </c>
      <c r="U137" s="58">
        <v>2.1</v>
      </c>
      <c r="V137" s="9" t="s">
        <v>348</v>
      </c>
      <c r="W137" s="5" t="s">
        <v>349</v>
      </c>
      <c r="X137" s="34"/>
      <c r="Y137" s="3" t="s">
        <v>317</v>
      </c>
      <c r="Z137" s="15"/>
      <c r="AA137" s="15"/>
      <c r="AB137" s="15"/>
      <c r="AC137" s="15"/>
    </row>
    <row r="138" spans="1:29" ht="39.75" customHeight="1">
      <c r="A138" s="24">
        <v>135</v>
      </c>
      <c r="B138" s="4">
        <v>2151017003</v>
      </c>
      <c r="C138" s="5" t="s">
        <v>350</v>
      </c>
      <c r="D138" s="6" t="e">
        <f>VLOOKUP(B138,Sheet3!$B:$I,3,0)</f>
        <v>#N/A</v>
      </c>
      <c r="E138" s="6" t="str">
        <f>VLOOKUP($B138,Sheet4!$B:$L,4,0)</f>
        <v>08/02/2003</v>
      </c>
      <c r="F138" s="6"/>
      <c r="G138" s="6" t="e">
        <f>VLOOKUP($B138,Sheet3!$B:$I,5,0)</f>
        <v>#N/A</v>
      </c>
      <c r="H138" s="6" t="str">
        <f>VLOOKUP($B138,Sheet4!$B:$L,5,0)</f>
        <v>Bình Định</v>
      </c>
      <c r="I138" s="6" t="e">
        <f>VLOOKUP(B138,[1]Sheet3!$D:$K,5,0)</f>
        <v>#N/A</v>
      </c>
      <c r="J138" s="6"/>
      <c r="K138" s="6" t="e">
        <f>VLOOKUP($B138,Sheet3!$B:$I,6,0)</f>
        <v>#N/A</v>
      </c>
      <c r="L138" s="6" t="str">
        <f>VLOOKUP($B138,Sheet4!$B:$L,10,0)</f>
        <v>Kinh</v>
      </c>
      <c r="M138" s="6"/>
      <c r="N138" s="6" t="e">
        <f>VLOOKUP($B138,Sheet3!$B:$I,7,0)</f>
        <v>#N/A</v>
      </c>
      <c r="O138" s="6" t="str">
        <f>VLOOKUP($B138,Sheet4!$B:$L,11,0)</f>
        <v>1170</v>
      </c>
      <c r="P138" s="6"/>
      <c r="Q138" s="5" t="s">
        <v>313</v>
      </c>
      <c r="R138" s="17" t="s">
        <v>314</v>
      </c>
      <c r="S138" s="36" t="s">
        <v>498</v>
      </c>
      <c r="T138" s="10" t="s">
        <v>503</v>
      </c>
      <c r="U138" s="58">
        <v>1.96</v>
      </c>
      <c r="V138" s="9" t="s">
        <v>351</v>
      </c>
      <c r="W138" s="5" t="s">
        <v>349</v>
      </c>
      <c r="X138" s="34"/>
      <c r="Y138" s="3" t="s">
        <v>317</v>
      </c>
      <c r="Z138" s="15"/>
      <c r="AA138" s="15"/>
      <c r="AB138" s="15"/>
      <c r="AC138" s="15"/>
    </row>
    <row r="139" spans="1:29" ht="39.75" customHeight="1">
      <c r="A139" s="24">
        <v>136</v>
      </c>
      <c r="B139" s="4">
        <v>1851012851</v>
      </c>
      <c r="C139" s="5" t="s">
        <v>352</v>
      </c>
      <c r="D139" s="6" t="e">
        <f>VLOOKUP(B139,Sheet3!$B:$I,3,0)</f>
        <v>#N/A</v>
      </c>
      <c r="E139" s="6" t="str">
        <f>VLOOKUP($B139,Sheet4!$B:$L,4,0)</f>
        <v>00/01/1900</v>
      </c>
      <c r="F139" s="6"/>
      <c r="G139" s="6" t="e">
        <f>VLOOKUP($B139,Sheet3!$B:$I,5,0)</f>
        <v>#N/A</v>
      </c>
      <c r="H139" s="6">
        <f>VLOOKUP($B139,Sheet4!$B:$L,5,0)</f>
        <v>0</v>
      </c>
      <c r="I139" s="6" t="e">
        <f>VLOOKUP(B139,[1]Sheet3!$D:$K,5,0)</f>
        <v>#N/A</v>
      </c>
      <c r="J139" s="6"/>
      <c r="K139" s="6" t="e">
        <f>VLOOKUP($B139,Sheet3!$B:$I,6,0)</f>
        <v>#N/A</v>
      </c>
      <c r="L139" s="6">
        <f>VLOOKUP($B139,Sheet4!$B:$L,10,0)</f>
        <v>0</v>
      </c>
      <c r="M139" s="6"/>
      <c r="N139" s="6" t="e">
        <f>VLOOKUP($B139,Sheet3!$B:$I,7,0)</f>
        <v>#N/A</v>
      </c>
      <c r="O139" s="6">
        <f>VLOOKUP($B139,Sheet4!$B:$L,11,0)</f>
        <v>0</v>
      </c>
      <c r="P139" s="6"/>
      <c r="Q139" s="5" t="s">
        <v>353</v>
      </c>
      <c r="R139" s="17" t="s">
        <v>314</v>
      </c>
      <c r="S139" s="36" t="s">
        <v>499</v>
      </c>
      <c r="T139" s="10" t="s">
        <v>503</v>
      </c>
      <c r="U139" s="58" t="s">
        <v>509</v>
      </c>
      <c r="V139" s="9" t="s">
        <v>354</v>
      </c>
      <c r="W139" s="5" t="s">
        <v>349</v>
      </c>
      <c r="X139" s="34"/>
      <c r="Y139" s="3" t="s">
        <v>317</v>
      </c>
      <c r="Z139" s="15"/>
      <c r="AA139" s="15"/>
      <c r="AB139" s="15"/>
      <c r="AC139" s="15"/>
    </row>
    <row r="140" spans="1:29" ht="39.75" customHeight="1">
      <c r="A140" s="24">
        <v>137</v>
      </c>
      <c r="B140" s="4">
        <v>2051017012</v>
      </c>
      <c r="C140" s="5" t="s">
        <v>355</v>
      </c>
      <c r="D140" s="6" t="e">
        <f>VLOOKUP(B140,Sheet3!$B:$I,3,0)</f>
        <v>#N/A</v>
      </c>
      <c r="E140" s="6" t="str">
        <f>VLOOKUP($B140,Sheet4!$B:$L,4,0)</f>
        <v>08/11/2002</v>
      </c>
      <c r="F140" s="6" t="s">
        <v>1018</v>
      </c>
      <c r="G140" s="6" t="e">
        <f>VLOOKUP($B140,Sheet3!$B:$I,5,0)</f>
        <v>#N/A</v>
      </c>
      <c r="H140" s="6" t="str">
        <f>VLOOKUP($B140,Sheet4!$B:$L,5,0)</f>
        <v>Thanh hóa</v>
      </c>
      <c r="I140" s="6" t="str">
        <f>VLOOKUP(B140,[1]Sheet3!$D:$K,5,0)</f>
        <v>Đồng Nai</v>
      </c>
      <c r="J140" s="6" t="s">
        <v>835</v>
      </c>
      <c r="K140" s="6" t="e">
        <f>VLOOKUP($B140,Sheet3!$B:$I,6,0)</f>
        <v>#N/A</v>
      </c>
      <c r="L140" s="6" t="str">
        <f>VLOOKUP($B140,Sheet4!$B:$L,10,0)</f>
        <v>Kinh</v>
      </c>
      <c r="M140" s="6" t="s">
        <v>1895</v>
      </c>
      <c r="N140" s="6" t="e">
        <f>VLOOKUP($B140,Sheet3!$B:$I,7,0)</f>
        <v>#N/A</v>
      </c>
      <c r="O140" s="6" t="str">
        <f>VLOOKUP($B140,Sheet4!$B:$L,11,0)</f>
        <v>11</v>
      </c>
      <c r="P140" s="6" t="s">
        <v>1901</v>
      </c>
      <c r="Q140" s="5" t="s">
        <v>345</v>
      </c>
      <c r="R140" s="17" t="s">
        <v>314</v>
      </c>
      <c r="S140" s="36" t="s">
        <v>500</v>
      </c>
      <c r="T140" s="10" t="s">
        <v>503</v>
      </c>
      <c r="U140" s="58">
        <v>2.04</v>
      </c>
      <c r="V140" s="9" t="s">
        <v>356</v>
      </c>
      <c r="W140" s="5" t="s">
        <v>349</v>
      </c>
      <c r="X140" s="34"/>
      <c r="Y140" s="3" t="s">
        <v>317</v>
      </c>
      <c r="Z140" s="15"/>
      <c r="AA140" s="15"/>
      <c r="AB140" s="15"/>
      <c r="AC140" s="15"/>
    </row>
    <row r="141" spans="1:29" ht="39.75" customHeight="1">
      <c r="A141" s="24">
        <v>138</v>
      </c>
      <c r="B141" s="4">
        <v>1851043176</v>
      </c>
      <c r="C141" s="5" t="s">
        <v>357</v>
      </c>
      <c r="D141" s="6" t="e">
        <f>VLOOKUP(B141,Sheet3!$B:$I,3,0)</f>
        <v>#N/A</v>
      </c>
      <c r="E141" s="6" t="str">
        <f>VLOOKUP($B141,Sheet4!$B:$L,4,0)</f>
        <v>00/01/1900</v>
      </c>
      <c r="F141" s="6" t="s">
        <v>8896</v>
      </c>
      <c r="G141" s="6" t="e">
        <f>VLOOKUP($B141,Sheet3!$B:$I,5,0)</f>
        <v>#N/A</v>
      </c>
      <c r="H141" s="6">
        <f>VLOOKUP($B141,Sheet4!$B:$L,5,0)</f>
        <v>0</v>
      </c>
      <c r="I141" s="6" t="str">
        <f>VLOOKUP(B141,[1]Sheet3!$D:$K,5,0)</f>
        <v xml:space="preserve">Tỉnh Thái Bình </v>
      </c>
      <c r="J141" s="6" t="s">
        <v>1153</v>
      </c>
      <c r="K141" s="6" t="e">
        <f>VLOOKUP($B141,Sheet3!$B:$I,6,0)</f>
        <v>#N/A</v>
      </c>
      <c r="L141" s="6">
        <f>VLOOKUP($B141,Sheet4!$B:$L,10,0)</f>
        <v>0</v>
      </c>
      <c r="M141" s="6" t="s">
        <v>1895</v>
      </c>
      <c r="N141" s="6" t="e">
        <f>VLOOKUP($B141,Sheet3!$B:$I,7,0)</f>
        <v>#N/A</v>
      </c>
      <c r="O141" s="6">
        <f>VLOOKUP($B141,Sheet4!$B:$L,11,0)</f>
        <v>0</v>
      </c>
      <c r="P141" s="6" t="s">
        <v>1901</v>
      </c>
      <c r="Q141" s="5" t="s">
        <v>358</v>
      </c>
      <c r="R141" s="17" t="s">
        <v>359</v>
      </c>
      <c r="S141" s="36" t="s">
        <v>499</v>
      </c>
      <c r="T141" s="10" t="s">
        <v>503</v>
      </c>
      <c r="U141" s="58" t="s">
        <v>514</v>
      </c>
      <c r="V141" s="9" t="s">
        <v>360</v>
      </c>
      <c r="W141" s="5" t="s">
        <v>361</v>
      </c>
      <c r="X141" s="34"/>
      <c r="Y141" s="3" t="s">
        <v>317</v>
      </c>
      <c r="Z141" s="15"/>
      <c r="AA141" s="15"/>
      <c r="AB141" s="15"/>
      <c r="AC141" s="15"/>
    </row>
    <row r="142" spans="1:29" ht="39.75" customHeight="1">
      <c r="A142" s="24">
        <v>139</v>
      </c>
      <c r="B142" s="4">
        <v>1851042736</v>
      </c>
      <c r="C142" s="5" t="s">
        <v>362</v>
      </c>
      <c r="D142" s="6" t="e">
        <f>VLOOKUP(B142,Sheet3!$B:$I,3,0)</f>
        <v>#N/A</v>
      </c>
      <c r="E142" s="6" t="str">
        <f>VLOOKUP($B142,Sheet4!$B:$L,4,0)</f>
        <v>14/09/2000</v>
      </c>
      <c r="F142" s="6" t="s">
        <v>8897</v>
      </c>
      <c r="G142" s="6" t="e">
        <f>VLOOKUP($B142,Sheet3!$B:$I,5,0)</f>
        <v>#N/A</v>
      </c>
      <c r="H142" s="6">
        <f>VLOOKUP($B142,Sheet4!$B:$L,5,0)</f>
        <v>0</v>
      </c>
      <c r="I142" s="6" t="str">
        <f>VLOOKUP(B142,[1]Sheet3!$D:$K,5,0)</f>
        <v>Lâm đồng</v>
      </c>
      <c r="J142" s="6" t="s">
        <v>998</v>
      </c>
      <c r="K142" s="6" t="e">
        <f>VLOOKUP($B142,Sheet3!$B:$I,6,0)</f>
        <v>#N/A</v>
      </c>
      <c r="L142" s="6">
        <f>VLOOKUP($B142,Sheet4!$B:$L,10,0)</f>
        <v>0</v>
      </c>
      <c r="M142" s="6" t="s">
        <v>1895</v>
      </c>
      <c r="N142" s="6" t="e">
        <f>VLOOKUP($B142,Sheet3!$B:$I,7,0)</f>
        <v>#N/A</v>
      </c>
      <c r="O142" s="6">
        <f>VLOOKUP($B142,Sheet4!$B:$L,11,0)</f>
        <v>0</v>
      </c>
      <c r="P142" s="6" t="s">
        <v>1901</v>
      </c>
      <c r="Q142" s="5" t="s">
        <v>358</v>
      </c>
      <c r="R142" s="17" t="s">
        <v>359</v>
      </c>
      <c r="S142" s="36" t="s">
        <v>499</v>
      </c>
      <c r="T142" s="10" t="s">
        <v>503</v>
      </c>
      <c r="U142" s="58" t="s">
        <v>512</v>
      </c>
      <c r="V142" s="9" t="s">
        <v>363</v>
      </c>
      <c r="W142" s="5" t="s">
        <v>8906</v>
      </c>
      <c r="X142" s="34"/>
      <c r="Y142" s="3" t="s">
        <v>317</v>
      </c>
      <c r="Z142" s="15"/>
      <c r="AA142" s="15"/>
      <c r="AB142" s="15"/>
      <c r="AC142" s="15"/>
    </row>
    <row r="143" spans="1:29" ht="39.75" customHeight="1">
      <c r="A143" s="24">
        <v>140</v>
      </c>
      <c r="B143" s="4">
        <v>1951045651</v>
      </c>
      <c r="C143" s="5" t="s">
        <v>364</v>
      </c>
      <c r="D143" s="6" t="e">
        <f>VLOOKUP(B143,Sheet3!$B:$I,3,0)</f>
        <v>#N/A</v>
      </c>
      <c r="E143" s="6" t="str">
        <f>VLOOKUP($B143,Sheet4!$B:$L,4,0)</f>
        <v>06/01/1997</v>
      </c>
      <c r="F143" s="6" t="s">
        <v>7294</v>
      </c>
      <c r="G143" s="6" t="e">
        <f>VLOOKUP($B143,Sheet3!$B:$I,5,0)</f>
        <v>#N/A</v>
      </c>
      <c r="H143" s="6" t="str">
        <f>VLOOKUP($B143,Sheet4!$B:$L,5,0)</f>
        <v>Yên Phương, Ý Yên, Nam Định</v>
      </c>
      <c r="I143" s="6" t="str">
        <f>VLOOKUP(B143,[1]Sheet3!$D:$K,5,0)</f>
        <v>Số 2 Phạm Tu, phường Vĩnh Hải, thành phố Nha Trang, tỉnh Khánh Hoà</v>
      </c>
      <c r="J143" s="6" t="s">
        <v>6397</v>
      </c>
      <c r="K143" s="6" t="e">
        <f>VLOOKUP($B143,Sheet3!$B:$I,6,0)</f>
        <v>#N/A</v>
      </c>
      <c r="L143" s="6" t="str">
        <f>VLOOKUP($B143,Sheet4!$B:$L,10,0)</f>
        <v>Kinh</v>
      </c>
      <c r="M143" s="6" t="s">
        <v>1895</v>
      </c>
      <c r="N143" s="6" t="e">
        <f>VLOOKUP($B143,Sheet3!$B:$I,7,0)</f>
        <v>#N/A</v>
      </c>
      <c r="O143" s="6" t="str">
        <f>VLOOKUP($B143,Sheet4!$B:$L,11,0)</f>
        <v>không</v>
      </c>
      <c r="P143" s="6" t="s">
        <v>1901</v>
      </c>
      <c r="Q143" s="5" t="s">
        <v>365</v>
      </c>
      <c r="R143" s="17" t="s">
        <v>359</v>
      </c>
      <c r="S143" s="36" t="s">
        <v>496</v>
      </c>
      <c r="T143" s="10" t="s">
        <v>503</v>
      </c>
      <c r="U143" s="58">
        <v>2.2000000000000002</v>
      </c>
      <c r="V143" s="9" t="s">
        <v>366</v>
      </c>
      <c r="W143" s="5" t="s">
        <v>361</v>
      </c>
      <c r="X143" s="34" t="s">
        <v>367</v>
      </c>
      <c r="Y143" s="3" t="s">
        <v>317</v>
      </c>
      <c r="Z143" s="15"/>
      <c r="AA143" s="15"/>
      <c r="AB143" s="15"/>
      <c r="AC143" s="15"/>
    </row>
    <row r="144" spans="1:29" ht="39.75" customHeight="1">
      <c r="A144" s="24">
        <v>141</v>
      </c>
      <c r="B144" s="4">
        <v>1951045142</v>
      </c>
      <c r="C144" s="5" t="s">
        <v>368</v>
      </c>
      <c r="D144" s="6" t="e">
        <f>VLOOKUP(B144,Sheet3!$B:$I,3,0)</f>
        <v>#N/A</v>
      </c>
      <c r="E144" s="6" t="str">
        <f>VLOOKUP($B144,Sheet4!$B:$L,4,0)</f>
        <v>30/04/2001</v>
      </c>
      <c r="F144" s="6" t="s">
        <v>7292</v>
      </c>
      <c r="G144" s="6" t="e">
        <f>VLOOKUP($B144,Sheet3!$B:$I,5,0)</f>
        <v>#N/A</v>
      </c>
      <c r="H144" s="6" t="str">
        <f>VLOOKUP($B144,Sheet4!$B:$L,5,0)</f>
        <v>Quảng Trị</v>
      </c>
      <c r="I144" s="6" t="str">
        <f>VLOOKUP(B144,[1]Sheet3!$D:$K,5,0)</f>
        <v>Đạ Tẻh, Lâm Đồng</v>
      </c>
      <c r="J144" s="6" t="s">
        <v>998</v>
      </c>
      <c r="K144" s="6" t="e">
        <f>VLOOKUP($B144,Sheet3!$B:$I,6,0)</f>
        <v>#N/A</v>
      </c>
      <c r="L144" s="6" t="str">
        <f>VLOOKUP($B144,Sheet4!$B:$L,10,0)</f>
        <v>Kinh</v>
      </c>
      <c r="M144" s="6" t="s">
        <v>1895</v>
      </c>
      <c r="N144" s="6" t="e">
        <f>VLOOKUP($B144,Sheet3!$B:$I,7,0)</f>
        <v>#N/A</v>
      </c>
      <c r="O144" s="6" t="str">
        <f>VLOOKUP($B144,Sheet4!$B:$L,11,0)</f>
        <v>Không</v>
      </c>
      <c r="P144" s="6" t="s">
        <v>1901</v>
      </c>
      <c r="Q144" s="5" t="s">
        <v>365</v>
      </c>
      <c r="R144" s="17" t="s">
        <v>359</v>
      </c>
      <c r="S144" s="36" t="s">
        <v>496</v>
      </c>
      <c r="T144" s="10" t="s">
        <v>503</v>
      </c>
      <c r="U144" s="58">
        <v>1.98</v>
      </c>
      <c r="V144" s="9" t="s">
        <v>369</v>
      </c>
      <c r="W144" s="5" t="s">
        <v>8906</v>
      </c>
      <c r="X144" s="34"/>
      <c r="Y144" s="3" t="s">
        <v>317</v>
      </c>
      <c r="Z144" s="15"/>
      <c r="AA144" s="15"/>
      <c r="AB144" s="15"/>
      <c r="AC144" s="15"/>
    </row>
    <row r="145" spans="1:29" ht="39.75" customHeight="1">
      <c r="A145" s="24">
        <v>142</v>
      </c>
      <c r="B145" s="4">
        <v>1951040205</v>
      </c>
      <c r="C145" s="5" t="s">
        <v>370</v>
      </c>
      <c r="D145" s="6" t="e">
        <f>VLOOKUP(B145,Sheet3!$B:$I,3,0)</f>
        <v>#N/A</v>
      </c>
      <c r="E145" s="6" t="str">
        <f>VLOOKUP($B145,Sheet4!$B:$L,4,0)</f>
        <v>25/09/2001</v>
      </c>
      <c r="F145" s="6" t="s">
        <v>7287</v>
      </c>
      <c r="G145" s="6" t="e">
        <f>VLOOKUP($B145,Sheet3!$B:$I,5,0)</f>
        <v>#N/A</v>
      </c>
      <c r="H145" s="6">
        <f>VLOOKUP($B145,Sheet4!$B:$L,5,0)</f>
        <v>0</v>
      </c>
      <c r="I145" s="6" t="str">
        <f>VLOOKUP(B145,[1]Sheet3!$D:$K,5,0)</f>
        <v>Hà Tây</v>
      </c>
      <c r="J145" s="6" t="s">
        <v>8880</v>
      </c>
      <c r="K145" s="6" t="e">
        <f>VLOOKUP($B145,Sheet3!$B:$I,6,0)</f>
        <v>#N/A</v>
      </c>
      <c r="L145" s="6" t="str">
        <f>VLOOKUP($B145,Sheet4!$B:$L,10,0)</f>
        <v>Kinh</v>
      </c>
      <c r="M145" s="6" t="s">
        <v>1895</v>
      </c>
      <c r="N145" s="6" t="e">
        <f>VLOOKUP($B145,Sheet3!$B:$I,7,0)</f>
        <v>#N/A</v>
      </c>
      <c r="O145" s="6" t="str">
        <f>VLOOKUP($B145,Sheet4!$B:$L,11,0)</f>
        <v>không</v>
      </c>
      <c r="P145" s="6" t="s">
        <v>1901</v>
      </c>
      <c r="Q145" s="5" t="s">
        <v>365</v>
      </c>
      <c r="R145" s="17" t="s">
        <v>359</v>
      </c>
      <c r="S145" s="36" t="s">
        <v>496</v>
      </c>
      <c r="T145" s="10" t="s">
        <v>503</v>
      </c>
      <c r="U145" s="58">
        <v>2.23</v>
      </c>
      <c r="V145" s="9" t="s">
        <v>371</v>
      </c>
      <c r="W145" s="5" t="s">
        <v>361</v>
      </c>
      <c r="X145" s="34"/>
      <c r="Y145" s="3" t="s">
        <v>317</v>
      </c>
      <c r="Z145" s="15"/>
      <c r="AA145" s="15"/>
      <c r="AB145" s="15"/>
      <c r="AC145" s="15"/>
    </row>
    <row r="146" spans="1:29" ht="39.75" customHeight="1">
      <c r="A146" s="24">
        <v>143</v>
      </c>
      <c r="B146" s="4">
        <v>1951045587</v>
      </c>
      <c r="C146" s="5" t="s">
        <v>372</v>
      </c>
      <c r="D146" s="6" t="e">
        <f>VLOOKUP(B146,Sheet3!$B:$I,3,0)</f>
        <v>#N/A</v>
      </c>
      <c r="E146" s="6" t="str">
        <f>VLOOKUP($B146,Sheet4!$B:$L,4,0)</f>
        <v>10/08/2001</v>
      </c>
      <c r="F146" s="6" t="s">
        <v>7293</v>
      </c>
      <c r="G146" s="6" t="e">
        <f>VLOOKUP($B146,Sheet3!$B:$I,5,0)</f>
        <v>#N/A</v>
      </c>
      <c r="H146" s="6" t="str">
        <f>VLOOKUP($B146,Sheet4!$B:$L,5,0)</f>
        <v>ninh thuận</v>
      </c>
      <c r="I146" s="6" t="str">
        <f>VLOOKUP(B146,[1]Sheet3!$D:$K,5,0)</f>
        <v>Ninh Thuận</v>
      </c>
      <c r="J146" s="6" t="s">
        <v>1049</v>
      </c>
      <c r="K146" s="6" t="e">
        <f>VLOOKUP($B146,Sheet3!$B:$I,6,0)</f>
        <v>#N/A</v>
      </c>
      <c r="L146" s="6" t="str">
        <f>VLOOKUP($B146,Sheet4!$B:$L,10,0)</f>
        <v>Kinh</v>
      </c>
      <c r="M146" s="6" t="s">
        <v>1895</v>
      </c>
      <c r="N146" s="6" t="e">
        <f>VLOOKUP($B146,Sheet3!$B:$I,7,0)</f>
        <v>#N/A</v>
      </c>
      <c r="O146" s="6" t="str">
        <f>VLOOKUP($B146,Sheet4!$B:$L,11,0)</f>
        <v>không</v>
      </c>
      <c r="P146" s="6" t="s">
        <v>1901</v>
      </c>
      <c r="Q146" s="5" t="s">
        <v>365</v>
      </c>
      <c r="R146" s="17" t="s">
        <v>359</v>
      </c>
      <c r="S146" s="36" t="s">
        <v>496</v>
      </c>
      <c r="T146" s="10" t="s">
        <v>503</v>
      </c>
      <c r="U146" s="58">
        <v>2.0099999999999998</v>
      </c>
      <c r="V146" s="9" t="s">
        <v>373</v>
      </c>
      <c r="W146" s="5" t="s">
        <v>8906</v>
      </c>
      <c r="X146" s="34"/>
      <c r="Y146" s="3" t="s">
        <v>317</v>
      </c>
      <c r="Z146" s="15"/>
      <c r="AA146" s="15"/>
      <c r="AB146" s="15"/>
      <c r="AC146" s="15"/>
    </row>
    <row r="147" spans="1:29" ht="39.75" customHeight="1">
      <c r="A147" s="24">
        <v>144</v>
      </c>
      <c r="B147" s="4">
        <v>2051047095</v>
      </c>
      <c r="C147" s="5" t="s">
        <v>374</v>
      </c>
      <c r="D147" s="6" t="str">
        <f>VLOOKUP(B147,Sheet3!$B:$I,3,0)</f>
        <v>22/02/2002</v>
      </c>
      <c r="E147" s="6" t="str">
        <f>VLOOKUP($B147,Sheet4!$B:$L,4,0)</f>
        <v>22/02/2002</v>
      </c>
      <c r="F147" s="6" t="s">
        <v>1229</v>
      </c>
      <c r="G147" s="6">
        <f>VLOOKUP($B147,Sheet3!$B:$I,5,0)</f>
        <v>0</v>
      </c>
      <c r="H147" s="6" t="str">
        <f>VLOOKUP($B147,Sheet4!$B:$L,5,0)</f>
        <v>Vĩnh Phúc</v>
      </c>
      <c r="I147" s="6" t="str">
        <f>VLOOKUP(B147,[1]Sheet3!$D:$K,5,0)</f>
        <v>Vĩnh Phúc</v>
      </c>
      <c r="J147" s="6" t="s">
        <v>5790</v>
      </c>
      <c r="K147" s="6">
        <f>VLOOKUP($B147,Sheet3!$B:$I,6,0)</f>
        <v>0</v>
      </c>
      <c r="L147" s="6" t="str">
        <f>VLOOKUP($B147,Sheet4!$B:$L,10,0)</f>
        <v>Kinh</v>
      </c>
      <c r="M147" s="6" t="s">
        <v>1895</v>
      </c>
      <c r="N147" s="6">
        <f>VLOOKUP($B147,Sheet3!$B:$I,7,0)</f>
        <v>0</v>
      </c>
      <c r="O147" s="6">
        <f>VLOOKUP($B147,Sheet4!$B:$L,11,0)</f>
        <v>0</v>
      </c>
      <c r="P147" s="6" t="s">
        <v>1901</v>
      </c>
      <c r="Q147" s="5" t="s">
        <v>375</v>
      </c>
      <c r="R147" s="17" t="s">
        <v>359</v>
      </c>
      <c r="S147" s="36" t="s">
        <v>500</v>
      </c>
      <c r="T147" s="10" t="s">
        <v>503</v>
      </c>
      <c r="U147" s="58">
        <v>1.96</v>
      </c>
      <c r="V147" s="9" t="s">
        <v>376</v>
      </c>
      <c r="W147" s="5" t="s">
        <v>8906</v>
      </c>
      <c r="X147" s="34"/>
      <c r="Y147" s="3" t="s">
        <v>317</v>
      </c>
      <c r="Z147" s="15"/>
      <c r="AA147" s="15"/>
      <c r="AB147" s="15"/>
      <c r="AC147" s="15"/>
    </row>
    <row r="148" spans="1:29" ht="39.75" customHeight="1">
      <c r="A148" s="24">
        <v>145</v>
      </c>
      <c r="B148" s="4">
        <v>2051047478</v>
      </c>
      <c r="C148" s="5" t="s">
        <v>377</v>
      </c>
      <c r="D148" s="6" t="str">
        <f>VLOOKUP(B148,Sheet3!$B:$I,3,0)</f>
        <v>15/11/2002</v>
      </c>
      <c r="E148" s="6" t="str">
        <f>VLOOKUP($B148,Sheet4!$B:$L,4,0)</f>
        <v>15/11/2002</v>
      </c>
      <c r="F148" s="6" t="s">
        <v>1070</v>
      </c>
      <c r="G148" s="6">
        <f>VLOOKUP($B148,Sheet3!$B:$I,5,0)</f>
        <v>0</v>
      </c>
      <c r="H148" s="6" t="str">
        <f>VLOOKUP($B148,Sheet4!$B:$L,5,0)</f>
        <v>BV Từ Dũ, Tp.Hồ Chí MInh</v>
      </c>
      <c r="I148" s="6" t="str">
        <f>VLOOKUP(B148,[1]Sheet3!$D:$K,5,0)</f>
        <v>TP Hồ Chí Minh</v>
      </c>
      <c r="J148" s="6" t="s">
        <v>5255</v>
      </c>
      <c r="K148" s="6">
        <f>VLOOKUP($B148,Sheet3!$B:$I,6,0)</f>
        <v>0</v>
      </c>
      <c r="L148" s="6" t="str">
        <f>VLOOKUP($B148,Sheet4!$B:$L,10,0)</f>
        <v>Kinh</v>
      </c>
      <c r="M148" s="6" t="s">
        <v>8878</v>
      </c>
      <c r="N148" s="6">
        <f>VLOOKUP($B148,Sheet3!$B:$I,7,0)</f>
        <v>0</v>
      </c>
      <c r="O148" s="6" t="str">
        <f>VLOOKUP($B148,Sheet4!$B:$L,11,0)</f>
        <v>29</v>
      </c>
      <c r="P148" s="6" t="s">
        <v>1901</v>
      </c>
      <c r="Q148" s="5" t="s">
        <v>375</v>
      </c>
      <c r="R148" s="17" t="s">
        <v>359</v>
      </c>
      <c r="S148" s="36" t="s">
        <v>500</v>
      </c>
      <c r="T148" s="10" t="s">
        <v>503</v>
      </c>
      <c r="U148" s="58">
        <v>1.96</v>
      </c>
      <c r="V148" s="9" t="s">
        <v>378</v>
      </c>
      <c r="W148" s="5" t="s">
        <v>8906</v>
      </c>
      <c r="X148" s="34"/>
      <c r="Y148" s="3" t="s">
        <v>317</v>
      </c>
      <c r="Z148" s="15"/>
      <c r="AA148" s="15"/>
      <c r="AB148" s="15"/>
      <c r="AC148" s="15"/>
    </row>
    <row r="149" spans="1:29" ht="39.75" customHeight="1">
      <c r="A149" s="24">
        <v>146</v>
      </c>
      <c r="B149" s="4">
        <v>2051047092</v>
      </c>
      <c r="C149" s="5" t="s">
        <v>379</v>
      </c>
      <c r="D149" s="6" t="str">
        <f>VLOOKUP(B149,Sheet3!$B:$I,3,0)</f>
        <v>07/01/2001</v>
      </c>
      <c r="E149" s="6" t="str">
        <f>VLOOKUP($B149,Sheet4!$B:$L,4,0)</f>
        <v>07/01/2001</v>
      </c>
      <c r="F149" s="6" t="s">
        <v>1285</v>
      </c>
      <c r="G149" s="6">
        <f>VLOOKUP($B149,Sheet3!$B:$I,5,0)</f>
        <v>0</v>
      </c>
      <c r="H149" s="6" t="str">
        <f>VLOOKUP($B149,Sheet4!$B:$L,5,0)</f>
        <v>gia lai</v>
      </c>
      <c r="I149" s="6" t="str">
        <f>VLOOKUP(B149,[1]Sheet3!$D:$K,5,0)</f>
        <v xml:space="preserve">Thôn Thượng An 3, xã Song An, Tx A Khê, tỉnh Gia Lai </v>
      </c>
      <c r="J149" s="6" t="s">
        <v>821</v>
      </c>
      <c r="K149" s="6">
        <f>VLOOKUP($B149,Sheet3!$B:$I,6,0)</f>
        <v>0</v>
      </c>
      <c r="L149" s="6" t="str">
        <f>VLOOKUP($B149,Sheet4!$B:$L,10,0)</f>
        <v>Kinh</v>
      </c>
      <c r="M149" s="6" t="s">
        <v>8876</v>
      </c>
      <c r="N149" s="6">
        <f>VLOOKUP($B149,Sheet3!$B:$I,7,0)</f>
        <v>0</v>
      </c>
      <c r="O149" s="6" t="str">
        <f>VLOOKUP($B149,Sheet4!$B:$L,11,0)</f>
        <v>không</v>
      </c>
      <c r="P149" s="6" t="s">
        <v>8869</v>
      </c>
      <c r="Q149" s="5" t="s">
        <v>375</v>
      </c>
      <c r="R149" s="17" t="s">
        <v>359</v>
      </c>
      <c r="S149" s="36" t="s">
        <v>500</v>
      </c>
      <c r="T149" s="10" t="s">
        <v>503</v>
      </c>
      <c r="U149" s="58">
        <v>2.06</v>
      </c>
      <c r="V149" s="9" t="s">
        <v>380</v>
      </c>
      <c r="W149" s="5" t="s">
        <v>8906</v>
      </c>
      <c r="X149" s="34"/>
      <c r="Y149" s="3" t="s">
        <v>317</v>
      </c>
      <c r="Z149" s="15"/>
      <c r="AA149" s="15"/>
      <c r="AB149" s="15"/>
      <c r="AC149" s="15"/>
    </row>
    <row r="150" spans="1:29" ht="39.75" customHeight="1">
      <c r="A150" s="24">
        <v>147</v>
      </c>
      <c r="B150" s="4">
        <v>2051047109</v>
      </c>
      <c r="C150" s="5" t="s">
        <v>381</v>
      </c>
      <c r="D150" s="6" t="str">
        <f>VLOOKUP(B150,Sheet3!$B:$I,3,0)</f>
        <v>10/12/2002</v>
      </c>
      <c r="E150" s="6" t="str">
        <f>VLOOKUP($B150,Sheet4!$B:$L,4,0)</f>
        <v>11/12/2002</v>
      </c>
      <c r="F150" s="6" t="s">
        <v>1296</v>
      </c>
      <c r="G150" s="6">
        <f>VLOOKUP($B150,Sheet3!$B:$I,5,0)</f>
        <v>0</v>
      </c>
      <c r="H150" s="6" t="str">
        <f>VLOOKUP($B150,Sheet4!$B:$L,5,0)</f>
        <v>Hà Tĩnh</v>
      </c>
      <c r="I150" s="6" t="str">
        <f>VLOOKUP(B150,[1]Sheet3!$D:$K,5,0)</f>
        <v>Hồ chí minh</v>
      </c>
      <c r="J150" s="6" t="s">
        <v>5255</v>
      </c>
      <c r="K150" s="6">
        <f>VLOOKUP($B150,Sheet3!$B:$I,6,0)</f>
        <v>0</v>
      </c>
      <c r="L150" s="6" t="str">
        <f>VLOOKUP($B150,Sheet4!$B:$L,10,0)</f>
        <v>Kinh</v>
      </c>
      <c r="M150" s="6" t="s">
        <v>8875</v>
      </c>
      <c r="N150" s="6">
        <f>VLOOKUP($B150,Sheet3!$B:$I,7,0)</f>
        <v>0</v>
      </c>
      <c r="O150" s="6" t="str">
        <f>VLOOKUP($B150,Sheet4!$B:$L,11,0)</f>
        <v>KHÔNG</v>
      </c>
      <c r="P150" s="6" t="s">
        <v>6298</v>
      </c>
      <c r="Q150" s="5" t="s">
        <v>375</v>
      </c>
      <c r="R150" s="17" t="s">
        <v>359</v>
      </c>
      <c r="S150" s="36" t="s">
        <v>500</v>
      </c>
      <c r="T150" s="10" t="s">
        <v>503</v>
      </c>
      <c r="U150" s="58">
        <v>1.99</v>
      </c>
      <c r="V150" s="9" t="s">
        <v>382</v>
      </c>
      <c r="W150" s="5" t="s">
        <v>8906</v>
      </c>
      <c r="X150" s="34"/>
      <c r="Y150" s="3" t="s">
        <v>317</v>
      </c>
      <c r="Z150" s="15"/>
      <c r="AA150" s="15"/>
      <c r="AB150" s="15"/>
      <c r="AC150" s="15"/>
    </row>
    <row r="151" spans="1:29" ht="39.75" customHeight="1">
      <c r="A151" s="24">
        <v>148</v>
      </c>
      <c r="B151" s="4">
        <v>2051047481</v>
      </c>
      <c r="C151" s="5" t="s">
        <v>383</v>
      </c>
      <c r="D151" s="6" t="str">
        <f>VLOOKUP(B151,Sheet3!$B:$I,3,0)</f>
        <v>16/04/2002</v>
      </c>
      <c r="E151" s="6" t="str">
        <f>VLOOKUP($B151,Sheet4!$B:$L,4,0)</f>
        <v>16/04/2002</v>
      </c>
      <c r="F151" s="6" t="s">
        <v>1326</v>
      </c>
      <c r="G151" s="6">
        <f>VLOOKUP($B151,Sheet3!$B:$I,5,0)</f>
        <v>0</v>
      </c>
      <c r="H151" s="6" t="str">
        <f>VLOOKUP($B151,Sheet4!$B:$L,5,0)</f>
        <v>kiên giang</v>
      </c>
      <c r="I151" s="6" t="str">
        <f>VLOOKUP(B151,[1]Sheet3!$D:$K,5,0)</f>
        <v>Kiên Giang</v>
      </c>
      <c r="J151" s="6" t="s">
        <v>892</v>
      </c>
      <c r="K151" s="6">
        <f>VLOOKUP($B151,Sheet3!$B:$I,6,0)</f>
        <v>0</v>
      </c>
      <c r="L151" s="6" t="str">
        <f>VLOOKUP($B151,Sheet4!$B:$L,10,0)</f>
        <v>Kinh</v>
      </c>
      <c r="M151" s="6" t="s">
        <v>8878</v>
      </c>
      <c r="N151" s="6">
        <f>VLOOKUP($B151,Sheet3!$B:$I,7,0)</f>
        <v>0</v>
      </c>
      <c r="O151" s="6" t="str">
        <f>VLOOKUP($B151,Sheet4!$B:$L,11,0)</f>
        <v>không</v>
      </c>
      <c r="P151" s="6" t="s">
        <v>1901</v>
      </c>
      <c r="Q151" s="5" t="s">
        <v>375</v>
      </c>
      <c r="R151" s="17" t="s">
        <v>359</v>
      </c>
      <c r="S151" s="36" t="s">
        <v>500</v>
      </c>
      <c r="T151" s="10" t="s">
        <v>503</v>
      </c>
      <c r="U151" s="58">
        <v>2.83</v>
      </c>
      <c r="V151" s="9" t="s">
        <v>384</v>
      </c>
      <c r="W151" s="5" t="s">
        <v>361</v>
      </c>
      <c r="X151" s="34" t="s">
        <v>367</v>
      </c>
      <c r="Y151" s="3" t="s">
        <v>317</v>
      </c>
      <c r="Z151" s="15"/>
      <c r="AA151" s="15"/>
      <c r="AB151" s="15"/>
      <c r="AC151" s="15"/>
    </row>
    <row r="152" spans="1:29" ht="39.75" customHeight="1">
      <c r="A152" s="24">
        <v>149</v>
      </c>
      <c r="B152" s="4">
        <v>2151047040</v>
      </c>
      <c r="C152" s="5" t="s">
        <v>385</v>
      </c>
      <c r="D152" s="6" t="e">
        <f>VLOOKUP(B152,Sheet3!$B:$I,3,0)</f>
        <v>#N/A</v>
      </c>
      <c r="E152" s="6" t="str">
        <f>VLOOKUP($B152,Sheet4!$B:$L,4,0)</f>
        <v>20/09/2003</v>
      </c>
      <c r="F152" s="6" t="s">
        <v>7139</v>
      </c>
      <c r="G152" s="6" t="e">
        <f>VLOOKUP($B152,Sheet3!$B:$I,5,0)</f>
        <v>#N/A</v>
      </c>
      <c r="H152" s="6" t="str">
        <f>VLOOKUP($B152,Sheet4!$B:$L,5,0)</f>
        <v>Hậu Giang</v>
      </c>
      <c r="I152" s="6" t="str">
        <f>VLOOKUP(B152,[1]Sheet3!$D:$K,5,0)</f>
        <v xml:space="preserve">Thành Phố Hồ Chí Minh </v>
      </c>
      <c r="J152" s="6" t="s">
        <v>5255</v>
      </c>
      <c r="K152" s="6" t="e">
        <f>VLOOKUP($B152,Sheet3!$B:$I,6,0)</f>
        <v>#N/A</v>
      </c>
      <c r="L152" s="6" t="str">
        <f>VLOOKUP($B152,Sheet4!$B:$L,10,0)</f>
        <v>Kinh</v>
      </c>
      <c r="M152" s="6" t="s">
        <v>8876</v>
      </c>
      <c r="N152" s="6" t="e">
        <f>VLOOKUP($B152,Sheet3!$B:$I,7,0)</f>
        <v>#N/A</v>
      </c>
      <c r="O152" s="6" t="str">
        <f>VLOOKUP($B152,Sheet4!$B:$L,11,0)</f>
        <v>1207</v>
      </c>
      <c r="P152" s="6" t="s">
        <v>6924</v>
      </c>
      <c r="Q152" s="5" t="s">
        <v>386</v>
      </c>
      <c r="R152" s="17" t="s">
        <v>359</v>
      </c>
      <c r="S152" s="36" t="s">
        <v>498</v>
      </c>
      <c r="T152" s="10" t="s">
        <v>503</v>
      </c>
      <c r="U152" s="58">
        <v>2.2799999999999998</v>
      </c>
      <c r="V152" s="9" t="s">
        <v>387</v>
      </c>
      <c r="W152" s="5" t="s">
        <v>361</v>
      </c>
      <c r="X152" s="34" t="s">
        <v>367</v>
      </c>
      <c r="Y152" s="3" t="s">
        <v>317</v>
      </c>
      <c r="Z152" s="15"/>
      <c r="AA152" s="15"/>
      <c r="AB152" s="15"/>
      <c r="AC152" s="15"/>
    </row>
    <row r="153" spans="1:29" ht="39.75" customHeight="1">
      <c r="A153" s="24">
        <v>150</v>
      </c>
      <c r="B153" s="4">
        <v>2151047533</v>
      </c>
      <c r="C153" s="5" t="s">
        <v>388</v>
      </c>
      <c r="D153" s="6" t="e">
        <f>VLOOKUP(B153,Sheet3!$B:$I,3,0)</f>
        <v>#N/A</v>
      </c>
      <c r="E153" s="6" t="str">
        <f>VLOOKUP($B153,Sheet4!$B:$L,4,0)</f>
        <v>13/11/2003</v>
      </c>
      <c r="F153" s="6" t="s">
        <v>7174</v>
      </c>
      <c r="G153" s="6" t="e">
        <f>VLOOKUP($B153,Sheet3!$B:$I,5,0)</f>
        <v>#N/A</v>
      </c>
      <c r="H153" s="6" t="str">
        <f>VLOOKUP($B153,Sheet4!$B:$L,5,0)</f>
        <v>Thanh Hóa</v>
      </c>
      <c r="I153" s="6" t="str">
        <f>VLOOKUP(B153,[1]Sheet3!$D:$K,5,0)</f>
        <v>vân sơn triệu sơn thanh hoá</v>
      </c>
      <c r="J153" s="6" t="s">
        <v>817</v>
      </c>
      <c r="K153" s="6" t="e">
        <f>VLOOKUP($B153,Sheet3!$B:$I,6,0)</f>
        <v>#N/A</v>
      </c>
      <c r="L153" s="6" t="str">
        <f>VLOOKUP($B153,Sheet4!$B:$L,10,0)</f>
        <v>Kinh</v>
      </c>
      <c r="M153" s="6" t="s">
        <v>8878</v>
      </c>
      <c r="N153" s="6" t="e">
        <f>VLOOKUP($B153,Sheet3!$B:$I,7,0)</f>
        <v>#N/A</v>
      </c>
      <c r="O153" s="6" t="str">
        <f>VLOOKUP($B153,Sheet4!$B:$L,11,0)</f>
        <v>34</v>
      </c>
      <c r="P153" s="6" t="s">
        <v>1901</v>
      </c>
      <c r="Q153" s="5" t="s">
        <v>386</v>
      </c>
      <c r="R153" s="17" t="s">
        <v>359</v>
      </c>
      <c r="S153" s="36" t="s">
        <v>498</v>
      </c>
      <c r="T153" s="10" t="s">
        <v>503</v>
      </c>
      <c r="U153" s="58">
        <v>2.3199999999999998</v>
      </c>
      <c r="V153" s="9" t="s">
        <v>389</v>
      </c>
      <c r="W153" s="5" t="s">
        <v>361</v>
      </c>
      <c r="X153" s="34" t="s">
        <v>367</v>
      </c>
      <c r="Y153" s="3" t="s">
        <v>317</v>
      </c>
      <c r="Z153" s="15"/>
      <c r="AA153" s="15"/>
      <c r="AB153" s="15"/>
      <c r="AC153" s="15"/>
    </row>
    <row r="154" spans="1:29" ht="39.75" customHeight="1">
      <c r="A154" s="24">
        <v>151</v>
      </c>
      <c r="B154" s="4">
        <v>2151047548</v>
      </c>
      <c r="C154" s="5" t="s">
        <v>390</v>
      </c>
      <c r="D154" s="6" t="e">
        <f>VLOOKUP(B154,Sheet3!$B:$I,3,0)</f>
        <v>#N/A</v>
      </c>
      <c r="E154" s="6" t="str">
        <f>VLOOKUP($B154,Sheet4!$B:$L,4,0)</f>
        <v>08/11/2003</v>
      </c>
      <c r="F154" s="6" t="s">
        <v>7184</v>
      </c>
      <c r="G154" s="6" t="e">
        <f>VLOOKUP($B154,Sheet3!$B:$I,5,0)</f>
        <v>#N/A</v>
      </c>
      <c r="H154" s="6" t="str">
        <f>VLOOKUP($B154,Sheet4!$B:$L,5,0)</f>
        <v>Cà Mau</v>
      </c>
      <c r="I154" s="6" t="e">
        <f>VLOOKUP(B154,[1]Sheet3!$D:$K,5,0)</f>
        <v>#N/A</v>
      </c>
      <c r="J154" s="6" t="s">
        <v>861</v>
      </c>
      <c r="K154" s="6" t="e">
        <f>VLOOKUP($B154,Sheet3!$B:$I,6,0)</f>
        <v>#N/A</v>
      </c>
      <c r="L154" s="6" t="str">
        <f>VLOOKUP($B154,Sheet4!$B:$L,10,0)</f>
        <v>Kinh</v>
      </c>
      <c r="M154" s="6" t="s">
        <v>1895</v>
      </c>
      <c r="N154" s="6" t="e">
        <f>VLOOKUP($B154,Sheet3!$B:$I,7,0)</f>
        <v>#N/A</v>
      </c>
      <c r="O154" s="6" t="str">
        <f>VLOOKUP($B154,Sheet4!$B:$L,11,0)</f>
        <v>49</v>
      </c>
      <c r="P154" s="6"/>
      <c r="Q154" s="5" t="s">
        <v>386</v>
      </c>
      <c r="R154" s="17" t="s">
        <v>359</v>
      </c>
      <c r="S154" s="36" t="s">
        <v>498</v>
      </c>
      <c r="T154" s="10" t="s">
        <v>503</v>
      </c>
      <c r="U154" s="58">
        <v>2.37</v>
      </c>
      <c r="V154" s="9" t="s">
        <v>391</v>
      </c>
      <c r="W154" s="5" t="s">
        <v>361</v>
      </c>
      <c r="X154" s="34" t="s">
        <v>367</v>
      </c>
      <c r="Y154" s="3" t="s">
        <v>317</v>
      </c>
      <c r="Z154" s="15"/>
      <c r="AA154" s="15"/>
      <c r="AB154" s="15"/>
      <c r="AC154" s="15"/>
    </row>
    <row r="155" spans="1:29" ht="39.75" customHeight="1">
      <c r="A155" s="24">
        <v>152</v>
      </c>
      <c r="B155" s="4">
        <v>2151047031</v>
      </c>
      <c r="C155" s="5" t="s">
        <v>392</v>
      </c>
      <c r="D155" s="6" t="e">
        <f>VLOOKUP(B155,Sheet3!$B:$I,3,0)</f>
        <v>#N/A</v>
      </c>
      <c r="E155" s="6" t="str">
        <f>VLOOKUP($B155,Sheet4!$B:$L,4,0)</f>
        <v>16/10/2003</v>
      </c>
      <c r="F155" s="6" t="s">
        <v>7180</v>
      </c>
      <c r="G155" s="6" t="e">
        <f>VLOOKUP($B155,Sheet3!$B:$I,5,0)</f>
        <v>#N/A</v>
      </c>
      <c r="H155" s="6" t="str">
        <f>VLOOKUP($B155,Sheet4!$B:$L,5,0)</f>
        <v>Gia Lai</v>
      </c>
      <c r="I155" s="6" t="str">
        <f>VLOOKUP(B155,[1]Sheet3!$D:$K,5,0)</f>
        <v>Thành Phố Pleiku, Tỉnh Gia Lai</v>
      </c>
      <c r="J155" s="6" t="s">
        <v>821</v>
      </c>
      <c r="K155" s="6" t="e">
        <f>VLOOKUP($B155,Sheet3!$B:$I,6,0)</f>
        <v>#N/A</v>
      </c>
      <c r="L155" s="6" t="str">
        <f>VLOOKUP($B155,Sheet4!$B:$L,10,0)</f>
        <v>Kinh</v>
      </c>
      <c r="M155" s="6" t="s">
        <v>1895</v>
      </c>
      <c r="N155" s="6" t="e">
        <f>VLOOKUP($B155,Sheet3!$B:$I,7,0)</f>
        <v>#N/A</v>
      </c>
      <c r="O155" s="6" t="str">
        <f>VLOOKUP($B155,Sheet4!$B:$L,11,0)</f>
        <v>1198</v>
      </c>
      <c r="P155" s="6" t="s">
        <v>1901</v>
      </c>
      <c r="Q155" s="5" t="s">
        <v>386</v>
      </c>
      <c r="R155" s="17" t="s">
        <v>359</v>
      </c>
      <c r="S155" s="36" t="s">
        <v>498</v>
      </c>
      <c r="T155" s="10" t="s">
        <v>503</v>
      </c>
      <c r="U155" s="58">
        <v>3.1</v>
      </c>
      <c r="V155" s="9" t="s">
        <v>393</v>
      </c>
      <c r="W155" s="5" t="s">
        <v>361</v>
      </c>
      <c r="X155" s="34"/>
      <c r="Y155" s="3" t="s">
        <v>317</v>
      </c>
      <c r="Z155" s="15"/>
      <c r="AA155" s="15"/>
      <c r="AB155" s="15"/>
      <c r="AC155" s="15"/>
    </row>
    <row r="156" spans="1:29" ht="39.75" customHeight="1">
      <c r="A156" s="24">
        <v>153</v>
      </c>
      <c r="B156" s="4">
        <v>2151047549</v>
      </c>
      <c r="C156" s="5" t="s">
        <v>394</v>
      </c>
      <c r="D156" s="6" t="e">
        <f>VLOOKUP(B156,Sheet3!$B:$I,3,0)</f>
        <v>#N/A</v>
      </c>
      <c r="E156" s="6" t="str">
        <f>VLOOKUP($B156,Sheet4!$B:$L,4,0)</f>
        <v>12/09/2003</v>
      </c>
      <c r="F156" s="6" t="s">
        <v>8898</v>
      </c>
      <c r="G156" s="6" t="e">
        <f>VLOOKUP($B156,Sheet3!$B:$I,5,0)</f>
        <v>#N/A</v>
      </c>
      <c r="H156" s="6" t="str">
        <f>VLOOKUP($B156,Sheet4!$B:$L,5,0)</f>
        <v>Cà Mau</v>
      </c>
      <c r="I156" s="6" t="str">
        <f>VLOOKUP(B156,[1]Sheet3!$D:$K,5,0)</f>
        <v xml:space="preserve"> Kinh Hòn, Khánh Bình Tây, Trần Văn Thời, Cà Mau</v>
      </c>
      <c r="J156" s="6" t="s">
        <v>861</v>
      </c>
      <c r="K156" s="6" t="e">
        <f>VLOOKUP($B156,Sheet3!$B:$I,6,0)</f>
        <v>#N/A</v>
      </c>
      <c r="L156" s="6" t="str">
        <f>VLOOKUP($B156,Sheet4!$B:$L,10,0)</f>
        <v>Kinh</v>
      </c>
      <c r="M156" s="6" t="s">
        <v>1895</v>
      </c>
      <c r="N156" s="6" t="e">
        <f>VLOOKUP($B156,Sheet3!$B:$I,7,0)</f>
        <v>#N/A</v>
      </c>
      <c r="O156" s="6" t="str">
        <f>VLOOKUP($B156,Sheet4!$B:$L,11,0)</f>
        <v>50</v>
      </c>
      <c r="P156" s="6" t="s">
        <v>6298</v>
      </c>
      <c r="Q156" s="5" t="s">
        <v>386</v>
      </c>
      <c r="R156" s="17" t="s">
        <v>359</v>
      </c>
      <c r="S156" s="36" t="s">
        <v>498</v>
      </c>
      <c r="T156" s="10" t="s">
        <v>503</v>
      </c>
      <c r="U156" s="58">
        <v>2</v>
      </c>
      <c r="V156" s="9" t="s">
        <v>395</v>
      </c>
      <c r="W156" s="5" t="s">
        <v>8906</v>
      </c>
      <c r="X156" s="34"/>
      <c r="Y156" s="3" t="s">
        <v>317</v>
      </c>
      <c r="Z156" s="15"/>
      <c r="AA156" s="15"/>
      <c r="AB156" s="15"/>
      <c r="AC156" s="15"/>
    </row>
    <row r="157" spans="1:29" ht="39.75" customHeight="1">
      <c r="A157" s="24">
        <v>154</v>
      </c>
      <c r="B157" s="4">
        <v>2154077183</v>
      </c>
      <c r="C157" s="5" t="s">
        <v>396</v>
      </c>
      <c r="D157" s="6" t="e">
        <f>VLOOKUP(B157,Sheet3!$B:$I,3,0)</f>
        <v>#N/A</v>
      </c>
      <c r="E157" s="6" t="str">
        <f>VLOOKUP($B157,Sheet4!$B:$L,4,0)</f>
        <v>10/09/2003</v>
      </c>
      <c r="F157" s="6" t="s">
        <v>7188</v>
      </c>
      <c r="G157" s="6" t="e">
        <f>VLOOKUP($B157,Sheet3!$B:$I,5,0)</f>
        <v>#N/A</v>
      </c>
      <c r="H157" s="6" t="str">
        <f>VLOOKUP($B157,Sheet4!$B:$L,5,0)</f>
        <v>Kiên Giang</v>
      </c>
      <c r="I157" s="6" t="str">
        <f>VLOOKUP(B157,[1]Sheet3!$D:$K,5,0)</f>
        <v>Kiên Giang</v>
      </c>
      <c r="J157" s="6" t="s">
        <v>892</v>
      </c>
      <c r="K157" s="6" t="e">
        <f>VLOOKUP($B157,Sheet3!$B:$I,6,0)</f>
        <v>#N/A</v>
      </c>
      <c r="L157" s="6" t="str">
        <f>VLOOKUP($B157,Sheet4!$B:$L,10,0)</f>
        <v>Kinh</v>
      </c>
      <c r="M157" s="6" t="s">
        <v>1895</v>
      </c>
      <c r="N157" s="6" t="e">
        <f>VLOOKUP($B157,Sheet3!$B:$I,7,0)</f>
        <v>#N/A</v>
      </c>
      <c r="O157" s="6" t="str">
        <f>VLOOKUP($B157,Sheet4!$B:$L,11,0)</f>
        <v>1350</v>
      </c>
      <c r="P157" s="6" t="s">
        <v>8869</v>
      </c>
      <c r="Q157" s="5" t="s">
        <v>386</v>
      </c>
      <c r="R157" s="17" t="s">
        <v>359</v>
      </c>
      <c r="S157" s="36" t="s">
        <v>498</v>
      </c>
      <c r="T157" s="10" t="s">
        <v>503</v>
      </c>
      <c r="U157" s="58">
        <v>2.4900000000000002</v>
      </c>
      <c r="V157" s="9" t="s">
        <v>397</v>
      </c>
      <c r="W157" s="5" t="s">
        <v>8906</v>
      </c>
      <c r="X157" s="34"/>
      <c r="Y157" s="3" t="s">
        <v>317</v>
      </c>
      <c r="Z157" s="15"/>
      <c r="AA157" s="15"/>
      <c r="AB157" s="15"/>
      <c r="AC157" s="15"/>
    </row>
    <row r="158" spans="1:29" ht="39.75" customHeight="1">
      <c r="A158" s="24">
        <v>155</v>
      </c>
      <c r="B158" s="4">
        <v>2151047536</v>
      </c>
      <c r="C158" s="5" t="s">
        <v>398</v>
      </c>
      <c r="D158" s="6" t="e">
        <f>VLOOKUP(B158,Sheet3!$B:$I,3,0)</f>
        <v>#N/A</v>
      </c>
      <c r="E158" s="6" t="str">
        <f>VLOOKUP($B158,Sheet4!$B:$L,4,0)</f>
        <v>23/04/2003</v>
      </c>
      <c r="F158" s="6" t="s">
        <v>7175</v>
      </c>
      <c r="G158" s="6" t="e">
        <f>VLOOKUP($B158,Sheet3!$B:$I,5,0)</f>
        <v>#N/A</v>
      </c>
      <c r="H158" s="6" t="str">
        <f>VLOOKUP($B158,Sheet4!$B:$L,5,0)</f>
        <v>Lâm Đồng</v>
      </c>
      <c r="I158" s="6" t="str">
        <f>VLOOKUP(B158,[1]Sheet3!$D:$K,5,0)</f>
        <v>Lâm Đồng</v>
      </c>
      <c r="J158" s="6" t="s">
        <v>998</v>
      </c>
      <c r="K158" s="6" t="e">
        <f>VLOOKUP($B158,Sheet3!$B:$I,6,0)</f>
        <v>#N/A</v>
      </c>
      <c r="L158" s="6" t="str">
        <f>VLOOKUP($B158,Sheet4!$B:$L,10,0)</f>
        <v>Kinh</v>
      </c>
      <c r="M158" s="6" t="s">
        <v>1895</v>
      </c>
      <c r="N158" s="6" t="e">
        <f>VLOOKUP($B158,Sheet3!$B:$I,7,0)</f>
        <v>#N/A</v>
      </c>
      <c r="O158" s="6" t="str">
        <f>VLOOKUP($B158,Sheet4!$B:$L,11,0)</f>
        <v>37</v>
      </c>
      <c r="P158" s="6" t="s">
        <v>1901</v>
      </c>
      <c r="Q158" s="5" t="s">
        <v>386</v>
      </c>
      <c r="R158" s="17" t="s">
        <v>359</v>
      </c>
      <c r="S158" s="36" t="s">
        <v>498</v>
      </c>
      <c r="T158" s="10" t="s">
        <v>503</v>
      </c>
      <c r="U158" s="58">
        <v>2.15</v>
      </c>
      <c r="V158" s="9" t="s">
        <v>399</v>
      </c>
      <c r="W158" s="5" t="s">
        <v>8906</v>
      </c>
      <c r="X158" s="34"/>
      <c r="Y158" s="3" t="s">
        <v>317</v>
      </c>
      <c r="Z158" s="15"/>
      <c r="AA158" s="15"/>
      <c r="AB158" s="15"/>
      <c r="AC158" s="15"/>
    </row>
    <row r="159" spans="1:29" ht="39.75" customHeight="1">
      <c r="A159" s="24">
        <v>156</v>
      </c>
      <c r="B159" s="4">
        <v>2151047225</v>
      </c>
      <c r="C159" s="5" t="s">
        <v>400</v>
      </c>
      <c r="D159" s="6" t="e">
        <f>VLOOKUP(B159,Sheet3!$B:$I,3,0)</f>
        <v>#N/A</v>
      </c>
      <c r="E159" s="6" t="str">
        <f>VLOOKUP($B159,Sheet4!$B:$L,4,0)</f>
        <v>24/01/2003</v>
      </c>
      <c r="F159" s="6" t="s">
        <v>7131</v>
      </c>
      <c r="G159" s="6" t="e">
        <f>VLOOKUP($B159,Sheet3!$B:$I,5,0)</f>
        <v>#N/A</v>
      </c>
      <c r="H159" s="6" t="str">
        <f>VLOOKUP($B159,Sheet4!$B:$L,5,0)</f>
        <v>Đồng Nai</v>
      </c>
      <c r="I159" s="6" t="str">
        <f>VLOOKUP(B159,[1]Sheet3!$D:$K,5,0)</f>
        <v>ĐỒNG NAI</v>
      </c>
      <c r="J159" s="6" t="s">
        <v>835</v>
      </c>
      <c r="K159" s="6" t="e">
        <f>VLOOKUP($B159,Sheet3!$B:$I,6,0)</f>
        <v>#N/A</v>
      </c>
      <c r="L159" s="6" t="str">
        <f>VLOOKUP($B159,Sheet4!$B:$L,10,0)</f>
        <v>Kinh</v>
      </c>
      <c r="M159" s="6" t="s">
        <v>8874</v>
      </c>
      <c r="N159" s="6" t="e">
        <f>VLOOKUP($B159,Sheet3!$B:$I,7,0)</f>
        <v>#N/A</v>
      </c>
      <c r="O159" s="6" t="str">
        <f>VLOOKUP($B159,Sheet4!$B:$L,11,0)</f>
        <v>1392</v>
      </c>
      <c r="P159" s="6" t="s">
        <v>1901</v>
      </c>
      <c r="Q159" s="5" t="s">
        <v>386</v>
      </c>
      <c r="R159" s="17" t="s">
        <v>359</v>
      </c>
      <c r="S159" s="36" t="s">
        <v>498</v>
      </c>
      <c r="T159" s="10" t="s">
        <v>503</v>
      </c>
      <c r="U159" s="58">
        <v>2.29</v>
      </c>
      <c r="V159" s="9" t="s">
        <v>401</v>
      </c>
      <c r="W159" s="5" t="s">
        <v>8906</v>
      </c>
      <c r="X159" s="34"/>
      <c r="Y159" s="3" t="s">
        <v>317</v>
      </c>
      <c r="Z159" s="15"/>
      <c r="AA159" s="15"/>
      <c r="AB159" s="15"/>
      <c r="AC159" s="15"/>
    </row>
    <row r="160" spans="1:29" ht="39.75" customHeight="1">
      <c r="A160" s="24">
        <v>157</v>
      </c>
      <c r="B160" s="4">
        <v>2151047554</v>
      </c>
      <c r="C160" s="5" t="s">
        <v>402</v>
      </c>
      <c r="D160" s="6" t="e">
        <f>VLOOKUP(B160,Sheet3!$B:$I,3,0)</f>
        <v>#N/A</v>
      </c>
      <c r="E160" s="6" t="str">
        <f>VLOOKUP($B160,Sheet4!$B:$L,4,0)</f>
        <v>10/03/2003</v>
      </c>
      <c r="F160" s="6" t="s">
        <v>7102</v>
      </c>
      <c r="G160" s="6" t="e">
        <f>VLOOKUP($B160,Sheet3!$B:$I,5,0)</f>
        <v>#N/A</v>
      </c>
      <c r="H160" s="6" t="str">
        <f>VLOOKUP($B160,Sheet4!$B:$L,5,0)</f>
        <v>BÌnh Định</v>
      </c>
      <c r="I160" s="6" t="str">
        <f>VLOOKUP(B160,[1]Sheet3!$D:$K,5,0)</f>
        <v>Vân Tường, Bình Hòa, Tây Sơn, Bình Định</v>
      </c>
      <c r="J160" s="6" t="s">
        <v>821</v>
      </c>
      <c r="K160" s="6" t="e">
        <f>VLOOKUP($B160,Sheet3!$B:$I,6,0)</f>
        <v>#N/A</v>
      </c>
      <c r="L160" s="6" t="str">
        <f>VLOOKUP($B160,Sheet4!$B:$L,10,0)</f>
        <v>Kinh</v>
      </c>
      <c r="M160" s="6" t="s">
        <v>1895</v>
      </c>
      <c r="N160" s="6" t="e">
        <f>VLOOKUP($B160,Sheet3!$B:$I,7,0)</f>
        <v>#N/A</v>
      </c>
      <c r="O160" s="6" t="str">
        <f>VLOOKUP($B160,Sheet4!$B:$L,11,0)</f>
        <v>55</v>
      </c>
      <c r="P160" s="6" t="s">
        <v>1901</v>
      </c>
      <c r="Q160" s="5" t="s">
        <v>386</v>
      </c>
      <c r="R160" s="17" t="s">
        <v>359</v>
      </c>
      <c r="S160" s="36" t="s">
        <v>498</v>
      </c>
      <c r="T160" s="10" t="s">
        <v>503</v>
      </c>
      <c r="U160" s="58">
        <v>2.2799999999999998</v>
      </c>
      <c r="V160" s="9" t="s">
        <v>403</v>
      </c>
      <c r="W160" s="5" t="s">
        <v>8906</v>
      </c>
      <c r="X160" s="34"/>
      <c r="Y160" s="3" t="s">
        <v>317</v>
      </c>
      <c r="Z160" s="15"/>
      <c r="AA160" s="15"/>
      <c r="AB160" s="15"/>
      <c r="AC160" s="15"/>
    </row>
    <row r="161" spans="1:29" ht="39.75" customHeight="1">
      <c r="A161" s="24">
        <v>158</v>
      </c>
      <c r="B161" s="4">
        <v>2151047029</v>
      </c>
      <c r="C161" s="5" t="s">
        <v>404</v>
      </c>
      <c r="D161" s="6" t="e">
        <f>VLOOKUP(B161,Sheet3!$B:$I,3,0)</f>
        <v>#N/A</v>
      </c>
      <c r="E161" s="6" t="str">
        <f>VLOOKUP($B161,Sheet4!$B:$L,4,0)</f>
        <v>26/05/2003</v>
      </c>
      <c r="F161" s="6" t="s">
        <v>7178</v>
      </c>
      <c r="G161" s="6" t="e">
        <f>VLOOKUP($B161,Sheet3!$B:$I,5,0)</f>
        <v>#N/A</v>
      </c>
      <c r="H161" s="6" t="str">
        <f>VLOOKUP($B161,Sheet4!$B:$L,5,0)</f>
        <v>Tiền Giang</v>
      </c>
      <c r="I161" s="6" t="e">
        <f>VLOOKUP(B161,[1]Sheet3!$D:$K,5,0)</f>
        <v>#N/A</v>
      </c>
      <c r="J161" s="6" t="s">
        <v>790</v>
      </c>
      <c r="K161" s="6" t="e">
        <f>VLOOKUP($B161,Sheet3!$B:$I,6,0)</f>
        <v>#N/A</v>
      </c>
      <c r="L161" s="6" t="str">
        <f>VLOOKUP($B161,Sheet4!$B:$L,10,0)</f>
        <v>Kinh</v>
      </c>
      <c r="M161" s="6" t="s">
        <v>1895</v>
      </c>
      <c r="N161" s="6" t="e">
        <f>VLOOKUP($B161,Sheet3!$B:$I,7,0)</f>
        <v>#N/A</v>
      </c>
      <c r="O161" s="6" t="str">
        <f>VLOOKUP($B161,Sheet4!$B:$L,11,0)</f>
        <v>1196</v>
      </c>
      <c r="P161" s="6"/>
      <c r="Q161" s="5" t="s">
        <v>386</v>
      </c>
      <c r="R161" s="17" t="s">
        <v>359</v>
      </c>
      <c r="S161" s="36" t="s">
        <v>498</v>
      </c>
      <c r="T161" s="10" t="s">
        <v>503</v>
      </c>
      <c r="U161" s="58">
        <v>2.44</v>
      </c>
      <c r="V161" s="9" t="s">
        <v>405</v>
      </c>
      <c r="W161" s="5" t="s">
        <v>361</v>
      </c>
      <c r="X161" s="34" t="s">
        <v>367</v>
      </c>
      <c r="Y161" s="3" t="s">
        <v>317</v>
      </c>
      <c r="Z161" s="15"/>
      <c r="AA161" s="15"/>
      <c r="AB161" s="15"/>
      <c r="AC161" s="15"/>
    </row>
    <row r="162" spans="1:29" ht="39.75" customHeight="1">
      <c r="A162" s="24">
        <v>159</v>
      </c>
      <c r="B162" s="4">
        <v>2151047032</v>
      </c>
      <c r="C162" s="5" t="s">
        <v>406</v>
      </c>
      <c r="D162" s="6" t="e">
        <f>VLOOKUP(B162,Sheet3!$B:$I,3,0)</f>
        <v>#N/A</v>
      </c>
      <c r="E162" s="6" t="str">
        <f>VLOOKUP($B162,Sheet4!$B:$L,4,0)</f>
        <v>21/12/2003</v>
      </c>
      <c r="F162" s="6" t="s">
        <v>7121</v>
      </c>
      <c r="G162" s="6" t="e">
        <f>VLOOKUP($B162,Sheet3!$B:$I,5,0)</f>
        <v>#N/A</v>
      </c>
      <c r="H162" s="6" t="str">
        <f>VLOOKUP($B162,Sheet4!$B:$L,5,0)</f>
        <v>Bình Định</v>
      </c>
      <c r="I162" s="6" t="str">
        <f>VLOOKUP(B162,[1]Sheet3!$D:$K,5,0)</f>
        <v>Bình Định</v>
      </c>
      <c r="J162" s="6" t="s">
        <v>821</v>
      </c>
      <c r="K162" s="6" t="e">
        <f>VLOOKUP($B162,Sheet3!$B:$I,6,0)</f>
        <v>#N/A</v>
      </c>
      <c r="L162" s="6" t="str">
        <f>VLOOKUP($B162,Sheet4!$B:$L,10,0)</f>
        <v>Kinh</v>
      </c>
      <c r="M162" s="6" t="s">
        <v>1895</v>
      </c>
      <c r="N162" s="6" t="e">
        <f>VLOOKUP($B162,Sheet3!$B:$I,7,0)</f>
        <v>#N/A</v>
      </c>
      <c r="O162" s="6" t="str">
        <f>VLOOKUP($B162,Sheet4!$B:$L,11,0)</f>
        <v>1199</v>
      </c>
      <c r="P162" s="6" t="s">
        <v>1901</v>
      </c>
      <c r="Q162" s="5" t="s">
        <v>386</v>
      </c>
      <c r="R162" s="17" t="s">
        <v>359</v>
      </c>
      <c r="S162" s="36" t="s">
        <v>498</v>
      </c>
      <c r="T162" s="10" t="s">
        <v>503</v>
      </c>
      <c r="U162" s="58">
        <v>2.44</v>
      </c>
      <c r="V162" s="9" t="s">
        <v>407</v>
      </c>
      <c r="W162" s="5" t="s">
        <v>361</v>
      </c>
      <c r="X162" s="34" t="s">
        <v>367</v>
      </c>
      <c r="Y162" s="3" t="s">
        <v>317</v>
      </c>
      <c r="Z162" s="15"/>
      <c r="AA162" s="15"/>
      <c r="AB162" s="15"/>
      <c r="AC162" s="15"/>
    </row>
    <row r="163" spans="1:29" ht="39.75" customHeight="1">
      <c r="A163" s="24">
        <v>160</v>
      </c>
      <c r="B163" s="4">
        <v>2151047044</v>
      </c>
      <c r="C163" s="5" t="s">
        <v>408</v>
      </c>
      <c r="D163" s="6" t="e">
        <f>VLOOKUP(B163,Sheet3!$B:$I,3,0)</f>
        <v>#N/A</v>
      </c>
      <c r="E163" s="6" t="str">
        <f>VLOOKUP($B163,Sheet4!$B:$L,4,0)</f>
        <v>16/03/2003</v>
      </c>
      <c r="F163" s="6" t="s">
        <v>7104</v>
      </c>
      <c r="G163" s="6" t="e">
        <f>VLOOKUP($B163,Sheet3!$B:$I,5,0)</f>
        <v>#N/A</v>
      </c>
      <c r="H163" s="6" t="str">
        <f>VLOOKUP($B163,Sheet4!$B:$L,5,0)</f>
        <v>Quảng Ngãi</v>
      </c>
      <c r="I163" s="6" t="str">
        <f>VLOOKUP(B163,[1]Sheet3!$D:$K,5,0)</f>
        <v>Khu dân cư số 15, Tổ dân phố 3, Thị trấn Mộ Đức, huyện Mộ Đức, tỉnh Quảng Ngãi</v>
      </c>
      <c r="J163" s="6" t="s">
        <v>1032</v>
      </c>
      <c r="K163" s="6" t="e">
        <f>VLOOKUP($B163,Sheet3!$B:$I,6,0)</f>
        <v>#N/A</v>
      </c>
      <c r="L163" s="6" t="str">
        <f>VLOOKUP($B163,Sheet4!$B:$L,10,0)</f>
        <v>Kinh</v>
      </c>
      <c r="M163" s="6" t="s">
        <v>1895</v>
      </c>
      <c r="N163" s="6" t="e">
        <f>VLOOKUP($B163,Sheet3!$B:$I,7,0)</f>
        <v>#N/A</v>
      </c>
      <c r="O163" s="6" t="str">
        <f>VLOOKUP($B163,Sheet4!$B:$L,11,0)</f>
        <v>1211</v>
      </c>
      <c r="P163" s="6" t="s">
        <v>1901</v>
      </c>
      <c r="Q163" s="5" t="s">
        <v>386</v>
      </c>
      <c r="R163" s="17" t="s">
        <v>359</v>
      </c>
      <c r="S163" s="36" t="s">
        <v>498</v>
      </c>
      <c r="T163" s="10" t="s">
        <v>503</v>
      </c>
      <c r="U163" s="58">
        <v>2.52</v>
      </c>
      <c r="V163" s="9" t="s">
        <v>409</v>
      </c>
      <c r="W163" s="5" t="s">
        <v>8906</v>
      </c>
      <c r="X163" s="34"/>
      <c r="Y163" s="3" t="s">
        <v>317</v>
      </c>
      <c r="Z163" s="15"/>
      <c r="AA163" s="15"/>
      <c r="AB163" s="15"/>
      <c r="AC163" s="15"/>
    </row>
    <row r="164" spans="1:29" ht="39.75" customHeight="1">
      <c r="A164" s="24">
        <v>161</v>
      </c>
      <c r="B164" s="4">
        <v>2151047560</v>
      </c>
      <c r="C164" s="5" t="s">
        <v>410</v>
      </c>
      <c r="D164" s="6" t="e">
        <f>VLOOKUP(B164,Sheet3!$B:$I,3,0)</f>
        <v>#N/A</v>
      </c>
      <c r="E164" s="6" t="str">
        <f>VLOOKUP($B164,Sheet4!$B:$L,4,0)</f>
        <v>30/10/2003</v>
      </c>
      <c r="F164" s="6" t="s">
        <v>7195</v>
      </c>
      <c r="G164" s="6" t="e">
        <f>VLOOKUP($B164,Sheet3!$B:$I,5,0)</f>
        <v>#N/A</v>
      </c>
      <c r="H164" s="6" t="str">
        <f>VLOOKUP($B164,Sheet4!$B:$L,5,0)</f>
        <v>Đăk Lăk</v>
      </c>
      <c r="I164" s="6" t="str">
        <f>VLOOKUP(B164,[1]Sheet3!$D:$K,5,0)</f>
        <v>Huyện Buôn Đôn, tỉnh Đăk Lăk</v>
      </c>
      <c r="J164" s="6" t="s">
        <v>8879</v>
      </c>
      <c r="K164" s="6" t="e">
        <f>VLOOKUP($B164,Sheet3!$B:$I,6,0)</f>
        <v>#N/A</v>
      </c>
      <c r="L164" s="6" t="str">
        <f>VLOOKUP($B164,Sheet4!$B:$L,10,0)</f>
        <v>Kinh</v>
      </c>
      <c r="M164" s="6" t="s">
        <v>1895</v>
      </c>
      <c r="N164" s="6" t="e">
        <f>VLOOKUP($B164,Sheet3!$B:$I,7,0)</f>
        <v>#N/A</v>
      </c>
      <c r="O164" s="6" t="str">
        <f>VLOOKUP($B164,Sheet4!$B:$L,11,0)</f>
        <v>61</v>
      </c>
      <c r="P164" s="6" t="s">
        <v>1901</v>
      </c>
      <c r="Q164" s="5" t="s">
        <v>386</v>
      </c>
      <c r="R164" s="17" t="s">
        <v>359</v>
      </c>
      <c r="S164" s="36" t="s">
        <v>498</v>
      </c>
      <c r="T164" s="10" t="s">
        <v>503</v>
      </c>
      <c r="U164" s="58">
        <v>3.37</v>
      </c>
      <c r="V164" s="9" t="s">
        <v>411</v>
      </c>
      <c r="W164" s="5" t="s">
        <v>361</v>
      </c>
      <c r="X164" s="34"/>
      <c r="Y164" s="3" t="s">
        <v>317</v>
      </c>
      <c r="Z164" s="15"/>
      <c r="AA164" s="15"/>
      <c r="AB164" s="15"/>
      <c r="AC164" s="15"/>
    </row>
    <row r="165" spans="1:29" ht="39.75" customHeight="1">
      <c r="A165" s="24">
        <v>162</v>
      </c>
      <c r="B165" s="4">
        <v>2151047045</v>
      </c>
      <c r="C165" s="5" t="s">
        <v>412</v>
      </c>
      <c r="D165" s="6" t="e">
        <f>VLOOKUP(B165,Sheet3!$B:$I,3,0)</f>
        <v>#N/A</v>
      </c>
      <c r="E165" s="6" t="str">
        <f>VLOOKUP($B165,Sheet4!$B:$L,4,0)</f>
        <v>24/11/2003</v>
      </c>
      <c r="F165" s="6" t="s">
        <v>8899</v>
      </c>
      <c r="G165" s="6" t="e">
        <f>VLOOKUP($B165,Sheet3!$B:$I,5,0)</f>
        <v>#N/A</v>
      </c>
      <c r="H165" s="6" t="str">
        <f>VLOOKUP($B165,Sheet4!$B:$L,5,0)</f>
        <v>Bến Tre</v>
      </c>
      <c r="I165" s="6" t="str">
        <f>VLOOKUP(B165,[1]Sheet3!$D:$K,5,0)</f>
        <v>tỉnh Trà Vinh</v>
      </c>
      <c r="J165" s="6" t="s">
        <v>8903</v>
      </c>
      <c r="K165" s="6" t="e">
        <f>VLOOKUP($B165,Sheet3!$B:$I,6,0)</f>
        <v>#N/A</v>
      </c>
      <c r="L165" s="6" t="str">
        <f>VLOOKUP($B165,Sheet4!$B:$L,10,0)</f>
        <v>Kinh</v>
      </c>
      <c r="M165" s="6" t="s">
        <v>8878</v>
      </c>
      <c r="N165" s="6" t="e">
        <f>VLOOKUP($B165,Sheet3!$B:$I,7,0)</f>
        <v>#N/A</v>
      </c>
      <c r="O165" s="6" t="str">
        <f>VLOOKUP($B165,Sheet4!$B:$L,11,0)</f>
        <v>1212</v>
      </c>
      <c r="P165" s="6" t="s">
        <v>1901</v>
      </c>
      <c r="Q165" s="5" t="s">
        <v>386</v>
      </c>
      <c r="R165" s="17" t="s">
        <v>359</v>
      </c>
      <c r="S165" s="36" t="s">
        <v>498</v>
      </c>
      <c r="T165" s="10" t="s">
        <v>503</v>
      </c>
      <c r="U165" s="58">
        <v>2.33</v>
      </c>
      <c r="V165" s="9" t="s">
        <v>413</v>
      </c>
      <c r="W165" s="5" t="s">
        <v>8906</v>
      </c>
      <c r="X165" s="34"/>
      <c r="Y165" s="3" t="s">
        <v>317</v>
      </c>
      <c r="Z165" s="15"/>
      <c r="AA165" s="15"/>
      <c r="AB165" s="15"/>
      <c r="AC165" s="15"/>
    </row>
    <row r="166" spans="1:29" ht="39.75" customHeight="1">
      <c r="A166" s="24">
        <v>163</v>
      </c>
      <c r="B166" s="4">
        <v>2151047574</v>
      </c>
      <c r="C166" s="5" t="s">
        <v>414</v>
      </c>
      <c r="D166" s="6" t="e">
        <f>VLOOKUP(B166,Sheet3!$B:$I,3,0)</f>
        <v>#N/A</v>
      </c>
      <c r="E166" s="6" t="str">
        <f>VLOOKUP($B166,Sheet4!$B:$L,4,0)</f>
        <v>12/09/2003</v>
      </c>
      <c r="F166" s="6" t="s">
        <v>7185</v>
      </c>
      <c r="G166" s="6" t="e">
        <f>VLOOKUP($B166,Sheet3!$B:$I,5,0)</f>
        <v>#N/A</v>
      </c>
      <c r="H166" s="6" t="str">
        <f>VLOOKUP($B166,Sheet4!$B:$L,5,0)</f>
        <v>Cần Thơ</v>
      </c>
      <c r="I166" s="6" t="str">
        <f>VLOOKUP(B166,[1]Sheet3!$D:$K,5,0)</f>
        <v>Cần Thơ</v>
      </c>
      <c r="J166" s="6" t="s">
        <v>975</v>
      </c>
      <c r="K166" s="6" t="e">
        <f>VLOOKUP($B166,Sheet3!$B:$I,6,0)</f>
        <v>#N/A</v>
      </c>
      <c r="L166" s="6" t="str">
        <f>VLOOKUP($B166,Sheet4!$B:$L,10,0)</f>
        <v>Kinh</v>
      </c>
      <c r="M166" s="6" t="s">
        <v>1895</v>
      </c>
      <c r="N166" s="6" t="e">
        <f>VLOOKUP($B166,Sheet3!$B:$I,7,0)</f>
        <v>#N/A</v>
      </c>
      <c r="O166" s="6" t="str">
        <f>VLOOKUP($B166,Sheet4!$B:$L,11,0)</f>
        <v>75</v>
      </c>
      <c r="P166" s="6" t="s">
        <v>1896</v>
      </c>
      <c r="Q166" s="5" t="s">
        <v>386</v>
      </c>
      <c r="R166" s="17" t="s">
        <v>359</v>
      </c>
      <c r="S166" s="36" t="s">
        <v>498</v>
      </c>
      <c r="T166" s="10" t="s">
        <v>503</v>
      </c>
      <c r="U166" s="58">
        <v>2.66</v>
      </c>
      <c r="V166" s="9" t="s">
        <v>415</v>
      </c>
      <c r="W166" s="5" t="s">
        <v>361</v>
      </c>
      <c r="X166" s="34"/>
      <c r="Y166" s="3" t="s">
        <v>317</v>
      </c>
      <c r="Z166" s="15"/>
      <c r="AA166" s="15"/>
      <c r="AB166" s="15"/>
      <c r="AC166" s="15"/>
    </row>
    <row r="167" spans="1:29" ht="39.75" customHeight="1">
      <c r="A167" s="24">
        <v>164</v>
      </c>
      <c r="B167" s="4">
        <v>2151047559</v>
      </c>
      <c r="C167" s="5" t="s">
        <v>416</v>
      </c>
      <c r="D167" s="6" t="e">
        <f>VLOOKUP(B167,Sheet3!$B:$I,3,0)</f>
        <v>#N/A</v>
      </c>
      <c r="E167" s="6" t="str">
        <f>VLOOKUP($B167,Sheet4!$B:$L,4,0)</f>
        <v>13/02/2003</v>
      </c>
      <c r="F167" s="6" t="s">
        <v>2595</v>
      </c>
      <c r="G167" s="6" t="e">
        <f>VLOOKUP($B167,Sheet3!$B:$I,5,0)</f>
        <v>#N/A</v>
      </c>
      <c r="H167" s="6" t="str">
        <f>VLOOKUP($B167,Sheet4!$B:$L,5,0)</f>
        <v>Nghệ An</v>
      </c>
      <c r="I167" s="6" t="str">
        <f>VLOOKUP(B167,[1]Sheet3!$D:$K,5,0)</f>
        <v>Cát Văn Thanh Chương Nghệ An</v>
      </c>
      <c r="J167" s="6" t="s">
        <v>857</v>
      </c>
      <c r="K167" s="6" t="e">
        <f>VLOOKUP($B167,Sheet3!$B:$I,6,0)</f>
        <v>#N/A</v>
      </c>
      <c r="L167" s="6" t="str">
        <f>VLOOKUP($B167,Sheet4!$B:$L,10,0)</f>
        <v>Kinh</v>
      </c>
      <c r="M167" s="6" t="s">
        <v>8878</v>
      </c>
      <c r="N167" s="6" t="e">
        <f>VLOOKUP($B167,Sheet3!$B:$I,7,0)</f>
        <v>#N/A</v>
      </c>
      <c r="O167" s="6" t="str">
        <f>VLOOKUP($B167,Sheet4!$B:$L,11,0)</f>
        <v>60</v>
      </c>
      <c r="P167" s="6" t="s">
        <v>1901</v>
      </c>
      <c r="Q167" s="5" t="s">
        <v>386</v>
      </c>
      <c r="R167" s="17" t="s">
        <v>359</v>
      </c>
      <c r="S167" s="36" t="s">
        <v>498</v>
      </c>
      <c r="T167" s="10" t="s">
        <v>503</v>
      </c>
      <c r="U167" s="58">
        <v>2.58</v>
      </c>
      <c r="V167" s="9" t="s">
        <v>417</v>
      </c>
      <c r="W167" s="5" t="s">
        <v>361</v>
      </c>
      <c r="X167" s="34"/>
      <c r="Y167" s="3" t="s">
        <v>317</v>
      </c>
      <c r="Z167" s="15"/>
      <c r="AA167" s="15"/>
      <c r="AB167" s="15"/>
      <c r="AC167" s="15"/>
    </row>
    <row r="168" spans="1:29" ht="39.75" customHeight="1">
      <c r="A168" s="24">
        <v>165</v>
      </c>
      <c r="B168" s="4">
        <v>2154077192</v>
      </c>
      <c r="C168" s="5" t="s">
        <v>418</v>
      </c>
      <c r="D168" s="6" t="e">
        <f>VLOOKUP(B168,Sheet3!$B:$I,3,0)</f>
        <v>#N/A</v>
      </c>
      <c r="E168" s="6" t="str">
        <f>VLOOKUP($B168,Sheet4!$B:$L,4,0)</f>
        <v>23/04/2002</v>
      </c>
      <c r="F168" s="6" t="s">
        <v>1873</v>
      </c>
      <c r="G168" s="6" t="e">
        <f>VLOOKUP($B168,Sheet3!$B:$I,5,0)</f>
        <v>#N/A</v>
      </c>
      <c r="H168" s="6">
        <f>VLOOKUP($B168,Sheet4!$B:$L,5,0)</f>
        <v>0</v>
      </c>
      <c r="I168" s="6" t="str">
        <f>VLOOKUP(B168,[1]Sheet3!$D:$K,5,0)</f>
        <v xml:space="preserve">Thôn Phú Điền, Hàm Phú, Hàm Thuận Bắc, Bình Thuận </v>
      </c>
      <c r="J168" s="6" t="s">
        <v>998</v>
      </c>
      <c r="K168" s="6" t="e">
        <f>VLOOKUP($B168,Sheet3!$B:$I,6,0)</f>
        <v>#N/A</v>
      </c>
      <c r="L168" s="6" t="str">
        <f>VLOOKUP($B168,Sheet4!$B:$L,10,0)</f>
        <v>1359</v>
      </c>
      <c r="M168" s="6" t="s">
        <v>1895</v>
      </c>
      <c r="N168" s="6" t="e">
        <f>VLOOKUP($B168,Sheet3!$B:$I,7,0)</f>
        <v>#N/A</v>
      </c>
      <c r="O168" s="6" t="str">
        <f>VLOOKUP($B168,Sheet4!$B:$L,11,0)</f>
        <v>1359</v>
      </c>
      <c r="P168" s="6" t="s">
        <v>8869</v>
      </c>
      <c r="Q168" s="5" t="s">
        <v>386</v>
      </c>
      <c r="R168" s="17" t="s">
        <v>359</v>
      </c>
      <c r="S168" s="36" t="s">
        <v>498</v>
      </c>
      <c r="T168" s="10" t="s">
        <v>503</v>
      </c>
      <c r="U168" s="58">
        <v>2.31</v>
      </c>
      <c r="V168" s="9" t="s">
        <v>419</v>
      </c>
      <c r="W168" s="5" t="s">
        <v>8906</v>
      </c>
      <c r="X168" s="34"/>
      <c r="Y168" s="3" t="s">
        <v>317</v>
      </c>
      <c r="Z168" s="15"/>
      <c r="AA168" s="15"/>
      <c r="AB168" s="15"/>
      <c r="AC168" s="15"/>
    </row>
    <row r="169" spans="1:29" ht="39.75" customHeight="1">
      <c r="A169" s="24">
        <v>166</v>
      </c>
      <c r="B169" s="4">
        <v>2151047555</v>
      </c>
      <c r="C169" s="5" t="s">
        <v>420</v>
      </c>
      <c r="D169" s="6" t="e">
        <f>VLOOKUP(B169,Sheet3!$B:$I,3,0)</f>
        <v>#N/A</v>
      </c>
      <c r="E169" s="6" t="str">
        <f>VLOOKUP($B169,Sheet4!$B:$L,4,0)</f>
        <v>30/11/2003</v>
      </c>
      <c r="F169" s="6" t="s">
        <v>7098</v>
      </c>
      <c r="G169" s="6" t="e">
        <f>VLOOKUP($B169,Sheet3!$B:$I,5,0)</f>
        <v>#N/A</v>
      </c>
      <c r="H169" s="6" t="str">
        <f>VLOOKUP($B169,Sheet4!$B:$L,5,0)</f>
        <v>Bà Rịa Vũng tàu</v>
      </c>
      <c r="I169" s="6" t="e">
        <f>VLOOKUP(B169,[1]Sheet3!$D:$K,5,0)</f>
        <v>#N/A</v>
      </c>
      <c r="J169" s="6" t="s">
        <v>784</v>
      </c>
      <c r="K169" s="6" t="e">
        <f>VLOOKUP($B169,Sheet3!$B:$I,6,0)</f>
        <v>#N/A</v>
      </c>
      <c r="L169" s="6" t="str">
        <f>VLOOKUP($B169,Sheet4!$B:$L,10,0)</f>
        <v>Kinh</v>
      </c>
      <c r="M169" s="6" t="s">
        <v>1895</v>
      </c>
      <c r="N169" s="6" t="e">
        <f>VLOOKUP($B169,Sheet3!$B:$I,7,0)</f>
        <v>#N/A</v>
      </c>
      <c r="O169" s="6" t="str">
        <f>VLOOKUP($B169,Sheet4!$B:$L,11,0)</f>
        <v>56</v>
      </c>
      <c r="P169" s="6"/>
      <c r="Q169" s="5" t="s">
        <v>386</v>
      </c>
      <c r="R169" s="17" t="s">
        <v>359</v>
      </c>
      <c r="S169" s="36" t="s">
        <v>498</v>
      </c>
      <c r="T169" s="10" t="s">
        <v>503</v>
      </c>
      <c r="U169" s="58">
        <v>2.4700000000000002</v>
      </c>
      <c r="V169" s="9" t="s">
        <v>421</v>
      </c>
      <c r="W169" s="5" t="s">
        <v>8906</v>
      </c>
      <c r="X169" s="34" t="s">
        <v>367</v>
      </c>
      <c r="Y169" s="3" t="s">
        <v>317</v>
      </c>
      <c r="Z169" s="15"/>
      <c r="AA169" s="15"/>
      <c r="AB169" s="15"/>
      <c r="AC169" s="15"/>
    </row>
    <row r="170" spans="1:29" ht="39.75" customHeight="1">
      <c r="A170" s="24">
        <v>167</v>
      </c>
      <c r="B170" s="4">
        <v>2151047227</v>
      </c>
      <c r="C170" s="5" t="s">
        <v>422</v>
      </c>
      <c r="D170" s="6" t="e">
        <f>VLOOKUP(B170,Sheet3!$B:$I,3,0)</f>
        <v>#N/A</v>
      </c>
      <c r="E170" s="6" t="str">
        <f>VLOOKUP($B170,Sheet4!$B:$L,4,0)</f>
        <v>06/12/2003</v>
      </c>
      <c r="F170" s="6" t="s">
        <v>3824</v>
      </c>
      <c r="G170" s="6" t="e">
        <f>VLOOKUP($B170,Sheet3!$B:$I,5,0)</f>
        <v>#N/A</v>
      </c>
      <c r="H170" s="6" t="str">
        <f>VLOOKUP($B170,Sheet4!$B:$L,5,0)</f>
        <v>Bình Dương</v>
      </c>
      <c r="I170" s="6" t="str">
        <f>VLOOKUP(B170,[1]Sheet3!$D:$K,5,0)</f>
        <v xml:space="preserve">Bình Dương </v>
      </c>
      <c r="J170" s="6" t="s">
        <v>8892</v>
      </c>
      <c r="K170" s="6" t="e">
        <f>VLOOKUP($B170,Sheet3!$B:$I,6,0)</f>
        <v>#N/A</v>
      </c>
      <c r="L170" s="6" t="str">
        <f>VLOOKUP($B170,Sheet4!$B:$L,10,0)</f>
        <v>Kinh</v>
      </c>
      <c r="M170" s="6" t="s">
        <v>1895</v>
      </c>
      <c r="N170" s="6" t="e">
        <f>VLOOKUP($B170,Sheet3!$B:$I,7,0)</f>
        <v>#N/A</v>
      </c>
      <c r="O170" s="6" t="str">
        <f>VLOOKUP($B170,Sheet4!$B:$L,11,0)</f>
        <v>1394</v>
      </c>
      <c r="P170" s="6" t="s">
        <v>8869</v>
      </c>
      <c r="Q170" s="5" t="s">
        <v>386</v>
      </c>
      <c r="R170" s="17" t="s">
        <v>359</v>
      </c>
      <c r="S170" s="36" t="s">
        <v>498</v>
      </c>
      <c r="T170" s="10" t="s">
        <v>503</v>
      </c>
      <c r="U170" s="58">
        <v>2.76</v>
      </c>
      <c r="V170" s="9" t="s">
        <v>423</v>
      </c>
      <c r="W170" s="5" t="s">
        <v>8906</v>
      </c>
      <c r="X170" s="34" t="s">
        <v>367</v>
      </c>
      <c r="Y170" s="3" t="s">
        <v>317</v>
      </c>
      <c r="Z170" s="15"/>
      <c r="AA170" s="15"/>
      <c r="AB170" s="15"/>
      <c r="AC170" s="15"/>
    </row>
    <row r="171" spans="1:29" ht="39.75" customHeight="1">
      <c r="A171" s="24">
        <v>168</v>
      </c>
      <c r="B171" s="4">
        <v>2151047573</v>
      </c>
      <c r="C171" s="5" t="s">
        <v>424</v>
      </c>
      <c r="D171" s="6" t="e">
        <f>VLOOKUP(B171,Sheet3!$B:$I,3,0)</f>
        <v>#N/A</v>
      </c>
      <c r="E171" s="6" t="str">
        <f>VLOOKUP($B171,Sheet4!$B:$L,4,0)</f>
        <v>01/10/2003</v>
      </c>
      <c r="F171" s="6" t="s">
        <v>7201</v>
      </c>
      <c r="G171" s="6" t="e">
        <f>VLOOKUP($B171,Sheet3!$B:$I,5,0)</f>
        <v>#N/A</v>
      </c>
      <c r="H171" s="6" t="str">
        <f>VLOOKUP($B171,Sheet4!$B:$L,5,0)</f>
        <v>Bình Định</v>
      </c>
      <c r="I171" s="6" t="e">
        <f>VLOOKUP(B171,[1]Sheet3!$D:$K,5,0)</f>
        <v>#N/A</v>
      </c>
      <c r="J171" s="6" t="s">
        <v>821</v>
      </c>
      <c r="K171" s="6" t="e">
        <f>VLOOKUP($B171,Sheet3!$B:$I,6,0)</f>
        <v>#N/A</v>
      </c>
      <c r="L171" s="6" t="str">
        <f>VLOOKUP($B171,Sheet4!$B:$L,10,0)</f>
        <v>Kinh</v>
      </c>
      <c r="M171" s="6" t="s">
        <v>1895</v>
      </c>
      <c r="N171" s="6" t="e">
        <f>VLOOKUP($B171,Sheet3!$B:$I,7,0)</f>
        <v>#N/A</v>
      </c>
      <c r="O171" s="6" t="str">
        <f>VLOOKUP($B171,Sheet4!$B:$L,11,0)</f>
        <v>74</v>
      </c>
      <c r="P171" s="6"/>
      <c r="Q171" s="5" t="s">
        <v>386</v>
      </c>
      <c r="R171" s="17" t="s">
        <v>359</v>
      </c>
      <c r="S171" s="36" t="s">
        <v>498</v>
      </c>
      <c r="T171" s="10" t="s">
        <v>503</v>
      </c>
      <c r="U171" s="58">
        <v>2.41</v>
      </c>
      <c r="V171" s="9" t="s">
        <v>425</v>
      </c>
      <c r="W171" s="5" t="s">
        <v>361</v>
      </c>
      <c r="X171" s="34" t="s">
        <v>367</v>
      </c>
      <c r="Y171" s="3" t="s">
        <v>317</v>
      </c>
      <c r="Z171" s="15"/>
      <c r="AA171" s="15"/>
      <c r="AB171" s="15"/>
      <c r="AC171" s="15"/>
    </row>
    <row r="172" spans="1:29" ht="39.75" customHeight="1">
      <c r="A172" s="24">
        <v>169</v>
      </c>
      <c r="B172" s="4">
        <v>2151047046</v>
      </c>
      <c r="C172" s="5" t="s">
        <v>426</v>
      </c>
      <c r="D172" s="6" t="e">
        <f>VLOOKUP(B172,Sheet3!$B:$I,3,0)</f>
        <v>#N/A</v>
      </c>
      <c r="E172" s="6" t="str">
        <f>VLOOKUP($B172,Sheet4!$B:$L,4,0)</f>
        <v>20/07/2003</v>
      </c>
      <c r="F172" s="6" t="s">
        <v>7194</v>
      </c>
      <c r="G172" s="6" t="e">
        <f>VLOOKUP($B172,Sheet3!$B:$I,5,0)</f>
        <v>#N/A</v>
      </c>
      <c r="H172" s="6" t="str">
        <f>VLOOKUP($B172,Sheet4!$B:$L,5,0)</f>
        <v>Quảng Bình</v>
      </c>
      <c r="I172" s="6" t="e">
        <f>VLOOKUP(B172,[1]Sheet3!$D:$K,5,0)</f>
        <v>#N/A</v>
      </c>
      <c r="J172" s="6" t="s">
        <v>6834</v>
      </c>
      <c r="K172" s="6" t="e">
        <f>VLOOKUP($B172,Sheet3!$B:$I,6,0)</f>
        <v>#N/A</v>
      </c>
      <c r="L172" s="6" t="str">
        <f>VLOOKUP($B172,Sheet4!$B:$L,10,0)</f>
        <v>Kinh</v>
      </c>
      <c r="M172" s="6" t="s">
        <v>1895</v>
      </c>
      <c r="N172" s="6" t="e">
        <f>VLOOKUP($B172,Sheet3!$B:$I,7,0)</f>
        <v>#N/A</v>
      </c>
      <c r="O172" s="6" t="str">
        <f>VLOOKUP($B172,Sheet4!$B:$L,11,0)</f>
        <v>1213</v>
      </c>
      <c r="P172" s="6"/>
      <c r="Q172" s="5" t="s">
        <v>386</v>
      </c>
      <c r="R172" s="17" t="s">
        <v>359</v>
      </c>
      <c r="S172" s="36" t="s">
        <v>498</v>
      </c>
      <c r="T172" s="10" t="s">
        <v>503</v>
      </c>
      <c r="U172" s="58">
        <v>2.2999999999999998</v>
      </c>
      <c r="V172" s="9" t="s">
        <v>427</v>
      </c>
      <c r="W172" s="5" t="s">
        <v>361</v>
      </c>
      <c r="X172" s="34"/>
      <c r="Y172" s="3" t="s">
        <v>317</v>
      </c>
      <c r="Z172" s="15"/>
      <c r="AA172" s="15"/>
      <c r="AB172" s="15"/>
      <c r="AC172" s="15"/>
    </row>
    <row r="173" spans="1:29" ht="39.75" customHeight="1">
      <c r="A173" s="24">
        <v>170</v>
      </c>
      <c r="B173" s="4">
        <v>2151047221</v>
      </c>
      <c r="C173" s="5" t="s">
        <v>428</v>
      </c>
      <c r="D173" s="6" t="e">
        <f>VLOOKUP(B173,Sheet3!$B:$I,3,0)</f>
        <v>#N/A</v>
      </c>
      <c r="E173" s="6" t="str">
        <f>VLOOKUP($B173,Sheet4!$B:$L,4,0)</f>
        <v>12/04/2003</v>
      </c>
      <c r="F173" s="6" t="s">
        <v>7172</v>
      </c>
      <c r="G173" s="6" t="e">
        <f>VLOOKUP($B173,Sheet3!$B:$I,5,0)</f>
        <v>#N/A</v>
      </c>
      <c r="H173" s="6" t="str">
        <f>VLOOKUP($B173,Sheet4!$B:$L,5,0)</f>
        <v>Hà Tĩnh</v>
      </c>
      <c r="I173" s="6" t="e">
        <f>VLOOKUP(B173,[1]Sheet3!$D:$K,5,0)</f>
        <v>#N/A</v>
      </c>
      <c r="J173" s="6" t="s">
        <v>4352</v>
      </c>
      <c r="K173" s="6" t="e">
        <f>VLOOKUP($B173,Sheet3!$B:$I,6,0)</f>
        <v>#N/A</v>
      </c>
      <c r="L173" s="6" t="str">
        <f>VLOOKUP($B173,Sheet4!$B:$L,10,0)</f>
        <v>Kinh</v>
      </c>
      <c r="M173" s="6" t="s">
        <v>1895</v>
      </c>
      <c r="N173" s="6" t="e">
        <f>VLOOKUP($B173,Sheet3!$B:$I,7,0)</f>
        <v>#N/A</v>
      </c>
      <c r="O173" s="6" t="str">
        <f>VLOOKUP($B173,Sheet4!$B:$L,11,0)</f>
        <v>1388</v>
      </c>
      <c r="P173" s="6"/>
      <c r="Q173" s="5" t="s">
        <v>386</v>
      </c>
      <c r="R173" s="17" t="s">
        <v>359</v>
      </c>
      <c r="S173" s="36" t="s">
        <v>498</v>
      </c>
      <c r="T173" s="10" t="s">
        <v>503</v>
      </c>
      <c r="U173" s="58">
        <v>2.68</v>
      </c>
      <c r="V173" s="9" t="s">
        <v>429</v>
      </c>
      <c r="W173" s="5" t="s">
        <v>361</v>
      </c>
      <c r="X173" s="34"/>
      <c r="Y173" s="3" t="s">
        <v>317</v>
      </c>
      <c r="Z173" s="15"/>
      <c r="AA173" s="15"/>
      <c r="AB173" s="15"/>
      <c r="AC173" s="15"/>
    </row>
    <row r="174" spans="1:29" ht="39.75" customHeight="1">
      <c r="A174" s="24">
        <v>171</v>
      </c>
      <c r="B174" s="4">
        <v>2151047532</v>
      </c>
      <c r="C174" s="5" t="s">
        <v>430</v>
      </c>
      <c r="D174" s="6" t="e">
        <f>VLOOKUP(B174,Sheet3!$B:$I,3,0)</f>
        <v>#N/A</v>
      </c>
      <c r="E174" s="6" t="str">
        <f>VLOOKUP($B174,Sheet4!$B:$L,4,0)</f>
        <v>19/02/2003</v>
      </c>
      <c r="F174" s="6" t="s">
        <v>3082</v>
      </c>
      <c r="G174" s="6" t="e">
        <f>VLOOKUP($B174,Sheet3!$B:$I,5,0)</f>
        <v>#N/A</v>
      </c>
      <c r="H174" s="6" t="str">
        <f>VLOOKUP($B174,Sheet4!$B:$L,5,0)</f>
        <v>Bạc Liêu</v>
      </c>
      <c r="I174" s="6" t="str">
        <f>VLOOKUP(B174,[1]Sheet3!$D:$K,5,0)</f>
        <v>Bạc Liêu</v>
      </c>
      <c r="J174" s="6" t="s">
        <v>861</v>
      </c>
      <c r="K174" s="6" t="e">
        <f>VLOOKUP($B174,Sheet3!$B:$I,6,0)</f>
        <v>#N/A</v>
      </c>
      <c r="L174" s="6" t="str">
        <f>VLOOKUP($B174,Sheet4!$B:$L,10,0)</f>
        <v>Kinh</v>
      </c>
      <c r="M174" s="6" t="s">
        <v>8878</v>
      </c>
      <c r="N174" s="6" t="e">
        <f>VLOOKUP($B174,Sheet3!$B:$I,7,0)</f>
        <v>#N/A</v>
      </c>
      <c r="O174" s="6" t="str">
        <f>VLOOKUP($B174,Sheet4!$B:$L,11,0)</f>
        <v>33</v>
      </c>
      <c r="P174" s="6" t="s">
        <v>1901</v>
      </c>
      <c r="Q174" s="5" t="s">
        <v>386</v>
      </c>
      <c r="R174" s="17" t="s">
        <v>359</v>
      </c>
      <c r="S174" s="36" t="s">
        <v>498</v>
      </c>
      <c r="T174" s="10" t="s">
        <v>503</v>
      </c>
      <c r="U174" s="58">
        <v>2.98</v>
      </c>
      <c r="V174" s="9" t="s">
        <v>431</v>
      </c>
      <c r="W174" s="5" t="s">
        <v>8906</v>
      </c>
      <c r="X174" s="34" t="s">
        <v>367</v>
      </c>
      <c r="Y174" s="3" t="s">
        <v>317</v>
      </c>
      <c r="Z174" s="15"/>
      <c r="AA174" s="15"/>
      <c r="AB174" s="15"/>
      <c r="AC174" s="15"/>
    </row>
    <row r="175" spans="1:29" ht="39.75" customHeight="1">
      <c r="A175" s="24">
        <v>172</v>
      </c>
      <c r="B175" s="4">
        <v>2151047537</v>
      </c>
      <c r="C175" s="5" t="s">
        <v>432</v>
      </c>
      <c r="D175" s="6" t="e">
        <f>VLOOKUP(B175,Sheet3!$B:$I,3,0)</f>
        <v>#N/A</v>
      </c>
      <c r="E175" s="6" t="str">
        <f>VLOOKUP($B175,Sheet4!$B:$L,4,0)</f>
        <v>21/04/2003</v>
      </c>
      <c r="F175" s="6" t="s">
        <v>7176</v>
      </c>
      <c r="G175" s="6" t="e">
        <f>VLOOKUP($B175,Sheet3!$B:$I,5,0)</f>
        <v>#N/A</v>
      </c>
      <c r="H175" s="6" t="str">
        <f>VLOOKUP($B175,Sheet4!$B:$L,5,0)</f>
        <v>Đăk Lăk</v>
      </c>
      <c r="I175" s="6" t="str">
        <f>VLOOKUP(B175,[1]Sheet3!$D:$K,5,0)</f>
        <v>Tỉnh Đắk Lắk thành phố Buôn Ma Thuột</v>
      </c>
      <c r="J175" s="6" t="s">
        <v>8879</v>
      </c>
      <c r="K175" s="6" t="e">
        <f>VLOOKUP($B175,Sheet3!$B:$I,6,0)</f>
        <v>#N/A</v>
      </c>
      <c r="L175" s="6" t="str">
        <f>VLOOKUP($B175,Sheet4!$B:$L,10,0)</f>
        <v>Kinh</v>
      </c>
      <c r="M175" s="6" t="s">
        <v>1895</v>
      </c>
      <c r="N175" s="6" t="e">
        <f>VLOOKUP($B175,Sheet3!$B:$I,7,0)</f>
        <v>#N/A</v>
      </c>
      <c r="O175" s="6" t="str">
        <f>VLOOKUP($B175,Sheet4!$B:$L,11,0)</f>
        <v>38</v>
      </c>
      <c r="P175" s="6" t="s">
        <v>6924</v>
      </c>
      <c r="Q175" s="5" t="s">
        <v>386</v>
      </c>
      <c r="R175" s="17" t="s">
        <v>359</v>
      </c>
      <c r="S175" s="36" t="s">
        <v>498</v>
      </c>
      <c r="T175" s="10" t="s">
        <v>503</v>
      </c>
      <c r="U175" s="58">
        <v>2.14</v>
      </c>
      <c r="V175" s="9" t="s">
        <v>433</v>
      </c>
      <c r="W175" s="5" t="s">
        <v>361</v>
      </c>
      <c r="X175" s="34"/>
      <c r="Y175" s="3" t="s">
        <v>317</v>
      </c>
      <c r="Z175" s="15"/>
      <c r="AA175" s="15"/>
      <c r="AB175" s="15"/>
      <c r="AC175" s="15"/>
    </row>
    <row r="176" spans="1:29" ht="39.75" customHeight="1">
      <c r="A176" s="24">
        <v>173</v>
      </c>
      <c r="B176" s="4">
        <v>2151047540</v>
      </c>
      <c r="C176" s="5" t="s">
        <v>434</v>
      </c>
      <c r="D176" s="6" t="e">
        <f>VLOOKUP(B176,Sheet3!$B:$I,3,0)</f>
        <v>#N/A</v>
      </c>
      <c r="E176" s="6" t="str">
        <f>VLOOKUP($B176,Sheet4!$B:$L,4,0)</f>
        <v>18/08/2003</v>
      </c>
      <c r="F176" s="6" t="s">
        <v>7141</v>
      </c>
      <c r="G176" s="6" t="e">
        <f>VLOOKUP($B176,Sheet3!$B:$I,5,0)</f>
        <v>#N/A</v>
      </c>
      <c r="H176" s="6" t="str">
        <f>VLOOKUP($B176,Sheet4!$B:$L,5,0)</f>
        <v>Đồng Tháp</v>
      </c>
      <c r="I176" s="6" t="str">
        <f>VLOOKUP(B176,[1]Sheet3!$D:$K,5,0)</f>
        <v>Đồng Tháp</v>
      </c>
      <c r="J176" s="6" t="s">
        <v>790</v>
      </c>
      <c r="K176" s="6" t="e">
        <f>VLOOKUP($B176,Sheet3!$B:$I,6,0)</f>
        <v>#N/A</v>
      </c>
      <c r="L176" s="6" t="str">
        <f>VLOOKUP($B176,Sheet4!$B:$L,10,0)</f>
        <v>Kinh</v>
      </c>
      <c r="M176" s="6" t="s">
        <v>1895</v>
      </c>
      <c r="N176" s="6" t="e">
        <f>VLOOKUP($B176,Sheet3!$B:$I,7,0)</f>
        <v>#N/A</v>
      </c>
      <c r="O176" s="6" t="str">
        <f>VLOOKUP($B176,Sheet4!$B:$L,11,0)</f>
        <v>41</v>
      </c>
      <c r="P176" s="6" t="s">
        <v>1901</v>
      </c>
      <c r="Q176" s="5" t="s">
        <v>386</v>
      </c>
      <c r="R176" s="17" t="s">
        <v>359</v>
      </c>
      <c r="S176" s="36" t="s">
        <v>498</v>
      </c>
      <c r="T176" s="10" t="s">
        <v>503</v>
      </c>
      <c r="U176" s="58">
        <v>2.97</v>
      </c>
      <c r="V176" s="9" t="s">
        <v>435</v>
      </c>
      <c r="W176" s="5" t="s">
        <v>361</v>
      </c>
      <c r="X176" s="34"/>
      <c r="Y176" s="3" t="s">
        <v>317</v>
      </c>
      <c r="Z176" s="15"/>
      <c r="AA176" s="15"/>
      <c r="AB176" s="15"/>
      <c r="AC176" s="15"/>
    </row>
    <row r="177" spans="1:29" ht="39.75" customHeight="1">
      <c r="A177" s="24">
        <v>174</v>
      </c>
      <c r="B177" s="4">
        <v>2151047567</v>
      </c>
      <c r="C177" s="5" t="s">
        <v>436</v>
      </c>
      <c r="D177" s="6" t="e">
        <f>VLOOKUP(B177,Sheet3!$B:$I,3,0)</f>
        <v>#N/A</v>
      </c>
      <c r="E177" s="6" t="str">
        <f>VLOOKUP($B177,Sheet4!$B:$L,4,0)</f>
        <v>24/03/2003</v>
      </c>
      <c r="F177" s="6" t="s">
        <v>7200</v>
      </c>
      <c r="G177" s="6" t="e">
        <f>VLOOKUP($B177,Sheet3!$B:$I,5,0)</f>
        <v>#N/A</v>
      </c>
      <c r="H177" s="6" t="str">
        <f>VLOOKUP($B177,Sheet4!$B:$L,5,0)</f>
        <v>Bình Phước</v>
      </c>
      <c r="I177" s="6" t="str">
        <f>VLOOKUP(B177,[1]Sheet3!$D:$K,5,0)</f>
        <v>Bình Phước</v>
      </c>
      <c r="J177" s="6" t="s">
        <v>835</v>
      </c>
      <c r="K177" s="6" t="e">
        <f>VLOOKUP($B177,Sheet3!$B:$I,6,0)</f>
        <v>#N/A</v>
      </c>
      <c r="L177" s="6" t="str">
        <f>VLOOKUP($B177,Sheet4!$B:$L,10,0)</f>
        <v>Kinh</v>
      </c>
      <c r="M177" s="6" t="s">
        <v>1895</v>
      </c>
      <c r="N177" s="6" t="e">
        <f>VLOOKUP($B177,Sheet3!$B:$I,7,0)</f>
        <v>#N/A</v>
      </c>
      <c r="O177" s="6" t="str">
        <f>VLOOKUP($B177,Sheet4!$B:$L,11,0)</f>
        <v>68</v>
      </c>
      <c r="P177" s="6" t="s">
        <v>1896</v>
      </c>
      <c r="Q177" s="5" t="s">
        <v>386</v>
      </c>
      <c r="R177" s="17" t="s">
        <v>359</v>
      </c>
      <c r="S177" s="36" t="s">
        <v>498</v>
      </c>
      <c r="T177" s="10" t="s">
        <v>503</v>
      </c>
      <c r="U177" s="58">
        <v>2.42</v>
      </c>
      <c r="V177" s="9" t="s">
        <v>437</v>
      </c>
      <c r="W177" s="5" t="s">
        <v>8906</v>
      </c>
      <c r="X177" s="34"/>
      <c r="Y177" s="3" t="s">
        <v>317</v>
      </c>
      <c r="Z177" s="15"/>
      <c r="AA177" s="15"/>
      <c r="AB177" s="15"/>
      <c r="AC177" s="15"/>
    </row>
    <row r="178" spans="1:29" ht="39.75" customHeight="1">
      <c r="A178" s="24">
        <v>175</v>
      </c>
      <c r="B178" s="4">
        <v>2151047222</v>
      </c>
      <c r="C178" s="5" t="s">
        <v>438</v>
      </c>
      <c r="D178" s="6" t="e">
        <f>VLOOKUP(B178,Sheet3!$B:$I,3,0)</f>
        <v>#N/A</v>
      </c>
      <c r="E178" s="6" t="str">
        <f>VLOOKUP($B178,Sheet4!$B:$L,4,0)</f>
        <v>24/01/2003</v>
      </c>
      <c r="F178" s="6" t="s">
        <v>2759</v>
      </c>
      <c r="G178" s="6" t="e">
        <f>VLOOKUP($B178,Sheet3!$B:$I,5,0)</f>
        <v>#N/A</v>
      </c>
      <c r="H178" s="6" t="str">
        <f>VLOOKUP($B178,Sheet4!$B:$L,5,0)</f>
        <v>Bình Thuận</v>
      </c>
      <c r="I178" s="6" t="str">
        <f>VLOOKUP(B178,[1]Sheet3!$D:$K,5,0)</f>
        <v>Phan Thiết, Bình Thuận</v>
      </c>
      <c r="J178" s="6" t="s">
        <v>998</v>
      </c>
      <c r="K178" s="6" t="e">
        <f>VLOOKUP($B178,Sheet3!$B:$I,6,0)</f>
        <v>#N/A</v>
      </c>
      <c r="L178" s="6" t="str">
        <f>VLOOKUP($B178,Sheet4!$B:$L,10,0)</f>
        <v>Kinh</v>
      </c>
      <c r="M178" s="6" t="s">
        <v>1895</v>
      </c>
      <c r="N178" s="6" t="e">
        <f>VLOOKUP($B178,Sheet3!$B:$I,7,0)</f>
        <v>#N/A</v>
      </c>
      <c r="O178" s="6" t="str">
        <f>VLOOKUP($B178,Sheet4!$B:$L,11,0)</f>
        <v>1389</v>
      </c>
      <c r="P178" s="6" t="s">
        <v>1901</v>
      </c>
      <c r="Q178" s="5" t="s">
        <v>386</v>
      </c>
      <c r="R178" s="17" t="s">
        <v>359</v>
      </c>
      <c r="S178" s="36" t="s">
        <v>498</v>
      </c>
      <c r="T178" s="10" t="s">
        <v>503</v>
      </c>
      <c r="U178" s="58">
        <v>2.44</v>
      </c>
      <c r="V178" s="9" t="s">
        <v>439</v>
      </c>
      <c r="W178" s="5" t="s">
        <v>361</v>
      </c>
      <c r="X178" s="34" t="s">
        <v>367</v>
      </c>
      <c r="Y178" s="3" t="s">
        <v>317</v>
      </c>
      <c r="Z178" s="15"/>
      <c r="AA178" s="15"/>
      <c r="AB178" s="15"/>
      <c r="AC178" s="15"/>
    </row>
    <row r="179" spans="1:29" ht="39.75" customHeight="1">
      <c r="A179" s="24">
        <v>176</v>
      </c>
      <c r="B179" s="4">
        <v>2151017344</v>
      </c>
      <c r="C179" s="5" t="s">
        <v>440</v>
      </c>
      <c r="D179" s="6" t="str">
        <f>VLOOKUP(B179,Sheet3!$B:$I,3,0)</f>
        <v>27/04/2003</v>
      </c>
      <c r="E179" s="6" t="str">
        <f>VLOOKUP($B179,Sheet4!$B:$L,4,0)</f>
        <v>02/01/2003</v>
      </c>
      <c r="F179" s="6" t="s">
        <v>3843</v>
      </c>
      <c r="G179" s="6">
        <f>VLOOKUP($B179,Sheet3!$B:$I,5,0)</f>
        <v>0</v>
      </c>
      <c r="H179" s="6" t="str">
        <f>VLOOKUP($B179,Sheet4!$B:$L,5,0)</f>
        <v>Bến Tre</v>
      </c>
      <c r="I179" s="6" t="str">
        <f>VLOOKUP(B179,[1]Sheet3!$D:$K,5,0)</f>
        <v xml:space="preserve">Bến Tre </v>
      </c>
      <c r="J179" s="6" t="s">
        <v>8888</v>
      </c>
      <c r="K179" s="6">
        <f>VLOOKUP($B179,Sheet3!$B:$I,6,0)</f>
        <v>0</v>
      </c>
      <c r="L179" s="6" t="str">
        <f>VLOOKUP($B179,Sheet4!$B:$L,10,0)</f>
        <v>Kinh</v>
      </c>
      <c r="M179" s="6" t="s">
        <v>1895</v>
      </c>
      <c r="N179" s="6">
        <f>VLOOKUP($B179,Sheet3!$B:$I,7,0)</f>
        <v>0</v>
      </c>
      <c r="O179" s="6" t="str">
        <f>VLOOKUP($B179,Sheet4!$B:$L,11,0)</f>
        <v>6</v>
      </c>
      <c r="P179" s="6" t="s">
        <v>8869</v>
      </c>
      <c r="Q179" s="5" t="s">
        <v>386</v>
      </c>
      <c r="R179" s="17" t="s">
        <v>359</v>
      </c>
      <c r="S179" s="36" t="s">
        <v>498</v>
      </c>
      <c r="T179" s="10" t="s">
        <v>503</v>
      </c>
      <c r="U179" s="58">
        <v>2.78</v>
      </c>
      <c r="V179" s="9" t="s">
        <v>441</v>
      </c>
      <c r="W179" s="5" t="s">
        <v>8906</v>
      </c>
      <c r="X179" s="34" t="s">
        <v>367</v>
      </c>
      <c r="Y179" s="3" t="s">
        <v>317</v>
      </c>
      <c r="Z179" s="15"/>
      <c r="AA179" s="15"/>
      <c r="AB179" s="15"/>
      <c r="AC179" s="15"/>
    </row>
    <row r="180" spans="1:29" ht="39.75" customHeight="1">
      <c r="A180" s="24">
        <v>177</v>
      </c>
      <c r="B180" s="4">
        <v>2151047368</v>
      </c>
      <c r="C180" s="5" t="s">
        <v>442</v>
      </c>
      <c r="D180" s="6" t="str">
        <f>VLOOKUP(B180,Sheet3!$B:$I,3,0)</f>
        <v>06/12/2003</v>
      </c>
      <c r="E180" s="6" t="str">
        <f>VLOOKUP($B180,Sheet4!$B:$L,4,0)</f>
        <v>12/06/2003</v>
      </c>
      <c r="F180" s="6" t="s">
        <v>2615</v>
      </c>
      <c r="G180" s="6">
        <f>VLOOKUP($B180,Sheet3!$B:$I,5,0)</f>
        <v>0</v>
      </c>
      <c r="H180" s="6" t="str">
        <f>VLOOKUP($B180,Sheet4!$B:$L,5,0)</f>
        <v>Gia Lai</v>
      </c>
      <c r="I180" s="6" t="str">
        <f>VLOOKUP(B180,[1]Sheet3!$D:$K,5,0)</f>
        <v>Gia Lai</v>
      </c>
      <c r="J180" s="6" t="s">
        <v>821</v>
      </c>
      <c r="K180" s="6">
        <f>VLOOKUP($B180,Sheet3!$B:$I,6,0)</f>
        <v>0</v>
      </c>
      <c r="L180" s="6" t="str">
        <f>VLOOKUP($B180,Sheet4!$B:$L,10,0)</f>
        <v>Kinh</v>
      </c>
      <c r="M180" s="6" t="s">
        <v>1895</v>
      </c>
      <c r="N180" s="6">
        <f>VLOOKUP($B180,Sheet3!$B:$I,7,0)</f>
        <v>0</v>
      </c>
      <c r="O180" s="6" t="str">
        <f>VLOOKUP($B180,Sheet4!$B:$L,11,0)</f>
        <v>30</v>
      </c>
      <c r="P180" s="6" t="s">
        <v>1901</v>
      </c>
      <c r="Q180" s="5" t="s">
        <v>386</v>
      </c>
      <c r="R180" s="17" t="s">
        <v>359</v>
      </c>
      <c r="S180" s="36" t="s">
        <v>498</v>
      </c>
      <c r="T180" s="10" t="s">
        <v>503</v>
      </c>
      <c r="U180" s="58">
        <v>2.0499999999999998</v>
      </c>
      <c r="V180" s="9" t="s">
        <v>443</v>
      </c>
      <c r="W180" s="5" t="s">
        <v>361</v>
      </c>
      <c r="X180" s="34" t="s">
        <v>367</v>
      </c>
      <c r="Y180" s="3" t="s">
        <v>317</v>
      </c>
      <c r="Z180" s="15"/>
      <c r="AA180" s="15"/>
      <c r="AB180" s="15"/>
      <c r="AC180" s="15"/>
    </row>
    <row r="181" spans="1:29" ht="39.75" customHeight="1">
      <c r="A181" s="24">
        <v>178</v>
      </c>
      <c r="B181" s="4">
        <v>2051047120</v>
      </c>
      <c r="C181" s="5" t="s">
        <v>444</v>
      </c>
      <c r="D181" s="6" t="str">
        <f>VLOOKUP(B181,Sheet3!$B:$I,3,0)</f>
        <v>16/06/2002</v>
      </c>
      <c r="E181" s="6" t="str">
        <f>VLOOKUP($B181,Sheet4!$B:$L,4,0)</f>
        <v>16/06/2002</v>
      </c>
      <c r="F181" s="6" t="s">
        <v>1301</v>
      </c>
      <c r="G181" s="6">
        <f>VLOOKUP($B181,Sheet3!$B:$I,5,0)</f>
        <v>0</v>
      </c>
      <c r="H181" s="6" t="str">
        <f>VLOOKUP($B181,Sheet4!$B:$L,5,0)</f>
        <v>Long An</v>
      </c>
      <c r="I181" s="6" t="str">
        <f>VLOOKUP(B181,[1]Sheet3!$D:$K,5,0)</f>
        <v>Long An</v>
      </c>
      <c r="J181" s="6" t="s">
        <v>3967</v>
      </c>
      <c r="K181" s="6">
        <f>VLOOKUP($B181,Sheet3!$B:$I,6,0)</f>
        <v>0</v>
      </c>
      <c r="L181" s="6" t="str">
        <f>VLOOKUP($B181,Sheet4!$B:$L,10,0)</f>
        <v>Kinh</v>
      </c>
      <c r="M181" s="6" t="s">
        <v>1895</v>
      </c>
      <c r="N181" s="6">
        <f>VLOOKUP($B181,Sheet3!$B:$I,7,0)</f>
        <v>0</v>
      </c>
      <c r="O181" s="6">
        <f>VLOOKUP($B181,Sheet4!$B:$L,11,0)</f>
        <v>0</v>
      </c>
      <c r="P181" s="6" t="s">
        <v>1901</v>
      </c>
      <c r="Q181" s="5" t="s">
        <v>375</v>
      </c>
      <c r="R181" s="17" t="s">
        <v>359</v>
      </c>
      <c r="S181" s="36" t="s">
        <v>500</v>
      </c>
      <c r="T181" s="10" t="s">
        <v>503</v>
      </c>
      <c r="U181" s="58">
        <v>2.19</v>
      </c>
      <c r="V181" s="9" t="s">
        <v>445</v>
      </c>
      <c r="W181" s="5" t="s">
        <v>8906</v>
      </c>
      <c r="X181" s="34"/>
      <c r="Y181" s="3" t="s">
        <v>317</v>
      </c>
      <c r="Z181" s="15"/>
      <c r="AA181" s="15"/>
      <c r="AB181" s="15"/>
      <c r="AC181" s="15"/>
    </row>
    <row r="182" spans="1:29" ht="39.75" customHeight="1">
      <c r="A182" s="24">
        <v>179</v>
      </c>
      <c r="B182" s="4">
        <v>1851013270</v>
      </c>
      <c r="C182" s="5" t="s">
        <v>446</v>
      </c>
      <c r="D182" s="6" t="e">
        <f>VLOOKUP(B182,Sheet3!$B:$I,3,0)</f>
        <v>#N/A</v>
      </c>
      <c r="E182" s="6" t="str">
        <f>VLOOKUP($B182,Sheet4!$B:$L,4,0)</f>
        <v>01/02/2000</v>
      </c>
      <c r="F182" s="6" t="s">
        <v>7283</v>
      </c>
      <c r="G182" s="6" t="e">
        <f>VLOOKUP($B182,Sheet3!$B:$I,5,0)</f>
        <v>#N/A</v>
      </c>
      <c r="H182" s="6">
        <f>VLOOKUP($B182,Sheet4!$B:$L,5,0)</f>
        <v>0</v>
      </c>
      <c r="I182" s="6" t="str">
        <f>VLOOKUP(B182,[1]Sheet3!$D:$K,5,0)</f>
        <v>Đắk Lắk</v>
      </c>
      <c r="J182" s="6" t="s">
        <v>768</v>
      </c>
      <c r="K182" s="6" t="e">
        <f>VLOOKUP($B182,Sheet3!$B:$I,6,0)</f>
        <v>#N/A</v>
      </c>
      <c r="L182" s="6">
        <f>VLOOKUP($B182,Sheet4!$B:$L,10,0)</f>
        <v>0</v>
      </c>
      <c r="M182" s="6" t="s">
        <v>1895</v>
      </c>
      <c r="N182" s="6" t="e">
        <f>VLOOKUP($B182,Sheet3!$B:$I,7,0)</f>
        <v>#N/A</v>
      </c>
      <c r="O182" s="6">
        <f>VLOOKUP($B182,Sheet4!$B:$L,11,0)</f>
        <v>0</v>
      </c>
      <c r="P182" s="6" t="s">
        <v>1901</v>
      </c>
      <c r="Q182" s="5" t="s">
        <v>353</v>
      </c>
      <c r="R182" s="17" t="s">
        <v>314</v>
      </c>
      <c r="S182" s="36" t="s">
        <v>499</v>
      </c>
      <c r="T182" s="10" t="s">
        <v>503</v>
      </c>
      <c r="U182" s="58" t="s">
        <v>512</v>
      </c>
      <c r="V182" s="9" t="s">
        <v>746</v>
      </c>
      <c r="W182" s="5" t="s">
        <v>316</v>
      </c>
      <c r="X182" s="34"/>
      <c r="Y182" s="3" t="s">
        <v>317</v>
      </c>
      <c r="Z182" s="15"/>
      <c r="AA182" s="15"/>
      <c r="AB182" s="15"/>
      <c r="AC182" s="15"/>
    </row>
    <row r="183" spans="1:29" ht="39.75" customHeight="1">
      <c r="A183" s="24">
        <v>180</v>
      </c>
      <c r="B183" s="4">
        <v>2051017011</v>
      </c>
      <c r="C183" s="5" t="s">
        <v>448</v>
      </c>
      <c r="D183" s="6" t="str">
        <f>VLOOKUP(B183,Sheet3!$B:$I,3,0)</f>
        <v>19/02/2002</v>
      </c>
      <c r="E183" s="6" t="str">
        <f>VLOOKUP($B183,Sheet4!$B:$L,4,0)</f>
        <v>19/02/2002</v>
      </c>
      <c r="F183" s="6" t="s">
        <v>1182</v>
      </c>
      <c r="G183" s="6">
        <f>VLOOKUP($B183,Sheet3!$B:$I,5,0)</f>
        <v>0</v>
      </c>
      <c r="H183" s="6" t="str">
        <f>VLOOKUP($B183,Sheet4!$B:$L,5,0)</f>
        <v>Hà tĩnh</v>
      </c>
      <c r="I183" s="6" t="str">
        <f>VLOOKUP(B183,[1]Sheet3!$D:$K,5,0)</f>
        <v xml:space="preserve">Thôn Vọng Sơn - Xã Tùng Ảnh - Huyện Đức Thọ - Tỉnh Hà Tĩnh </v>
      </c>
      <c r="J183" s="6" t="s">
        <v>8904</v>
      </c>
      <c r="K183" s="6">
        <f>VLOOKUP($B183,Sheet3!$B:$I,6,0)</f>
        <v>0</v>
      </c>
      <c r="L183" s="6" t="str">
        <f>VLOOKUP($B183,Sheet4!$B:$L,10,0)</f>
        <v>Kinh</v>
      </c>
      <c r="M183" s="6" t="s">
        <v>8876</v>
      </c>
      <c r="N183" s="6">
        <f>VLOOKUP($B183,Sheet3!$B:$I,7,0)</f>
        <v>0</v>
      </c>
      <c r="O183" s="6" t="str">
        <f>VLOOKUP($B183,Sheet4!$B:$L,11,0)</f>
        <v>không</v>
      </c>
      <c r="P183" s="6" t="s">
        <v>1901</v>
      </c>
      <c r="Q183" s="5" t="s">
        <v>345</v>
      </c>
      <c r="R183" s="17" t="s">
        <v>314</v>
      </c>
      <c r="S183" s="36" t="s">
        <v>500</v>
      </c>
      <c r="T183" s="10" t="s">
        <v>503</v>
      </c>
      <c r="U183" s="58">
        <v>2.02</v>
      </c>
      <c r="V183" s="9" t="s">
        <v>449</v>
      </c>
      <c r="W183" s="5" t="s">
        <v>316</v>
      </c>
      <c r="X183" s="34"/>
      <c r="Y183" s="3" t="s">
        <v>317</v>
      </c>
      <c r="Z183" s="15"/>
      <c r="AA183" s="15"/>
      <c r="AB183" s="15"/>
      <c r="AC183" s="15"/>
    </row>
    <row r="184" spans="1:29" ht="39.75" customHeight="1">
      <c r="A184" s="24">
        <v>181</v>
      </c>
      <c r="B184" s="4">
        <v>1851132863</v>
      </c>
      <c r="C184" s="5" t="s">
        <v>450</v>
      </c>
      <c r="D184" s="6" t="e">
        <f>VLOOKUP(B184,Sheet3!$B:$I,3,0)</f>
        <v>#N/A</v>
      </c>
      <c r="E184" s="6" t="str">
        <f>VLOOKUP($B184,Sheet4!$B:$L,4,0)</f>
        <v>04/05/2000</v>
      </c>
      <c r="F184" s="6" t="s">
        <v>8644</v>
      </c>
      <c r="G184" s="6" t="e">
        <f>VLOOKUP($B184,Sheet3!$B:$I,5,0)</f>
        <v>#N/A</v>
      </c>
      <c r="H184" s="6">
        <f>VLOOKUP($B184,Sheet4!$B:$L,5,0)</f>
        <v>0</v>
      </c>
      <c r="I184" s="6" t="str">
        <f>VLOOKUP(B184,[1]Sheet3!$D:$K,5,0)</f>
        <v>Xã Tân Lập Huyện Tân Thạnh Tỉnh Long An</v>
      </c>
      <c r="J184" s="6" t="s">
        <v>3967</v>
      </c>
      <c r="K184" s="6" t="e">
        <f>VLOOKUP($B184,Sheet3!$B:$I,6,0)</f>
        <v>#N/A</v>
      </c>
      <c r="L184" s="6">
        <f>VLOOKUP($B184,Sheet4!$B:$L,10,0)</f>
        <v>0</v>
      </c>
      <c r="M184" s="6" t="s">
        <v>1895</v>
      </c>
      <c r="N184" s="6" t="e">
        <f>VLOOKUP($B184,Sheet3!$B:$I,7,0)</f>
        <v>#N/A</v>
      </c>
      <c r="O184" s="6">
        <f>VLOOKUP($B184,Sheet4!$B:$L,11,0)</f>
        <v>0</v>
      </c>
      <c r="P184" s="6" t="s">
        <v>1901</v>
      </c>
      <c r="Q184" s="5" t="s">
        <v>451</v>
      </c>
      <c r="R184" s="17" t="s">
        <v>518</v>
      </c>
      <c r="S184" s="36" t="s">
        <v>499</v>
      </c>
      <c r="T184" s="10" t="s">
        <v>503</v>
      </c>
      <c r="U184" s="58">
        <v>2</v>
      </c>
      <c r="V184" s="9" t="s">
        <v>452</v>
      </c>
      <c r="W184" s="5" t="s">
        <v>453</v>
      </c>
      <c r="X184" s="34"/>
      <c r="Y184" s="3" t="s">
        <v>317</v>
      </c>
      <c r="Z184" s="15"/>
      <c r="AA184" s="15"/>
      <c r="AB184" s="15"/>
      <c r="AC184" s="15"/>
    </row>
    <row r="185" spans="1:29" ht="39.75" customHeight="1">
      <c r="A185" s="24">
        <v>182</v>
      </c>
      <c r="B185" s="4">
        <v>2051137294</v>
      </c>
      <c r="C185" s="5" t="s">
        <v>112</v>
      </c>
      <c r="D185" s="6" t="str">
        <f>VLOOKUP(B185,Sheet3!$B:$I,3,0)</f>
        <v>16/10/2001</v>
      </c>
      <c r="E185" s="6" t="str">
        <f>VLOOKUP($B185,Sheet4!$B:$L,4,0)</f>
        <v>16/10/2001</v>
      </c>
      <c r="F185" s="6" t="s">
        <v>1603</v>
      </c>
      <c r="G185" s="6">
        <f>VLOOKUP($B185,Sheet3!$B:$I,5,0)</f>
        <v>0</v>
      </c>
      <c r="H185" s="6" t="str">
        <f>VLOOKUP($B185,Sheet4!$B:$L,5,0)</f>
        <v>Sóc Trăng</v>
      </c>
      <c r="I185" s="6" t="str">
        <f>VLOOKUP(B185,[1]Sheet3!$D:$K,5,0)</f>
        <v>Ấp Hoà Đức, Xã Hoà Tú 1, Huyện Mỹ Xuyên, Tỉnh Sóc Trăng</v>
      </c>
      <c r="J185" s="6" t="s">
        <v>975</v>
      </c>
      <c r="K185" s="6">
        <f>VLOOKUP($B185,Sheet3!$B:$I,6,0)</f>
        <v>0</v>
      </c>
      <c r="L185" s="6">
        <f>VLOOKUP($B185,Sheet4!$B:$L,10,0)</f>
        <v>0</v>
      </c>
      <c r="M185" s="6" t="s">
        <v>1895</v>
      </c>
      <c r="N185" s="6">
        <f>VLOOKUP($B185,Sheet3!$B:$I,7,0)</f>
        <v>0</v>
      </c>
      <c r="O185" s="6">
        <f>VLOOKUP($B185,Sheet4!$B:$L,11,0)</f>
        <v>0</v>
      </c>
      <c r="P185" s="6" t="s">
        <v>1901</v>
      </c>
      <c r="Q185" s="5" t="s">
        <v>454</v>
      </c>
      <c r="R185" s="17" t="s">
        <v>518</v>
      </c>
      <c r="S185" s="36" t="s">
        <v>500</v>
      </c>
      <c r="T185" s="10" t="s">
        <v>503</v>
      </c>
      <c r="U185" s="58" t="s">
        <v>723</v>
      </c>
      <c r="V185" s="9" t="s">
        <v>455</v>
      </c>
      <c r="W185" s="5" t="s">
        <v>453</v>
      </c>
      <c r="X185" s="34"/>
      <c r="Y185" s="3" t="s">
        <v>317</v>
      </c>
      <c r="Z185" s="15"/>
      <c r="AA185" s="15"/>
      <c r="AB185" s="15"/>
      <c r="AC185" s="15"/>
    </row>
    <row r="186" spans="1:29" ht="39.75" customHeight="1">
      <c r="A186" s="24">
        <v>183</v>
      </c>
      <c r="B186" s="4">
        <v>1851133239</v>
      </c>
      <c r="C186" s="5" t="s">
        <v>456</v>
      </c>
      <c r="D186" s="6" t="e">
        <f>VLOOKUP(B186,Sheet3!$B:$I,3,0)</f>
        <v>#N/A</v>
      </c>
      <c r="E186" s="6" t="str">
        <f>VLOOKUP($B186,Sheet4!$B:$L,4,0)</f>
        <v>00/01/1900</v>
      </c>
      <c r="F186" s="6" t="s">
        <v>8900</v>
      </c>
      <c r="G186" s="6" t="e">
        <f>VLOOKUP($B186,Sheet3!$B:$I,5,0)</f>
        <v>#N/A</v>
      </c>
      <c r="H186" s="6">
        <f>VLOOKUP($B186,Sheet4!$B:$L,5,0)</f>
        <v>0</v>
      </c>
      <c r="I186" s="6" t="str">
        <f>VLOOKUP(B186,[1]Sheet3!$D:$K,5,0)</f>
        <v>Tổ 6, ấp Vườn Rau, Thanh Phú, TX.Bình Long, Bình Phước</v>
      </c>
      <c r="J186" s="6" t="s">
        <v>835</v>
      </c>
      <c r="K186" s="6" t="e">
        <f>VLOOKUP($B186,Sheet3!$B:$I,6,0)</f>
        <v>#N/A</v>
      </c>
      <c r="L186" s="6">
        <f>VLOOKUP($B186,Sheet4!$B:$L,10,0)</f>
        <v>0</v>
      </c>
      <c r="M186" s="6" t="s">
        <v>1895</v>
      </c>
      <c r="N186" s="6" t="e">
        <f>VLOOKUP($B186,Sheet3!$B:$I,7,0)</f>
        <v>#N/A</v>
      </c>
      <c r="O186" s="6">
        <f>VLOOKUP($B186,Sheet4!$B:$L,11,0)</f>
        <v>0</v>
      </c>
      <c r="P186" s="6" t="s">
        <v>1901</v>
      </c>
      <c r="Q186" s="5" t="s">
        <v>451</v>
      </c>
      <c r="R186" s="17" t="s">
        <v>518</v>
      </c>
      <c r="S186" s="36" t="s">
        <v>499</v>
      </c>
      <c r="T186" s="10" t="s">
        <v>503</v>
      </c>
      <c r="U186" s="58" t="s">
        <v>517</v>
      </c>
      <c r="V186" s="9" t="s">
        <v>457</v>
      </c>
      <c r="W186" s="5" t="s">
        <v>453</v>
      </c>
      <c r="X186" s="34"/>
      <c r="Y186" s="3" t="s">
        <v>317</v>
      </c>
      <c r="Z186" s="15"/>
      <c r="AA186" s="15"/>
      <c r="AB186" s="15"/>
      <c r="AC186" s="15"/>
    </row>
    <row r="187" spans="1:29" ht="39.75" customHeight="1">
      <c r="A187" s="24">
        <v>184</v>
      </c>
      <c r="B187" s="4">
        <v>2151017361</v>
      </c>
      <c r="C187" s="5" t="s">
        <v>603</v>
      </c>
      <c r="D187" s="6" t="str">
        <f>VLOOKUP(B187,Sheet3!$B:$I,3,0)</f>
        <v>09/01/2003</v>
      </c>
      <c r="E187" s="6" t="str">
        <f>VLOOKUP($B187,Sheet4!$B:$L,4,0)</f>
        <v>01/09/2003</v>
      </c>
      <c r="F187" s="6" t="s">
        <v>3809</v>
      </c>
      <c r="G187" s="6">
        <f>VLOOKUP($B187,Sheet3!$B:$I,5,0)</f>
        <v>0</v>
      </c>
      <c r="H187" s="6" t="str">
        <f>VLOOKUP($B187,Sheet4!$B:$L,5,0)</f>
        <v>Bình Thuận</v>
      </c>
      <c r="I187" s="6" t="e">
        <f>VLOOKUP(B187,[1]Sheet3!$D:$K,5,0)</f>
        <v>#N/A</v>
      </c>
      <c r="J187" s="6" t="s">
        <v>998</v>
      </c>
      <c r="K187" s="6">
        <f>VLOOKUP($B187,Sheet3!$B:$I,6,0)</f>
        <v>0</v>
      </c>
      <c r="L187" s="6" t="str">
        <f>VLOOKUP($B187,Sheet4!$B:$L,10,0)</f>
        <v>Kinh</v>
      </c>
      <c r="M187" s="6" t="s">
        <v>1895</v>
      </c>
      <c r="N187" s="6">
        <f>VLOOKUP($B187,Sheet3!$B:$I,7,0)</f>
        <v>0</v>
      </c>
      <c r="O187" s="6" t="str">
        <f>VLOOKUP($B187,Sheet4!$B:$L,11,0)</f>
        <v>23</v>
      </c>
      <c r="P187" s="6"/>
      <c r="Q187" s="5" t="s">
        <v>458</v>
      </c>
      <c r="R187" s="17" t="s">
        <v>540</v>
      </c>
      <c r="S187" s="36" t="s">
        <v>498</v>
      </c>
      <c r="T187" s="10" t="s">
        <v>503</v>
      </c>
      <c r="U187" s="58">
        <v>2.27</v>
      </c>
      <c r="V187" s="9" t="s">
        <v>459</v>
      </c>
      <c r="W187" s="5" t="s">
        <v>460</v>
      </c>
      <c r="X187" s="34" t="s">
        <v>461</v>
      </c>
      <c r="Y187" s="3" t="s">
        <v>317</v>
      </c>
      <c r="Z187" s="15"/>
      <c r="AA187" s="15"/>
      <c r="AB187" s="15"/>
      <c r="AC187" s="15"/>
    </row>
    <row r="188" spans="1:29" ht="39.75" customHeight="1">
      <c r="A188" s="24">
        <v>185</v>
      </c>
      <c r="B188" s="4">
        <v>2051117603</v>
      </c>
      <c r="C188" s="5" t="s">
        <v>462</v>
      </c>
      <c r="D188" s="6" t="str">
        <f>VLOOKUP(B188,Sheet3!$B:$I,3,0)</f>
        <v>01/01/2002</v>
      </c>
      <c r="E188" s="6" t="str">
        <f>VLOOKUP($B188,Sheet4!$B:$L,4,0)</f>
        <v>01/01/2002</v>
      </c>
      <c r="F188" s="6" t="s">
        <v>870</v>
      </c>
      <c r="G188" s="6">
        <f>VLOOKUP($B188,Sheet3!$B:$I,5,0)</f>
        <v>0</v>
      </c>
      <c r="H188" s="6" t="str">
        <f>VLOOKUP($B188,Sheet4!$B:$L,5,0)</f>
        <v>Đông Nai</v>
      </c>
      <c r="I188" s="6" t="str">
        <f>VLOOKUP(B188,[1]Sheet3!$D:$K,5,0)</f>
        <v>Ấp Bàu Sầm , xã Bàu Trâm , TP Long Khánh , tỉnh Đồng Nai</v>
      </c>
      <c r="J188" s="6" t="s">
        <v>835</v>
      </c>
      <c r="K188" s="6">
        <f>VLOOKUP($B188,Sheet3!$B:$I,6,0)</f>
        <v>0</v>
      </c>
      <c r="L188" s="6" t="str">
        <f>VLOOKUP($B188,Sheet4!$B:$L,10,0)</f>
        <v>Kinh</v>
      </c>
      <c r="M188" s="6" t="s">
        <v>1895</v>
      </c>
      <c r="N188" s="6">
        <f>VLOOKUP($B188,Sheet3!$B:$I,7,0)</f>
        <v>0</v>
      </c>
      <c r="O188" s="6" t="str">
        <f>VLOOKUP($B188,Sheet4!$B:$L,11,0)</f>
        <v>không</v>
      </c>
      <c r="P188" s="6" t="s">
        <v>1901</v>
      </c>
      <c r="Q188" s="5" t="s">
        <v>463</v>
      </c>
      <c r="R188" s="17" t="s">
        <v>540</v>
      </c>
      <c r="S188" s="36" t="s">
        <v>500</v>
      </c>
      <c r="T188" s="10" t="s">
        <v>503</v>
      </c>
      <c r="U188" s="58" t="s">
        <v>539</v>
      </c>
      <c r="V188" s="9" t="s">
        <v>747</v>
      </c>
      <c r="W188" s="5" t="s">
        <v>460</v>
      </c>
      <c r="X188" s="34" t="s">
        <v>461</v>
      </c>
      <c r="Y188" s="3" t="s">
        <v>317</v>
      </c>
      <c r="Z188" s="15"/>
      <c r="AA188" s="15"/>
      <c r="AB188" s="15"/>
      <c r="AC188" s="15"/>
    </row>
    <row r="189" spans="1:29" ht="39.75" customHeight="1">
      <c r="A189" s="24">
        <v>186</v>
      </c>
      <c r="B189" s="4">
        <v>2151017506</v>
      </c>
      <c r="C189" s="5" t="s">
        <v>465</v>
      </c>
      <c r="D189" s="6" t="e">
        <f>VLOOKUP(B189,Sheet3!$B:$I,3,0)</f>
        <v>#N/A</v>
      </c>
      <c r="E189" s="6" t="str">
        <f>VLOOKUP($B189,Sheet4!$B:$L,4,0)</f>
        <v>11/03/2003</v>
      </c>
      <c r="F189" s="6" t="s">
        <v>7162</v>
      </c>
      <c r="G189" s="6" t="e">
        <f>VLOOKUP($B189,Sheet3!$B:$I,5,0)</f>
        <v>#N/A</v>
      </c>
      <c r="H189" s="6" t="str">
        <f>VLOOKUP($B189,Sheet4!$B:$L,5,0)</f>
        <v>BV Hùng Vương, Tp.HCM</v>
      </c>
      <c r="I189" s="6" t="str">
        <f>VLOOKUP(B189,[1]Sheet3!$D:$K,5,0)</f>
        <v xml:space="preserve">Thành phố Hồ Chí Minh </v>
      </c>
      <c r="J189" s="6" t="s">
        <v>8892</v>
      </c>
      <c r="K189" s="6" t="e">
        <f>VLOOKUP($B189,Sheet3!$B:$I,6,0)</f>
        <v>#N/A</v>
      </c>
      <c r="L189" s="6" t="str">
        <f>VLOOKUP($B189,Sheet4!$B:$L,10,0)</f>
        <v>Kinh</v>
      </c>
      <c r="M189" s="6" t="s">
        <v>1895</v>
      </c>
      <c r="N189" s="6" t="e">
        <f>VLOOKUP($B189,Sheet3!$B:$I,7,0)</f>
        <v>#N/A</v>
      </c>
      <c r="O189" s="6" t="str">
        <f>VLOOKUP($B189,Sheet4!$B:$L,11,0)</f>
        <v>7</v>
      </c>
      <c r="P189" s="6" t="s">
        <v>8871</v>
      </c>
      <c r="Q189" s="5" t="s">
        <v>458</v>
      </c>
      <c r="R189" s="17" t="s">
        <v>540</v>
      </c>
      <c r="S189" s="36" t="s">
        <v>498</v>
      </c>
      <c r="T189" s="10" t="s">
        <v>503</v>
      </c>
      <c r="U189" s="58">
        <v>2.33</v>
      </c>
      <c r="V189" s="9" t="s">
        <v>466</v>
      </c>
      <c r="W189" s="5" t="s">
        <v>467</v>
      </c>
      <c r="X189" s="34"/>
      <c r="Y189" s="3" t="s">
        <v>317</v>
      </c>
      <c r="Z189" s="15"/>
      <c r="AA189" s="15"/>
      <c r="AB189" s="15"/>
      <c r="AC189" s="15"/>
    </row>
    <row r="190" spans="1:29" ht="39.75" customHeight="1">
      <c r="A190" s="24">
        <v>187</v>
      </c>
      <c r="B190" s="4">
        <v>2151017212</v>
      </c>
      <c r="C190" s="5" t="s">
        <v>468</v>
      </c>
      <c r="D190" s="6" t="e">
        <f>VLOOKUP(B190,Sheet3!$B:$I,3,0)</f>
        <v>#N/A</v>
      </c>
      <c r="E190" s="6" t="str">
        <f>VLOOKUP($B190,Sheet4!$B:$L,4,0)</f>
        <v>06/03/2003</v>
      </c>
      <c r="F190" s="6" t="s">
        <v>3167</v>
      </c>
      <c r="G190" s="6" t="e">
        <f>VLOOKUP($B190,Sheet3!$B:$I,5,0)</f>
        <v>#N/A</v>
      </c>
      <c r="H190" s="6" t="str">
        <f>VLOOKUP($B190,Sheet4!$B:$L,5,0)</f>
        <v>Cà Mau</v>
      </c>
      <c r="I190" s="6" t="str">
        <f>VLOOKUP(B190,[1]Sheet3!$D:$K,5,0)</f>
        <v>Cà Mau</v>
      </c>
      <c r="J190" s="6" t="s">
        <v>861</v>
      </c>
      <c r="K190" s="6" t="e">
        <f>VLOOKUP($B190,Sheet3!$B:$I,6,0)</f>
        <v>#N/A</v>
      </c>
      <c r="L190" s="6" t="str">
        <f>VLOOKUP($B190,Sheet4!$B:$L,10,0)</f>
        <v>1379</v>
      </c>
      <c r="M190" s="6" t="s">
        <v>1895</v>
      </c>
      <c r="N190" s="6" t="e">
        <f>VLOOKUP($B190,Sheet3!$B:$I,7,0)</f>
        <v>#N/A</v>
      </c>
      <c r="O190" s="6" t="str">
        <f>VLOOKUP($B190,Sheet4!$B:$L,11,0)</f>
        <v>1379</v>
      </c>
      <c r="P190" s="6" t="s">
        <v>1901</v>
      </c>
      <c r="Q190" s="5" t="s">
        <v>313</v>
      </c>
      <c r="R190" s="17" t="s">
        <v>314</v>
      </c>
      <c r="S190" s="36" t="s">
        <v>498</v>
      </c>
      <c r="T190" s="10" t="s">
        <v>503</v>
      </c>
      <c r="U190" s="58">
        <v>3.42</v>
      </c>
      <c r="V190" s="9" t="s">
        <v>469</v>
      </c>
      <c r="W190" s="5" t="s">
        <v>470</v>
      </c>
      <c r="X190" s="34"/>
      <c r="Y190" s="3" t="s">
        <v>317</v>
      </c>
      <c r="Z190" s="15"/>
      <c r="AA190" s="15"/>
      <c r="AB190" s="15"/>
      <c r="AC190" s="15"/>
    </row>
    <row r="191" spans="1:29" ht="39.75" customHeight="1">
      <c r="A191" s="24">
        <v>188</v>
      </c>
      <c r="B191" s="4">
        <v>2151017022</v>
      </c>
      <c r="C191" s="5" t="s">
        <v>471</v>
      </c>
      <c r="D191" s="6" t="e">
        <f>VLOOKUP(B191,Sheet3!$B:$I,3,0)</f>
        <v>#N/A</v>
      </c>
      <c r="E191" s="6" t="str">
        <f>VLOOKUP($B191,Sheet4!$B:$L,4,0)</f>
        <v>15/12/2003</v>
      </c>
      <c r="F191" s="6" t="s">
        <v>7115</v>
      </c>
      <c r="G191" s="6" t="e">
        <f>VLOOKUP($B191,Sheet3!$B:$I,5,0)</f>
        <v>#N/A</v>
      </c>
      <c r="H191" s="6" t="str">
        <f>VLOOKUP($B191,Sheet4!$B:$L,5,0)</f>
        <v>Bình Định</v>
      </c>
      <c r="I191" s="6" t="str">
        <f>VLOOKUP(B191,[1]Sheet3!$D:$K,5,0)</f>
        <v xml:space="preserve">BÌNH ĐỊNH </v>
      </c>
      <c r="J191" s="6" t="s">
        <v>821</v>
      </c>
      <c r="K191" s="6" t="e">
        <f>VLOOKUP($B191,Sheet3!$B:$I,6,0)</f>
        <v>#N/A</v>
      </c>
      <c r="L191" s="6" t="str">
        <f>VLOOKUP($B191,Sheet4!$B:$L,10,0)</f>
        <v>Kinh</v>
      </c>
      <c r="M191" s="6" t="s">
        <v>8874</v>
      </c>
      <c r="N191" s="6" t="e">
        <f>VLOOKUP($B191,Sheet3!$B:$I,7,0)</f>
        <v>#N/A</v>
      </c>
      <c r="O191" s="6" t="str">
        <f>VLOOKUP($B191,Sheet4!$B:$L,11,0)</f>
        <v>1189</v>
      </c>
      <c r="P191" s="6" t="s">
        <v>6924</v>
      </c>
      <c r="Q191" s="5" t="s">
        <v>313</v>
      </c>
      <c r="R191" s="17" t="s">
        <v>314</v>
      </c>
      <c r="S191" s="36" t="s">
        <v>498</v>
      </c>
      <c r="T191" s="10" t="s">
        <v>503</v>
      </c>
      <c r="U191" s="58">
        <v>2.2599999999999998</v>
      </c>
      <c r="V191" s="9" t="s">
        <v>472</v>
      </c>
      <c r="W191" s="5" t="s">
        <v>470</v>
      </c>
      <c r="X191" s="34"/>
      <c r="Y191" s="3" t="s">
        <v>317</v>
      </c>
      <c r="Z191" s="15"/>
      <c r="AA191" s="15"/>
      <c r="AB191" s="15"/>
      <c r="AC191" s="15"/>
    </row>
    <row r="192" spans="1:29" ht="39.75" customHeight="1">
      <c r="A192" s="24">
        <v>189</v>
      </c>
      <c r="B192" s="4">
        <v>2151017513</v>
      </c>
      <c r="C192" s="5" t="s">
        <v>473</v>
      </c>
      <c r="D192" s="6" t="e">
        <f>VLOOKUP(B192,Sheet3!$B:$I,3,0)</f>
        <v>#N/A</v>
      </c>
      <c r="E192" s="6" t="str">
        <f>VLOOKUP($B192,Sheet4!$B:$L,4,0)</f>
        <v>30/05/2003</v>
      </c>
      <c r="F192" s="6" t="s">
        <v>7099</v>
      </c>
      <c r="G192" s="6" t="e">
        <f>VLOOKUP($B192,Sheet3!$B:$I,5,0)</f>
        <v>#N/A</v>
      </c>
      <c r="H192" s="6" t="str">
        <f>VLOOKUP($B192,Sheet4!$B:$L,5,0)</f>
        <v>Bình Thuận</v>
      </c>
      <c r="I192" s="6" t="str">
        <f>VLOOKUP(B192,[1]Sheet3!$D:$K,5,0)</f>
        <v xml:space="preserve">Bình Thuận </v>
      </c>
      <c r="J192" s="6" t="s">
        <v>8887</v>
      </c>
      <c r="K192" s="6" t="e">
        <f>VLOOKUP($B192,Sheet3!$B:$I,6,0)</f>
        <v>#N/A</v>
      </c>
      <c r="L192" s="6" t="str">
        <f>VLOOKUP($B192,Sheet4!$B:$L,10,0)</f>
        <v>Kinh</v>
      </c>
      <c r="M192" s="6" t="s">
        <v>8876</v>
      </c>
      <c r="N192" s="6" t="e">
        <f>VLOOKUP($B192,Sheet3!$B:$I,7,0)</f>
        <v>#N/A</v>
      </c>
      <c r="O192" s="6" t="str">
        <f>VLOOKUP($B192,Sheet4!$B:$L,11,0)</f>
        <v>14</v>
      </c>
      <c r="P192" s="6" t="s">
        <v>1901</v>
      </c>
      <c r="Q192" s="5" t="s">
        <v>313</v>
      </c>
      <c r="R192" s="17" t="s">
        <v>314</v>
      </c>
      <c r="S192" s="36" t="s">
        <v>498</v>
      </c>
      <c r="T192" s="10" t="s">
        <v>503</v>
      </c>
      <c r="U192" s="58">
        <v>2.16</v>
      </c>
      <c r="V192" s="9" t="s">
        <v>474</v>
      </c>
      <c r="W192" s="5" t="s">
        <v>470</v>
      </c>
      <c r="X192" s="34"/>
      <c r="Y192" s="3" t="s">
        <v>317</v>
      </c>
      <c r="Z192" s="15"/>
      <c r="AA192" s="15"/>
      <c r="AB192" s="15"/>
      <c r="AC192" s="15"/>
    </row>
    <row r="193" spans="1:29" ht="39.75" customHeight="1">
      <c r="A193" s="24">
        <v>190</v>
      </c>
      <c r="B193" s="4">
        <v>2151017208</v>
      </c>
      <c r="C193" s="5" t="s">
        <v>475</v>
      </c>
      <c r="D193" s="6" t="e">
        <f>VLOOKUP(B193,Sheet3!$B:$I,3,0)</f>
        <v>#N/A</v>
      </c>
      <c r="E193" s="6" t="str">
        <f>VLOOKUP($B193,Sheet4!$B:$L,4,0)</f>
        <v>28/12/2003</v>
      </c>
      <c r="F193" s="6" t="s">
        <v>7095</v>
      </c>
      <c r="G193" s="6" t="e">
        <f>VLOOKUP($B193,Sheet3!$B:$I,5,0)</f>
        <v>#N/A</v>
      </c>
      <c r="H193" s="6" t="str">
        <f>VLOOKUP($B193,Sheet4!$B:$L,5,0)</f>
        <v>Kiên Giang</v>
      </c>
      <c r="I193" s="6" t="str">
        <f>VLOOKUP(B193,[1]Sheet3!$D:$K,5,0)</f>
        <v>Hòn Đất, Kiên Giang</v>
      </c>
      <c r="J193" s="6" t="s">
        <v>892</v>
      </c>
      <c r="K193" s="6" t="e">
        <f>VLOOKUP($B193,Sheet3!$B:$I,6,0)</f>
        <v>#N/A</v>
      </c>
      <c r="L193" s="6" t="str">
        <f>VLOOKUP($B193,Sheet4!$B:$L,10,0)</f>
        <v>Kinh</v>
      </c>
      <c r="M193" s="6" t="s">
        <v>1895</v>
      </c>
      <c r="N193" s="6" t="e">
        <f>VLOOKUP($B193,Sheet3!$B:$I,7,0)</f>
        <v>#N/A</v>
      </c>
      <c r="O193" s="6" t="str">
        <f>VLOOKUP($B193,Sheet4!$B:$L,11,0)</f>
        <v>1375</v>
      </c>
      <c r="P193" s="6" t="s">
        <v>1901</v>
      </c>
      <c r="Q193" s="5" t="s">
        <v>313</v>
      </c>
      <c r="R193" s="17" t="s">
        <v>314</v>
      </c>
      <c r="S193" s="36" t="s">
        <v>498</v>
      </c>
      <c r="T193" s="10" t="s">
        <v>503</v>
      </c>
      <c r="U193" s="58">
        <v>2.09</v>
      </c>
      <c r="V193" s="9" t="s">
        <v>476</v>
      </c>
      <c r="W193" s="5" t="s">
        <v>470</v>
      </c>
      <c r="X193" s="34"/>
      <c r="Y193" s="3" t="s">
        <v>317</v>
      </c>
      <c r="Z193" s="15"/>
      <c r="AA193" s="15"/>
      <c r="AB193" s="15"/>
      <c r="AC193" s="15"/>
    </row>
    <row r="194" spans="1:29" ht="39.75" customHeight="1">
      <c r="A194" s="24">
        <v>191</v>
      </c>
      <c r="B194" s="4">
        <v>2151017509</v>
      </c>
      <c r="C194" s="5" t="s">
        <v>477</v>
      </c>
      <c r="D194" s="6" t="e">
        <f>VLOOKUP(B194,Sheet3!$B:$I,3,0)</f>
        <v>#N/A</v>
      </c>
      <c r="E194" s="6" t="str">
        <f>VLOOKUP($B194,Sheet4!$B:$L,4,0)</f>
        <v>14/10/2003</v>
      </c>
      <c r="F194" s="6" t="s">
        <v>7111</v>
      </c>
      <c r="G194" s="6" t="e">
        <f>VLOOKUP($B194,Sheet3!$B:$I,5,0)</f>
        <v>#N/A</v>
      </c>
      <c r="H194" s="6" t="str">
        <f>VLOOKUP($B194,Sheet4!$B:$L,5,0)</f>
        <v>Tp.HCM</v>
      </c>
      <c r="I194" s="6" t="str">
        <f>VLOOKUP(B194,[1]Sheet3!$D:$K,5,0)</f>
        <v>Thành phố Hồ Chí Minh</v>
      </c>
      <c r="J194" s="6" t="s">
        <v>5255</v>
      </c>
      <c r="K194" s="6" t="e">
        <f>VLOOKUP($B194,Sheet3!$B:$I,6,0)</f>
        <v>#N/A</v>
      </c>
      <c r="L194" s="6" t="str">
        <f>VLOOKUP($B194,Sheet4!$B:$L,10,0)</f>
        <v>Kinh</v>
      </c>
      <c r="M194" s="6" t="s">
        <v>1895</v>
      </c>
      <c r="N194" s="6" t="e">
        <f>VLOOKUP($B194,Sheet3!$B:$I,7,0)</f>
        <v>#N/A</v>
      </c>
      <c r="O194" s="6" t="str">
        <f>VLOOKUP($B194,Sheet4!$B:$L,11,0)</f>
        <v>10</v>
      </c>
      <c r="P194" s="6" t="s">
        <v>6924</v>
      </c>
      <c r="Q194" s="5" t="s">
        <v>313</v>
      </c>
      <c r="R194" s="17" t="s">
        <v>314</v>
      </c>
      <c r="S194" s="36" t="s">
        <v>498</v>
      </c>
      <c r="T194" s="10" t="s">
        <v>503</v>
      </c>
      <c r="U194" s="58">
        <v>2.19</v>
      </c>
      <c r="V194" s="9" t="s">
        <v>478</v>
      </c>
      <c r="W194" s="5" t="s">
        <v>470</v>
      </c>
      <c r="X194" s="34"/>
      <c r="Y194" s="3" t="s">
        <v>317</v>
      </c>
      <c r="Z194" s="15"/>
      <c r="AA194" s="15"/>
      <c r="AB194" s="15"/>
      <c r="AC194" s="15"/>
    </row>
    <row r="195" spans="1:29" ht="39.75" customHeight="1">
      <c r="A195" s="24">
        <v>192</v>
      </c>
      <c r="B195" s="4">
        <v>2151017518</v>
      </c>
      <c r="C195" s="5" t="s">
        <v>479</v>
      </c>
      <c r="D195" s="6" t="e">
        <f>VLOOKUP(B195,Sheet3!$B:$I,3,0)</f>
        <v>#N/A</v>
      </c>
      <c r="E195" s="6" t="str">
        <f>VLOOKUP($B195,Sheet4!$B:$L,4,0)</f>
        <v>17/08/2003</v>
      </c>
      <c r="F195" s="6" t="s">
        <v>3282</v>
      </c>
      <c r="G195" s="6" t="e">
        <f>VLOOKUP($B195,Sheet3!$B:$I,5,0)</f>
        <v>#N/A</v>
      </c>
      <c r="H195" s="6" t="str">
        <f>VLOOKUP($B195,Sheet4!$B:$L,5,0)</f>
        <v>Tiền Giang</v>
      </c>
      <c r="I195" s="6" t="str">
        <f>VLOOKUP(B195,[1]Sheet3!$D:$K,5,0)</f>
        <v>MỹTho, Tiền Giang</v>
      </c>
      <c r="J195" s="6" t="s">
        <v>790</v>
      </c>
      <c r="K195" s="6" t="e">
        <f>VLOOKUP($B195,Sheet3!$B:$I,6,0)</f>
        <v>#N/A</v>
      </c>
      <c r="L195" s="6" t="str">
        <f>VLOOKUP($B195,Sheet4!$B:$L,10,0)</f>
        <v>Kinh</v>
      </c>
      <c r="M195" s="6" t="s">
        <v>1895</v>
      </c>
      <c r="N195" s="6" t="e">
        <f>VLOOKUP($B195,Sheet3!$B:$I,7,0)</f>
        <v>#N/A</v>
      </c>
      <c r="O195" s="6" t="str">
        <f>VLOOKUP($B195,Sheet4!$B:$L,11,0)</f>
        <v>19</v>
      </c>
      <c r="P195" s="6" t="s">
        <v>1901</v>
      </c>
      <c r="Q195" s="5" t="s">
        <v>313</v>
      </c>
      <c r="R195" s="17" t="s">
        <v>314</v>
      </c>
      <c r="S195" s="36" t="s">
        <v>498</v>
      </c>
      <c r="T195" s="10" t="s">
        <v>503</v>
      </c>
      <c r="U195" s="58">
        <v>2.19</v>
      </c>
      <c r="V195" s="9" t="s">
        <v>480</v>
      </c>
      <c r="W195" s="5" t="s">
        <v>470</v>
      </c>
      <c r="X195" s="34"/>
      <c r="Y195" s="3" t="s">
        <v>317</v>
      </c>
      <c r="Z195" s="15"/>
      <c r="AA195" s="15"/>
      <c r="AB195" s="15"/>
      <c r="AC195" s="15"/>
    </row>
    <row r="196" spans="1:29" ht="39.75" customHeight="1">
      <c r="A196" s="24">
        <v>193</v>
      </c>
      <c r="B196" s="4">
        <v>1951015717</v>
      </c>
      <c r="C196" s="5" t="s">
        <v>481</v>
      </c>
      <c r="D196" s="6" t="e">
        <f>VLOOKUP(B196,Sheet3!$B:$I,3,0)</f>
        <v>#N/A</v>
      </c>
      <c r="E196" s="6" t="str">
        <f>VLOOKUP($B196,Sheet4!$B:$L,4,0)</f>
        <v>14/08/2000</v>
      </c>
      <c r="F196" s="6" t="s">
        <v>7282</v>
      </c>
      <c r="G196" s="6" t="e">
        <f>VLOOKUP($B196,Sheet3!$B:$I,5,0)</f>
        <v>#N/A</v>
      </c>
      <c r="H196" s="6" t="str">
        <f>VLOOKUP($B196,Sheet4!$B:$L,5,0)</f>
        <v>Vĩnh Ninh, Vĩnh Lộc, Thanh Hóa</v>
      </c>
      <c r="I196" s="6" t="str">
        <f>VLOOKUP(B196,[1]Sheet3!$D:$K,5,0)</f>
        <v>Yên lac-ninh khang-vĩnh Lộc- thanh hoá</v>
      </c>
      <c r="J196" s="6" t="s">
        <v>817</v>
      </c>
      <c r="K196" s="6" t="e">
        <f>VLOOKUP($B196,Sheet3!$B:$I,6,0)</f>
        <v>#N/A</v>
      </c>
      <c r="L196" s="6" t="str">
        <f>VLOOKUP($B196,Sheet4!$B:$L,10,0)</f>
        <v>Kinh</v>
      </c>
      <c r="M196" s="6" t="s">
        <v>1895</v>
      </c>
      <c r="N196" s="6" t="e">
        <f>VLOOKUP($B196,Sheet3!$B:$I,7,0)</f>
        <v>#N/A</v>
      </c>
      <c r="O196" s="6" t="str">
        <f>VLOOKUP($B196,Sheet4!$B:$L,11,0)</f>
        <v>không</v>
      </c>
      <c r="P196" s="6" t="s">
        <v>1901</v>
      </c>
      <c r="Q196" s="5" t="s">
        <v>482</v>
      </c>
      <c r="R196" s="17" t="s">
        <v>314</v>
      </c>
      <c r="S196" s="36" t="s">
        <v>496</v>
      </c>
      <c r="T196" s="10" t="s">
        <v>503</v>
      </c>
      <c r="U196" s="58">
        <v>1.97</v>
      </c>
      <c r="V196" s="9" t="s">
        <v>483</v>
      </c>
      <c r="W196" s="5" t="s">
        <v>470</v>
      </c>
      <c r="X196" s="34"/>
      <c r="Y196" s="3" t="s">
        <v>317</v>
      </c>
      <c r="Z196" s="15"/>
      <c r="AA196" s="15"/>
      <c r="AB196" s="15"/>
      <c r="AC196" s="15"/>
    </row>
    <row r="197" spans="1:29" ht="39.75" customHeight="1">
      <c r="A197" s="24">
        <v>194</v>
      </c>
      <c r="B197" s="4">
        <v>1951015150</v>
      </c>
      <c r="C197" s="5" t="s">
        <v>484</v>
      </c>
      <c r="D197" s="6" t="e">
        <f>VLOOKUP(B197,Sheet3!$B:$I,3,0)</f>
        <v>#N/A</v>
      </c>
      <c r="E197" s="6" t="str">
        <f>VLOOKUP($B197,Sheet4!$B:$L,4,0)</f>
        <v>03/06/2001</v>
      </c>
      <c r="F197" s="6" t="s">
        <v>7278</v>
      </c>
      <c r="G197" s="6" t="e">
        <f>VLOOKUP($B197,Sheet3!$B:$I,5,0)</f>
        <v>#N/A</v>
      </c>
      <c r="H197" s="6" t="str">
        <f>VLOOKUP($B197,Sheet4!$B:$L,5,0)</f>
        <v>Đồng Tháp</v>
      </c>
      <c r="I197" s="6" t="str">
        <f>VLOOKUP(B197,[1]Sheet3!$D:$K,5,0)</f>
        <v>Đồng Tháp</v>
      </c>
      <c r="J197" s="6" t="s">
        <v>790</v>
      </c>
      <c r="K197" s="6" t="e">
        <f>VLOOKUP($B197,Sheet3!$B:$I,6,0)</f>
        <v>#N/A</v>
      </c>
      <c r="L197" s="6" t="str">
        <f>VLOOKUP($B197,Sheet4!$B:$L,10,0)</f>
        <v>Kinh</v>
      </c>
      <c r="M197" s="6" t="s">
        <v>1895</v>
      </c>
      <c r="N197" s="6" t="e">
        <f>VLOOKUP($B197,Sheet3!$B:$I,7,0)</f>
        <v>#N/A</v>
      </c>
      <c r="O197" s="6" t="str">
        <f>VLOOKUP($B197,Sheet4!$B:$L,11,0)</f>
        <v>Không có</v>
      </c>
      <c r="P197" s="6" t="s">
        <v>1901</v>
      </c>
      <c r="Q197" s="5" t="s">
        <v>482</v>
      </c>
      <c r="R197" s="17" t="s">
        <v>314</v>
      </c>
      <c r="S197" s="36" t="s">
        <v>496</v>
      </c>
      <c r="T197" s="10" t="s">
        <v>503</v>
      </c>
      <c r="U197" s="58">
        <v>2</v>
      </c>
      <c r="V197" s="9" t="s">
        <v>485</v>
      </c>
      <c r="W197" s="5" t="s">
        <v>470</v>
      </c>
      <c r="X197" s="34"/>
      <c r="Y197" s="3" t="s">
        <v>317</v>
      </c>
      <c r="Z197" s="15"/>
      <c r="AA197" s="15"/>
      <c r="AB197" s="15"/>
      <c r="AC197" s="15"/>
    </row>
    <row r="198" spans="1:29" ht="39.75" customHeight="1">
      <c r="A198" s="24">
        <v>195</v>
      </c>
      <c r="B198" s="4">
        <v>1951015231</v>
      </c>
      <c r="C198" s="5" t="s">
        <v>486</v>
      </c>
      <c r="D198" s="6" t="e">
        <f>VLOOKUP(B198,Sheet3!$B:$I,3,0)</f>
        <v>#N/A</v>
      </c>
      <c r="E198" s="6" t="str">
        <f>VLOOKUP($B198,Sheet4!$B:$L,4,0)</f>
        <v>01/12/2001</v>
      </c>
      <c r="F198" s="6" t="s">
        <v>1427</v>
      </c>
      <c r="G198" s="6" t="e">
        <f>VLOOKUP($B198,Sheet3!$B:$I,5,0)</f>
        <v>#N/A</v>
      </c>
      <c r="H198" s="6" t="str">
        <f>VLOOKUP($B198,Sheet4!$B:$L,5,0)</f>
        <v>Thái Bình</v>
      </c>
      <c r="I198" s="6" t="str">
        <f>VLOOKUP(B198,[1]Sheet3!$D:$K,5,0)</f>
        <v>Xã Quang Trung huyện Kiến Xương tỉnh Thái Bình</v>
      </c>
      <c r="J198" s="6" t="s">
        <v>1153</v>
      </c>
      <c r="K198" s="6" t="e">
        <f>VLOOKUP($B198,Sheet3!$B:$I,6,0)</f>
        <v>#N/A</v>
      </c>
      <c r="L198" s="6" t="str">
        <f>VLOOKUP($B198,Sheet4!$B:$L,10,0)</f>
        <v>Kinh</v>
      </c>
      <c r="M198" s="6" t="s">
        <v>1895</v>
      </c>
      <c r="N198" s="6" t="e">
        <f>VLOOKUP($B198,Sheet3!$B:$I,7,0)</f>
        <v>#N/A</v>
      </c>
      <c r="O198" s="6" t="str">
        <f>VLOOKUP($B198,Sheet4!$B:$L,11,0)</f>
        <v>Không</v>
      </c>
      <c r="P198" s="6" t="s">
        <v>1901</v>
      </c>
      <c r="Q198" s="5" t="s">
        <v>482</v>
      </c>
      <c r="R198" s="17" t="s">
        <v>314</v>
      </c>
      <c r="S198" s="36" t="s">
        <v>496</v>
      </c>
      <c r="T198" s="10" t="s">
        <v>503</v>
      </c>
      <c r="U198" s="58">
        <v>2.0099999999999998</v>
      </c>
      <c r="V198" s="9" t="s">
        <v>487</v>
      </c>
      <c r="W198" s="5" t="s">
        <v>470</v>
      </c>
      <c r="X198" s="34"/>
      <c r="Y198" s="3" t="s">
        <v>317</v>
      </c>
      <c r="Z198" s="15"/>
      <c r="AA198" s="15"/>
      <c r="AB198" s="15"/>
      <c r="AC198" s="15"/>
    </row>
    <row r="199" spans="1:29" ht="39.75" customHeight="1">
      <c r="A199" s="24">
        <v>196</v>
      </c>
      <c r="B199" s="4">
        <v>1951015560</v>
      </c>
      <c r="C199" s="5" t="s">
        <v>488</v>
      </c>
      <c r="D199" s="6" t="e">
        <f>VLOOKUP(B199,Sheet3!$B:$I,3,0)</f>
        <v>#N/A</v>
      </c>
      <c r="E199" s="6" t="str">
        <f>VLOOKUP($B199,Sheet4!$B:$L,4,0)</f>
        <v>21/09/2001</v>
      </c>
      <c r="F199" s="6" t="s">
        <v>7276</v>
      </c>
      <c r="G199" s="6" t="e">
        <f>VLOOKUP($B199,Sheet3!$B:$I,5,0)</f>
        <v>#N/A</v>
      </c>
      <c r="H199" s="6" t="str">
        <f>VLOOKUP($B199,Sheet4!$B:$L,5,0)</f>
        <v>Thành phố Phan Thiết, tỉnh Bình Thuận</v>
      </c>
      <c r="I199" s="6" t="str">
        <f>VLOOKUP(B199,[1]Sheet3!$D:$K,5,0)</f>
        <v>thành phố Phan Thiết, tỉnh Bình Thuận</v>
      </c>
      <c r="J199" s="6" t="s">
        <v>998</v>
      </c>
      <c r="K199" s="6" t="e">
        <f>VLOOKUP($B199,Sheet3!$B:$I,6,0)</f>
        <v>#N/A</v>
      </c>
      <c r="L199" s="6" t="str">
        <f>VLOOKUP($B199,Sheet4!$B:$L,10,0)</f>
        <v>Kinh</v>
      </c>
      <c r="M199" s="6" t="s">
        <v>1895</v>
      </c>
      <c r="N199" s="6" t="e">
        <f>VLOOKUP($B199,Sheet3!$B:$I,7,0)</f>
        <v>#N/A</v>
      </c>
      <c r="O199" s="6" t="str">
        <f>VLOOKUP($B199,Sheet4!$B:$L,11,0)</f>
        <v>Không</v>
      </c>
      <c r="P199" s="6" t="s">
        <v>1901</v>
      </c>
      <c r="Q199" s="5" t="s">
        <v>482</v>
      </c>
      <c r="R199" s="17" t="s">
        <v>314</v>
      </c>
      <c r="S199" s="36" t="s">
        <v>496</v>
      </c>
      <c r="T199" s="10" t="s">
        <v>503</v>
      </c>
      <c r="U199" s="58">
        <v>1.96</v>
      </c>
      <c r="V199" s="9" t="s">
        <v>489</v>
      </c>
      <c r="W199" s="5" t="s">
        <v>470</v>
      </c>
      <c r="X199" s="34"/>
      <c r="Y199" s="3" t="s">
        <v>317</v>
      </c>
      <c r="Z199" s="15"/>
      <c r="AA199" s="15"/>
      <c r="AB199" s="15"/>
      <c r="AC199" s="15"/>
    </row>
    <row r="200" spans="1:29" ht="39.75" customHeight="1">
      <c r="A200" s="24">
        <v>197</v>
      </c>
      <c r="B200" s="4">
        <v>2151017351</v>
      </c>
      <c r="C200" s="5" t="s">
        <v>490</v>
      </c>
      <c r="D200" s="6" t="str">
        <f>VLOOKUP(B200,Sheet3!$B:$I,3,0)</f>
        <v>27/12/2003</v>
      </c>
      <c r="E200" s="6" t="str">
        <f>VLOOKUP($B200,Sheet4!$B:$L,4,0)</f>
        <v>27/12/2003</v>
      </c>
      <c r="F200" s="6" t="s">
        <v>3787</v>
      </c>
      <c r="G200" s="6">
        <f>VLOOKUP($B200,Sheet3!$B:$I,5,0)</f>
        <v>0</v>
      </c>
      <c r="H200" s="6" t="str">
        <f>VLOOKUP($B200,Sheet4!$B:$L,5,0)</f>
        <v>Cà Mau</v>
      </c>
      <c r="I200" s="6" t="str">
        <f>VLOOKUP(B200,[1]Sheet3!$D:$K,5,0)</f>
        <v>Bệnh viện Sản Nhi, TP Cà Mau</v>
      </c>
      <c r="J200" s="6" t="s">
        <v>861</v>
      </c>
      <c r="K200" s="6">
        <f>VLOOKUP($B200,Sheet3!$B:$I,6,0)</f>
        <v>0</v>
      </c>
      <c r="L200" s="6" t="str">
        <f>VLOOKUP($B200,Sheet4!$B:$L,10,0)</f>
        <v>Kinh</v>
      </c>
      <c r="M200" s="6" t="s">
        <v>1895</v>
      </c>
      <c r="N200" s="6">
        <f>VLOOKUP($B200,Sheet3!$B:$I,7,0)</f>
        <v>0</v>
      </c>
      <c r="O200" s="6" t="str">
        <f>VLOOKUP($B200,Sheet4!$B:$L,11,0)</f>
        <v>13</v>
      </c>
      <c r="P200" s="6" t="s">
        <v>6298</v>
      </c>
      <c r="Q200" s="5" t="s">
        <v>313</v>
      </c>
      <c r="R200" s="17" t="s">
        <v>314</v>
      </c>
      <c r="S200" s="36" t="s">
        <v>498</v>
      </c>
      <c r="T200" s="10" t="s">
        <v>503</v>
      </c>
      <c r="U200" s="58">
        <v>2.0299999999999998</v>
      </c>
      <c r="V200" s="9" t="s">
        <v>491</v>
      </c>
      <c r="W200" s="5" t="s">
        <v>349</v>
      </c>
      <c r="X200" s="34"/>
      <c r="Y200" s="3" t="s">
        <v>317</v>
      </c>
      <c r="Z200" s="15"/>
      <c r="AA200" s="15"/>
      <c r="AB200" s="15"/>
      <c r="AC200" s="15"/>
    </row>
    <row r="201" spans="1:29" ht="39.75" customHeight="1">
      <c r="A201" s="24">
        <v>198</v>
      </c>
      <c r="B201" s="4">
        <v>1854033064</v>
      </c>
      <c r="C201" s="5" t="s">
        <v>492</v>
      </c>
      <c r="D201" s="6" t="e">
        <f>VLOOKUP(B201,Sheet3!$B:$I,3,0)</f>
        <v>#N/A</v>
      </c>
      <c r="E201" s="6" t="str">
        <f>VLOOKUP($B201,Sheet4!$B:$L,4,0)</f>
        <v>26/10/2000</v>
      </c>
      <c r="F201" s="6" t="s">
        <v>8735</v>
      </c>
      <c r="G201" s="6" t="e">
        <f>VLOOKUP($B201,Sheet3!$B:$I,5,0)</f>
        <v>#N/A</v>
      </c>
      <c r="H201" s="6">
        <f>VLOOKUP($B201,Sheet4!$B:$L,5,0)</f>
        <v>0</v>
      </c>
      <c r="I201" s="6" t="str">
        <f>VLOOKUP(B201,[1]Sheet3!$D:$K,5,0)</f>
        <v>Nghệ An</v>
      </c>
      <c r="J201" s="6" t="s">
        <v>857</v>
      </c>
      <c r="K201" s="6" t="e">
        <f>VLOOKUP($B201,Sheet3!$B:$I,6,0)</f>
        <v>#N/A</v>
      </c>
      <c r="L201" s="6">
        <f>VLOOKUP($B201,Sheet4!$B:$L,10,0)</f>
        <v>0</v>
      </c>
      <c r="M201" s="6" t="s">
        <v>1895</v>
      </c>
      <c r="N201" s="6" t="e">
        <f>VLOOKUP($B201,Sheet3!$B:$I,7,0)</f>
        <v>#N/A</v>
      </c>
      <c r="O201" s="6">
        <f>VLOOKUP($B201,Sheet4!$B:$L,11,0)</f>
        <v>0</v>
      </c>
      <c r="P201" s="6" t="s">
        <v>1901</v>
      </c>
      <c r="Q201" s="5" t="s">
        <v>493</v>
      </c>
      <c r="R201" s="17" t="s">
        <v>494</v>
      </c>
      <c r="S201" s="36" t="s">
        <v>499</v>
      </c>
      <c r="T201" s="10" t="s">
        <v>503</v>
      </c>
      <c r="U201" s="58">
        <v>2.2200000000000002</v>
      </c>
      <c r="V201" s="9" t="s">
        <v>495</v>
      </c>
      <c r="W201" s="5" t="s">
        <v>155</v>
      </c>
      <c r="X201" s="34"/>
      <c r="Y201" s="3" t="s">
        <v>727</v>
      </c>
      <c r="Z201" s="15"/>
      <c r="AA201" s="15"/>
      <c r="AB201" s="15"/>
      <c r="AC201" s="15"/>
    </row>
  </sheetData>
  <autoFilter ref="A3:AC201">
    <sortState ref="A6:S202">
      <sortCondition ref="A3"/>
    </sortState>
  </autoFilter>
  <mergeCells count="28">
    <mergeCell ref="V1:V3"/>
    <mergeCell ref="A1:A3"/>
    <mergeCell ref="B1:B3"/>
    <mergeCell ref="C1:C3"/>
    <mergeCell ref="D1:D3"/>
    <mergeCell ref="G1:G3"/>
    <mergeCell ref="K1:K3"/>
    <mergeCell ref="Q1:Q3"/>
    <mergeCell ref="R1:R3"/>
    <mergeCell ref="S1:S3"/>
    <mergeCell ref="T1:T3"/>
    <mergeCell ref="U1:U3"/>
    <mergeCell ref="J1:J3"/>
    <mergeCell ref="N1:N3"/>
    <mergeCell ref="E1:E3"/>
    <mergeCell ref="F1:F3"/>
    <mergeCell ref="W1:W3"/>
    <mergeCell ref="X1:X3"/>
    <mergeCell ref="Y1:Y3"/>
    <mergeCell ref="Z1:AC1"/>
    <mergeCell ref="Z2:AA2"/>
    <mergeCell ref="AB2:AC2"/>
    <mergeCell ref="P1:P3"/>
    <mergeCell ref="H1:H3"/>
    <mergeCell ref="I1:I3"/>
    <mergeCell ref="L1:L3"/>
    <mergeCell ref="M1:M3"/>
    <mergeCell ref="O1:O3"/>
  </mergeCells>
  <conditionalFormatting sqref="V1">
    <cfRule type="duplicateValues" dxfId="30" priority="83"/>
  </conditionalFormatting>
  <conditionalFormatting sqref="AD1:AD3 B1:B3">
    <cfRule type="duplicateValues" dxfId="29" priority="80"/>
    <cfRule type="duplicateValues" dxfId="28" priority="81"/>
    <cfRule type="duplicateValues" dxfId="27" priority="82"/>
  </conditionalFormatting>
  <conditionalFormatting sqref="AD1:AD3 B1:B3">
    <cfRule type="duplicateValues" dxfId="26" priority="79"/>
  </conditionalFormatting>
  <conditionalFormatting sqref="AD1:AD3">
    <cfRule type="duplicateValues" dxfId="25" priority="78"/>
  </conditionalFormatting>
  <conditionalFormatting sqref="AD1:AD3">
    <cfRule type="duplicateValues" dxfId="24" priority="77"/>
  </conditionalFormatting>
  <conditionalFormatting sqref="AD1:AD3">
    <cfRule type="duplicateValues" dxfId="23" priority="76"/>
  </conditionalFormatting>
  <conditionalFormatting sqref="C4 P4:P201">
    <cfRule type="duplicateValues" dxfId="22" priority="68"/>
    <cfRule type="duplicateValues" dxfId="21" priority="69"/>
  </conditionalFormatting>
  <conditionalFormatting sqref="B4">
    <cfRule type="duplicateValues" dxfId="20" priority="66"/>
    <cfRule type="duplicateValues" dxfId="19" priority="67"/>
    <cfRule type="duplicateValues" dxfId="18" priority="70"/>
  </conditionalFormatting>
  <conditionalFormatting sqref="V1:V4 V202:V1048576">
    <cfRule type="duplicateValues" dxfId="17" priority="97"/>
  </conditionalFormatting>
  <conditionalFormatting sqref="C5:C201">
    <cfRule type="duplicateValues" dxfId="16" priority="41"/>
    <cfRule type="duplicateValues" dxfId="15" priority="42"/>
  </conditionalFormatting>
  <conditionalFormatting sqref="B5:B201">
    <cfRule type="duplicateValues" dxfId="14" priority="39"/>
    <cfRule type="duplicateValues" dxfId="13" priority="40"/>
    <cfRule type="duplicateValues" dxfId="12" priority="43"/>
  </conditionalFormatting>
  <conditionalFormatting sqref="V5:V201">
    <cfRule type="duplicateValues" dxfId="11" priority="44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8"/>
  <sheetViews>
    <sheetView topLeftCell="A19" workbookViewId="0">
      <selection activeCell="C21" sqref="C21"/>
    </sheetView>
  </sheetViews>
  <sheetFormatPr defaultRowHeight="15"/>
  <cols>
    <col min="1" max="1" width="31" customWidth="1"/>
    <col min="2" max="3" width="31" style="18" customWidth="1"/>
    <col min="4" max="4" width="24.85546875" style="35" bestFit="1" customWidth="1"/>
    <col min="5" max="5" width="15.28515625" customWidth="1"/>
  </cols>
  <sheetData>
    <row r="1" spans="1:5" ht="15.75">
      <c r="A1" s="65" t="s">
        <v>12</v>
      </c>
      <c r="B1" s="62" t="s">
        <v>8907</v>
      </c>
      <c r="C1" s="62" t="s">
        <v>8908</v>
      </c>
      <c r="D1" s="65" t="s">
        <v>13</v>
      </c>
      <c r="E1" s="62" t="s">
        <v>8907</v>
      </c>
    </row>
    <row r="2" spans="1:5" ht="15.75">
      <c r="A2" s="5" t="s">
        <v>24</v>
      </c>
      <c r="B2" s="6">
        <f>COUNTIF(TH!W:W,A2)</f>
        <v>5</v>
      </c>
      <c r="C2" s="6">
        <f>COUNTIFS(TH!W4:W300,A2,TH!X4:X300,"&lt;&gt;")</f>
        <v>0</v>
      </c>
      <c r="D2" s="34" t="s">
        <v>111</v>
      </c>
      <c r="E2" s="66">
        <f>COUNTIF(TH!X:X,D2)</f>
        <v>8</v>
      </c>
    </row>
    <row r="3" spans="1:5" ht="15.75">
      <c r="A3" s="5" t="s">
        <v>37</v>
      </c>
      <c r="B3" s="6">
        <f>COUNTIF(TH!W:W,A3)</f>
        <v>5</v>
      </c>
      <c r="C3" s="6">
        <f>COUNTIFS(TH!W5:W301,A3,TH!X5:X301,"&lt;&gt;")</f>
        <v>0</v>
      </c>
      <c r="D3" s="34" t="s">
        <v>271</v>
      </c>
      <c r="E3" s="66">
        <f>COUNTIF(TH!X:X,D3)</f>
        <v>4</v>
      </c>
    </row>
    <row r="4" spans="1:5" ht="15.75">
      <c r="A4" s="5" t="s">
        <v>49</v>
      </c>
      <c r="B4" s="6">
        <f>COUNTIF(TH!W:W,A4)</f>
        <v>5</v>
      </c>
      <c r="C4" s="6">
        <f>COUNTIFS(TH!W6:W302,A4,TH!X6:X302,"&lt;&gt;")</f>
        <v>0</v>
      </c>
      <c r="D4" s="34" t="s">
        <v>270</v>
      </c>
      <c r="E4" s="66">
        <f>COUNTIF(TH!X:X,D4)</f>
        <v>4</v>
      </c>
    </row>
    <row r="5" spans="1:5" ht="15.75">
      <c r="A5" s="5" t="s">
        <v>64</v>
      </c>
      <c r="B5" s="6">
        <f>COUNTIF(TH!W:W,A5)</f>
        <v>6</v>
      </c>
      <c r="C5" s="6">
        <f>COUNTIFS(TH!W7:W303,A5,TH!X7:X303,"&lt;&gt;")</f>
        <v>0</v>
      </c>
      <c r="D5" s="34" t="s">
        <v>297</v>
      </c>
      <c r="E5" s="66">
        <f>COUNTIF(TH!X:X,D5)</f>
        <v>3</v>
      </c>
    </row>
    <row r="6" spans="1:5" ht="15.75">
      <c r="A6" s="5" t="s">
        <v>96</v>
      </c>
      <c r="B6" s="6">
        <f>COUNTIF(TH!W:W,A6)</f>
        <v>7</v>
      </c>
      <c r="C6" s="6">
        <f>COUNTIFS(TH!W8:W304,A6,TH!X8:X304,"&lt;&gt;")</f>
        <v>0</v>
      </c>
      <c r="D6" s="34" t="s">
        <v>296</v>
      </c>
      <c r="E6" s="66">
        <f>COUNTIF(TH!X:X,D6)</f>
        <v>4</v>
      </c>
    </row>
    <row r="7" spans="1:5" ht="15.75">
      <c r="A7" s="5" t="s">
        <v>79</v>
      </c>
      <c r="B7" s="6">
        <f>COUNTIF(TH!W:W,A7)</f>
        <v>7</v>
      </c>
      <c r="C7" s="6">
        <f>COUNTIFS(TH!W9:W305,A7,TH!X9:X305,"&lt;&gt;")</f>
        <v>0</v>
      </c>
      <c r="D7" s="34" t="s">
        <v>343</v>
      </c>
      <c r="E7" s="66">
        <f>COUNTIF(TH!X:X,D7)</f>
        <v>2</v>
      </c>
    </row>
    <row r="8" spans="1:5" ht="15.75">
      <c r="A8" s="63" t="s">
        <v>110</v>
      </c>
      <c r="B8" s="64">
        <f>COUNTIF(TH!W:W,A8)</f>
        <v>8</v>
      </c>
      <c r="C8" s="64">
        <f>COUNTIFS(TH!W10:W306,A8,TH!X10:X306,"&lt;&gt;")</f>
        <v>8</v>
      </c>
      <c r="D8" s="34" t="s">
        <v>367</v>
      </c>
      <c r="E8" s="66">
        <f>COUNTIF(TH!X:X,D8)</f>
        <v>14</v>
      </c>
    </row>
    <row r="9" spans="1:5" ht="15.75">
      <c r="A9" s="5" t="s">
        <v>124</v>
      </c>
      <c r="B9" s="6">
        <f>COUNTIF(TH!W:W,A9)</f>
        <v>4</v>
      </c>
      <c r="C9" s="6">
        <f>COUNTIFS(TH!W11:W307,A9,TH!X11:X307,"&lt;&gt;")</f>
        <v>0</v>
      </c>
      <c r="D9" s="34" t="s">
        <v>461</v>
      </c>
      <c r="E9" s="66">
        <f>COUNTIF(TH!X:X,D9)</f>
        <v>2</v>
      </c>
    </row>
    <row r="10" spans="1:5" ht="15.75">
      <c r="A10" s="5" t="s">
        <v>127</v>
      </c>
      <c r="B10" s="6">
        <f>COUNTIF(TH!W:W,A10)</f>
        <v>5</v>
      </c>
      <c r="C10" s="6">
        <f>COUNTIFS(TH!W12:W308,A10,TH!X12:X308,"&lt;&gt;")</f>
        <v>0</v>
      </c>
      <c r="D10"/>
      <c r="E10">
        <f>SUM(E2:E9)</f>
        <v>41</v>
      </c>
    </row>
    <row r="11" spans="1:5" ht="15.75">
      <c r="A11" s="5" t="s">
        <v>149</v>
      </c>
      <c r="B11" s="6">
        <f>COUNTIF(TH!W:W,A11)</f>
        <v>7</v>
      </c>
      <c r="C11" s="6">
        <f>COUNTIFS(TH!W13:W309,A11,TH!X13:X309,"&lt;&gt;")</f>
        <v>0</v>
      </c>
    </row>
    <row r="12" spans="1:5" ht="15.75">
      <c r="A12" s="5" t="s">
        <v>155</v>
      </c>
      <c r="B12" s="6">
        <f>COUNTIF(TH!W:W,A12)</f>
        <v>8</v>
      </c>
      <c r="C12" s="6">
        <f>COUNTIFS(TH!W14:W310,A12,TH!X14:X310,"&lt;&gt;")</f>
        <v>0</v>
      </c>
      <c r="D12"/>
    </row>
    <row r="13" spans="1:5" ht="15.75">
      <c r="A13" s="5" t="s">
        <v>152</v>
      </c>
      <c r="B13" s="6">
        <f>COUNTIF(TH!W:W,A13)</f>
        <v>6</v>
      </c>
      <c r="C13" s="6">
        <f>COUNTIFS(TH!W15:W311,A13,TH!X15:X311,"&lt;&gt;")</f>
        <v>0</v>
      </c>
      <c r="D13"/>
    </row>
    <row r="14" spans="1:5" ht="15.75">
      <c r="A14" s="5" t="s">
        <v>195</v>
      </c>
      <c r="B14" s="6">
        <f>COUNTIF(TH!W:W,A14)</f>
        <v>3</v>
      </c>
      <c r="C14" s="6">
        <f>COUNTIFS(TH!W16:W312,A14,TH!X16:X312,"&lt;&gt;")</f>
        <v>0</v>
      </c>
      <c r="D14"/>
    </row>
    <row r="15" spans="1:5" ht="15.75">
      <c r="A15" s="5" t="s">
        <v>199</v>
      </c>
      <c r="B15" s="6">
        <f>COUNTIF(TH!W:W,A15)</f>
        <v>3</v>
      </c>
      <c r="C15" s="6">
        <f>COUNTIFS(TH!W17:W313,A15,TH!X17:X313,"&lt;&gt;")</f>
        <v>0</v>
      </c>
      <c r="D15"/>
    </row>
    <row r="16" spans="1:5" ht="15.75">
      <c r="A16" s="5" t="s">
        <v>202</v>
      </c>
      <c r="B16" s="6">
        <f>COUNTIF(TH!W:W,A16)</f>
        <v>4</v>
      </c>
      <c r="C16" s="6">
        <f>COUNTIFS(TH!W18:W314,A16,TH!X18:X314,"&lt;&gt;")</f>
        <v>0</v>
      </c>
      <c r="D16"/>
    </row>
    <row r="17" spans="1:4" ht="15.75">
      <c r="A17" s="5" t="s">
        <v>207</v>
      </c>
      <c r="B17" s="6">
        <f>COUNTIF(TH!W:W,A17)</f>
        <v>3</v>
      </c>
      <c r="C17" s="6">
        <f>COUNTIFS(TH!W19:W315,A17,TH!X19:X315,"&lt;&gt;")</f>
        <v>0</v>
      </c>
      <c r="D17"/>
    </row>
    <row r="18" spans="1:4" ht="15.75">
      <c r="A18" s="5" t="s">
        <v>215</v>
      </c>
      <c r="B18" s="6">
        <f>COUNTIF(TH!W:W,A18)</f>
        <v>3</v>
      </c>
      <c r="C18" s="6">
        <f>COUNTIFS(TH!W20:W316,A18,TH!X20:X316,"&lt;&gt;")</f>
        <v>0</v>
      </c>
      <c r="D18"/>
    </row>
    <row r="19" spans="1:4" ht="15.75">
      <c r="A19" s="5" t="s">
        <v>224</v>
      </c>
      <c r="B19" s="6">
        <f>COUNTIF(TH!W:W,A19)</f>
        <v>5</v>
      </c>
      <c r="C19" s="6">
        <f>COUNTIFS(TH!W21:W317,A19,TH!X21:X317,"&lt;&gt;")</f>
        <v>0</v>
      </c>
      <c r="D19"/>
    </row>
    <row r="20" spans="1:4" ht="15.75">
      <c r="A20" s="5" t="s">
        <v>227</v>
      </c>
      <c r="B20" s="6">
        <f>COUNTIF(TH!W:W,A20)</f>
        <v>3</v>
      </c>
      <c r="C20" s="6">
        <f>COUNTIFS(TH!W22:W318,A20,TH!X22:X318,"&lt;&gt;")</f>
        <v>0</v>
      </c>
      <c r="D20"/>
    </row>
    <row r="21" spans="1:4" ht="15.75">
      <c r="A21" s="5" t="s">
        <v>239</v>
      </c>
      <c r="B21" s="6">
        <f>COUNTIF(TH!W:W,A21)</f>
        <v>2</v>
      </c>
      <c r="C21" s="6">
        <f>COUNTIFS(TH!W23:W319,A21,TH!X23:X319,"&lt;&gt;")</f>
        <v>0</v>
      </c>
      <c r="D21"/>
    </row>
    <row r="22" spans="1:4" ht="15.75">
      <c r="A22" s="63" t="s">
        <v>260</v>
      </c>
      <c r="B22" s="64">
        <f>COUNTIF(TH!W:W,A22)</f>
        <v>8</v>
      </c>
      <c r="C22" s="64">
        <f>COUNTIFS(TH!W24:W320,A22,TH!X24:X320,"&lt;&gt;")</f>
        <v>4</v>
      </c>
      <c r="D22"/>
    </row>
    <row r="23" spans="1:4" ht="15.75">
      <c r="A23" s="63" t="s">
        <v>270</v>
      </c>
      <c r="B23" s="64">
        <f>COUNTIF(TH!W:W,A23)</f>
        <v>4</v>
      </c>
      <c r="C23" s="64">
        <f>COUNTIFS(TH!W25:W321,A23,TH!X25:X321,"&lt;&gt;")</f>
        <v>4</v>
      </c>
      <c r="D23"/>
    </row>
    <row r="24" spans="1:4" ht="15.75">
      <c r="A24" s="5" t="s">
        <v>271</v>
      </c>
      <c r="B24" s="6">
        <f>COUNTIF(TH!W:W,A24)</f>
        <v>2</v>
      </c>
      <c r="C24" s="6">
        <f>COUNTIFS(TH!W26:W322,A24,TH!X26:X322,"&lt;&gt;")</f>
        <v>0</v>
      </c>
      <c r="D24"/>
    </row>
    <row r="25" spans="1:4" ht="15.75">
      <c r="A25" s="63" t="s">
        <v>296</v>
      </c>
      <c r="B25" s="64">
        <f>COUNTIF(TH!W:W,A25)</f>
        <v>3</v>
      </c>
      <c r="C25" s="64">
        <f>COUNTIFS(TH!W27:W323,A25,TH!X27:X323,"&lt;&gt;")</f>
        <v>3</v>
      </c>
      <c r="D25"/>
    </row>
    <row r="26" spans="1:4" ht="15.75">
      <c r="A26" s="63" t="s">
        <v>297</v>
      </c>
      <c r="B26" s="64">
        <f>COUNTIF(TH!W:W,A26)</f>
        <v>4</v>
      </c>
      <c r="C26" s="64">
        <f>COUNTIFS(TH!W28:W324,A26,TH!X28:X324,"&lt;&gt;")</f>
        <v>4</v>
      </c>
      <c r="D26"/>
    </row>
    <row r="27" spans="1:4" ht="15.75">
      <c r="A27" s="5" t="s">
        <v>316</v>
      </c>
      <c r="B27" s="6">
        <f>COUNTIF(TH!W:W,A27)</f>
        <v>12</v>
      </c>
      <c r="C27" s="6">
        <f>COUNTIFS(TH!W29:W325,A27,TH!X29:X325,"&lt;&gt;")</f>
        <v>0</v>
      </c>
      <c r="D27"/>
    </row>
    <row r="28" spans="1:4" ht="15.75">
      <c r="A28" s="63" t="s">
        <v>338</v>
      </c>
      <c r="B28" s="64">
        <f>COUNTIF(TH!W:W,A28)</f>
        <v>4</v>
      </c>
      <c r="C28" s="64">
        <f>COUNTIFS(TH!W30:W326,A28,TH!X30:X326,"&lt;&gt;")</f>
        <v>2</v>
      </c>
      <c r="D28"/>
    </row>
    <row r="29" spans="1:4" ht="15.75">
      <c r="A29" s="5" t="s">
        <v>349</v>
      </c>
      <c r="B29" s="6">
        <f>COUNTIF(TH!W:W,A29)</f>
        <v>5</v>
      </c>
      <c r="C29" s="6">
        <f>COUNTIFS(TH!W31:W327,A29,TH!X31:X327,"&lt;&gt;")</f>
        <v>0</v>
      </c>
      <c r="D29"/>
    </row>
    <row r="30" spans="1:4" ht="15.75">
      <c r="A30" s="63" t="s">
        <v>361</v>
      </c>
      <c r="B30" s="64">
        <f>COUNTIF(TH!W:W,A30)</f>
        <v>20</v>
      </c>
      <c r="C30" s="64">
        <f>COUNTIFS(TH!W32:W328,A30,TH!X32:X328,"&lt;&gt;")</f>
        <v>10</v>
      </c>
      <c r="D30"/>
    </row>
    <row r="31" spans="1:4" ht="15.75">
      <c r="A31" s="63" t="s">
        <v>8906</v>
      </c>
      <c r="B31" s="64">
        <f>COUNTIF(TH!W:W,A31)</f>
        <v>21</v>
      </c>
      <c r="C31" s="64">
        <f>COUNTIFS(TH!W33:W329,A31,TH!X33:X329,"&lt;&gt;")</f>
        <v>4</v>
      </c>
      <c r="D31"/>
    </row>
    <row r="32" spans="1:4" ht="15.75">
      <c r="A32" s="5" t="s">
        <v>453</v>
      </c>
      <c r="B32" s="6">
        <f>COUNTIF(TH!W:W,A32)</f>
        <v>3</v>
      </c>
      <c r="C32" s="6">
        <f>COUNTIFS(TH!W34:W330,A32,TH!X34:X330,"&lt;&gt;")</f>
        <v>0</v>
      </c>
      <c r="D32"/>
    </row>
    <row r="33" spans="1:4" ht="15.75">
      <c r="A33" s="63" t="s">
        <v>460</v>
      </c>
      <c r="B33" s="64">
        <f>COUNTIF(TH!W:W,A33)</f>
        <v>2</v>
      </c>
      <c r="C33" s="64">
        <f>COUNTIFS(TH!W35:W331,A33,TH!X35:X331,"&lt;&gt;")</f>
        <v>2</v>
      </c>
      <c r="D33"/>
    </row>
    <row r="34" spans="1:4" ht="15.75">
      <c r="A34" s="5" t="s">
        <v>467</v>
      </c>
      <c r="B34" s="6">
        <f>COUNTIF(TH!W:W,A34)</f>
        <v>1</v>
      </c>
      <c r="C34" s="6">
        <f>COUNTIFS(TH!W36:W332,A34,TH!X36:X332,"&lt;&gt;")</f>
        <v>0</v>
      </c>
      <c r="D34"/>
    </row>
    <row r="35" spans="1:4" ht="15.75">
      <c r="A35" s="5" t="s">
        <v>470</v>
      </c>
      <c r="B35" s="6">
        <f>COUNTIF(TH!W:W,A35)</f>
        <v>10</v>
      </c>
      <c r="C35" s="6">
        <f>COUNTIFS(TH!W37:W333,A35,TH!X37:X333,"&lt;&gt;")</f>
        <v>0</v>
      </c>
      <c r="D35"/>
    </row>
    <row r="36" spans="1:4">
      <c r="B36" s="18">
        <f>SUM(B2:B35)</f>
        <v>198</v>
      </c>
      <c r="C36" s="18">
        <f>SUM(C2:C35)</f>
        <v>41</v>
      </c>
      <c r="D36"/>
    </row>
    <row r="37" spans="1:4">
      <c r="D37"/>
    </row>
    <row r="38" spans="1:4">
      <c r="D38"/>
    </row>
    <row r="39" spans="1:4">
      <c r="D39"/>
    </row>
    <row r="40" spans="1:4">
      <c r="D40"/>
    </row>
    <row r="41" spans="1:4">
      <c r="D41"/>
    </row>
    <row r="42" spans="1:4">
      <c r="D42"/>
    </row>
    <row r="43" spans="1:4">
      <c r="D43"/>
    </row>
    <row r="44" spans="1:4">
      <c r="D44"/>
    </row>
    <row r="45" spans="1:4">
      <c r="D45"/>
    </row>
    <row r="46" spans="1:4">
      <c r="D46"/>
    </row>
    <row r="47" spans="1:4">
      <c r="D47"/>
    </row>
    <row r="48" spans="1:4">
      <c r="D48"/>
    </row>
    <row r="49" spans="4:4">
      <c r="D49"/>
    </row>
    <row r="50" spans="4:4">
      <c r="D50"/>
    </row>
    <row r="51" spans="4:4">
      <c r="D51"/>
    </row>
    <row r="52" spans="4:4">
      <c r="D52"/>
    </row>
    <row r="53" spans="4:4">
      <c r="D53"/>
    </row>
    <row r="54" spans="4:4">
      <c r="D54"/>
    </row>
    <row r="55" spans="4:4">
      <c r="D55"/>
    </row>
    <row r="56" spans="4:4">
      <c r="D56"/>
    </row>
    <row r="57" spans="4:4">
      <c r="D57"/>
    </row>
    <row r="58" spans="4:4">
      <c r="D58"/>
    </row>
    <row r="59" spans="4:4">
      <c r="D59"/>
    </row>
    <row r="60" spans="4:4">
      <c r="D60"/>
    </row>
    <row r="61" spans="4:4">
      <c r="D61"/>
    </row>
    <row r="62" spans="4:4">
      <c r="D62"/>
    </row>
    <row r="63" spans="4:4">
      <c r="D63"/>
    </row>
    <row r="64" spans="4:4">
      <c r="D64"/>
    </row>
    <row r="65" spans="4:4">
      <c r="D65"/>
    </row>
    <row r="66" spans="4:4">
      <c r="D66"/>
    </row>
    <row r="67" spans="4:4">
      <c r="D67"/>
    </row>
    <row r="68" spans="4:4">
      <c r="D68"/>
    </row>
    <row r="69" spans="4:4">
      <c r="D69"/>
    </row>
    <row r="70" spans="4:4">
      <c r="D70"/>
    </row>
    <row r="71" spans="4:4">
      <c r="D71"/>
    </row>
    <row r="72" spans="4:4">
      <c r="D72"/>
    </row>
    <row r="73" spans="4:4">
      <c r="D73"/>
    </row>
    <row r="74" spans="4:4">
      <c r="D74"/>
    </row>
    <row r="75" spans="4:4">
      <c r="D75"/>
    </row>
    <row r="76" spans="4:4">
      <c r="D76"/>
    </row>
    <row r="77" spans="4:4">
      <c r="D77"/>
    </row>
    <row r="78" spans="4:4">
      <c r="D78"/>
    </row>
    <row r="79" spans="4:4">
      <c r="D79"/>
    </row>
    <row r="80" spans="4:4">
      <c r="D80"/>
    </row>
    <row r="81" spans="4:4">
      <c r="D81"/>
    </row>
    <row r="82" spans="4:4">
      <c r="D82"/>
    </row>
    <row r="83" spans="4:4">
      <c r="D83"/>
    </row>
    <row r="84" spans="4:4">
      <c r="D84"/>
    </row>
    <row r="85" spans="4:4">
      <c r="D85"/>
    </row>
    <row r="86" spans="4:4">
      <c r="D86"/>
    </row>
    <row r="87" spans="4:4">
      <c r="D87"/>
    </row>
    <row r="88" spans="4:4">
      <c r="D88"/>
    </row>
    <row r="89" spans="4:4">
      <c r="D89"/>
    </row>
    <row r="90" spans="4:4">
      <c r="D90"/>
    </row>
    <row r="91" spans="4:4">
      <c r="D91"/>
    </row>
    <row r="92" spans="4:4">
      <c r="D92"/>
    </row>
    <row r="93" spans="4:4">
      <c r="D93"/>
    </row>
    <row r="94" spans="4:4">
      <c r="D94"/>
    </row>
    <row r="95" spans="4:4">
      <c r="D95"/>
    </row>
    <row r="96" spans="4:4">
      <c r="D96"/>
    </row>
    <row r="97" spans="4:4">
      <c r="D97"/>
    </row>
    <row r="98" spans="4:4">
      <c r="D98"/>
    </row>
    <row r="99" spans="4:4">
      <c r="D99"/>
    </row>
    <row r="100" spans="4:4">
      <c r="D100"/>
    </row>
    <row r="101" spans="4:4">
      <c r="D101"/>
    </row>
    <row r="102" spans="4:4">
      <c r="D102"/>
    </row>
    <row r="103" spans="4:4">
      <c r="D103"/>
    </row>
    <row r="104" spans="4:4">
      <c r="D104"/>
    </row>
    <row r="105" spans="4:4">
      <c r="D105"/>
    </row>
    <row r="106" spans="4:4">
      <c r="D106"/>
    </row>
    <row r="107" spans="4:4">
      <c r="D107"/>
    </row>
    <row r="108" spans="4:4">
      <c r="D108"/>
    </row>
    <row r="109" spans="4:4">
      <c r="D109"/>
    </row>
    <row r="110" spans="4:4">
      <c r="D110"/>
    </row>
    <row r="111" spans="4:4">
      <c r="D111"/>
    </row>
    <row r="112" spans="4:4">
      <c r="D112"/>
    </row>
    <row r="113" spans="4:4">
      <c r="D113"/>
    </row>
    <row r="114" spans="4:4">
      <c r="D114"/>
    </row>
    <row r="115" spans="4:4">
      <c r="D115"/>
    </row>
    <row r="116" spans="4:4">
      <c r="D116"/>
    </row>
    <row r="117" spans="4:4">
      <c r="D117"/>
    </row>
    <row r="118" spans="4:4">
      <c r="D118"/>
    </row>
    <row r="119" spans="4:4">
      <c r="D119"/>
    </row>
    <row r="120" spans="4:4">
      <c r="D120"/>
    </row>
    <row r="121" spans="4:4">
      <c r="D121"/>
    </row>
    <row r="122" spans="4:4">
      <c r="D122"/>
    </row>
    <row r="123" spans="4:4">
      <c r="D123"/>
    </row>
    <row r="124" spans="4:4">
      <c r="D124"/>
    </row>
    <row r="125" spans="4:4">
      <c r="D125"/>
    </row>
    <row r="126" spans="4:4">
      <c r="D126"/>
    </row>
    <row r="127" spans="4:4">
      <c r="D127"/>
    </row>
    <row r="128" spans="4:4">
      <c r="D128"/>
    </row>
    <row r="129" spans="4:4">
      <c r="D129"/>
    </row>
    <row r="130" spans="4:4">
      <c r="D130"/>
    </row>
    <row r="131" spans="4:4">
      <c r="D131"/>
    </row>
    <row r="132" spans="4:4">
      <c r="D132"/>
    </row>
    <row r="133" spans="4:4">
      <c r="D133"/>
    </row>
    <row r="134" spans="4:4">
      <c r="D134"/>
    </row>
    <row r="135" spans="4:4">
      <c r="D135"/>
    </row>
    <row r="136" spans="4:4">
      <c r="D136"/>
    </row>
    <row r="137" spans="4:4">
      <c r="D137"/>
    </row>
    <row r="138" spans="4:4">
      <c r="D138"/>
    </row>
    <row r="139" spans="4:4">
      <c r="D139"/>
    </row>
    <row r="140" spans="4:4">
      <c r="D140"/>
    </row>
    <row r="141" spans="4:4">
      <c r="D141"/>
    </row>
    <row r="142" spans="4:4">
      <c r="D142"/>
    </row>
    <row r="143" spans="4:4">
      <c r="D143"/>
    </row>
    <row r="144" spans="4:4">
      <c r="D144"/>
    </row>
    <row r="145" spans="4:4">
      <c r="D145"/>
    </row>
    <row r="146" spans="4:4">
      <c r="D146"/>
    </row>
    <row r="147" spans="4:4">
      <c r="D147"/>
    </row>
    <row r="148" spans="4:4">
      <c r="D148"/>
    </row>
    <row r="149" spans="4:4">
      <c r="D149"/>
    </row>
    <row r="150" spans="4:4">
      <c r="D150"/>
    </row>
    <row r="151" spans="4:4">
      <c r="D151"/>
    </row>
    <row r="152" spans="4:4">
      <c r="D152"/>
    </row>
    <row r="153" spans="4:4">
      <c r="D153"/>
    </row>
    <row r="154" spans="4:4">
      <c r="D154"/>
    </row>
    <row r="155" spans="4:4">
      <c r="D155"/>
    </row>
    <row r="156" spans="4:4">
      <c r="D156"/>
    </row>
    <row r="157" spans="4:4">
      <c r="D157"/>
    </row>
    <row r="158" spans="4:4">
      <c r="D158"/>
    </row>
    <row r="159" spans="4:4">
      <c r="D159"/>
    </row>
    <row r="160" spans="4:4">
      <c r="D160"/>
    </row>
    <row r="161" spans="4:4">
      <c r="D161"/>
    </row>
    <row r="162" spans="4:4">
      <c r="D162"/>
    </row>
    <row r="163" spans="4:4">
      <c r="D163"/>
    </row>
    <row r="164" spans="4:4">
      <c r="D164"/>
    </row>
    <row r="165" spans="4:4">
      <c r="D165"/>
    </row>
    <row r="166" spans="4:4">
      <c r="D166"/>
    </row>
    <row r="167" spans="4:4">
      <c r="D167"/>
    </row>
    <row r="168" spans="4:4">
      <c r="D168"/>
    </row>
    <row r="169" spans="4:4">
      <c r="D169"/>
    </row>
    <row r="170" spans="4:4">
      <c r="D170"/>
    </row>
    <row r="171" spans="4:4">
      <c r="D171"/>
    </row>
    <row r="172" spans="4:4">
      <c r="D172"/>
    </row>
    <row r="173" spans="4:4">
      <c r="D173"/>
    </row>
    <row r="174" spans="4:4">
      <c r="D174"/>
    </row>
    <row r="175" spans="4:4">
      <c r="D175"/>
    </row>
    <row r="176" spans="4:4">
      <c r="D176"/>
    </row>
    <row r="177" spans="4:4">
      <c r="D177"/>
    </row>
    <row r="178" spans="4:4">
      <c r="D178"/>
    </row>
    <row r="179" spans="4:4">
      <c r="D179"/>
    </row>
    <row r="180" spans="4:4">
      <c r="D180"/>
    </row>
    <row r="181" spans="4:4">
      <c r="D181"/>
    </row>
    <row r="182" spans="4:4">
      <c r="D182"/>
    </row>
    <row r="183" spans="4:4">
      <c r="D183"/>
    </row>
    <row r="184" spans="4:4">
      <c r="D184"/>
    </row>
    <row r="185" spans="4:4">
      <c r="D185"/>
    </row>
    <row r="186" spans="4:4">
      <c r="D186"/>
    </row>
    <row r="187" spans="4:4">
      <c r="D187"/>
    </row>
    <row r="188" spans="4:4">
      <c r="D188"/>
    </row>
    <row r="189" spans="4:4">
      <c r="D189"/>
    </row>
    <row r="190" spans="4:4">
      <c r="D190"/>
    </row>
    <row r="191" spans="4:4">
      <c r="D191"/>
    </row>
    <row r="192" spans="4:4">
      <c r="D192"/>
    </row>
    <row r="193" spans="4:4">
      <c r="D193"/>
    </row>
    <row r="194" spans="4:4">
      <c r="D194"/>
    </row>
    <row r="195" spans="4:4">
      <c r="D195"/>
    </row>
    <row r="196" spans="4:4">
      <c r="D196"/>
    </row>
    <row r="197" spans="4:4">
      <c r="D197"/>
    </row>
    <row r="198" spans="4:4">
      <c r="D19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8"/>
  <sheetViews>
    <sheetView topLeftCell="A25" workbookViewId="0">
      <selection activeCell="E26" sqref="E26"/>
    </sheetView>
  </sheetViews>
  <sheetFormatPr defaultRowHeight="15"/>
  <cols>
    <col min="1" max="1" width="5.140625" bestFit="1" customWidth="1"/>
    <col min="2" max="2" width="24.140625" bestFit="1" customWidth="1"/>
    <col min="3" max="3" width="12.28515625" customWidth="1"/>
    <col min="4" max="4" width="16" bestFit="1" customWidth="1"/>
    <col min="5" max="5" width="12.7109375" customWidth="1"/>
    <col min="6" max="6" width="36.140625" bestFit="1" customWidth="1"/>
  </cols>
  <sheetData>
    <row r="1" spans="1:8" ht="63">
      <c r="A1" s="12" t="s">
        <v>0</v>
      </c>
      <c r="B1" s="12" t="s">
        <v>504</v>
      </c>
      <c r="C1" s="12" t="s">
        <v>1</v>
      </c>
      <c r="D1" s="12" t="s">
        <v>6</v>
      </c>
      <c r="E1" s="12" t="s">
        <v>505</v>
      </c>
      <c r="F1" s="12" t="s">
        <v>7</v>
      </c>
      <c r="G1" s="13" t="s">
        <v>506</v>
      </c>
      <c r="H1" s="13" t="s">
        <v>507</v>
      </c>
    </row>
    <row r="2" spans="1:8" ht="15.75">
      <c r="A2" s="8" t="s">
        <v>508</v>
      </c>
      <c r="B2" s="7" t="s">
        <v>352</v>
      </c>
      <c r="C2" s="14">
        <v>1851012851</v>
      </c>
      <c r="D2" s="5" t="s">
        <v>353</v>
      </c>
      <c r="E2" s="8" t="s">
        <v>509</v>
      </c>
      <c r="F2" s="5" t="s">
        <v>314</v>
      </c>
      <c r="G2" s="8" t="s">
        <v>510</v>
      </c>
      <c r="H2" s="15"/>
    </row>
    <row r="3" spans="1:8" ht="15.75">
      <c r="A3" s="8" t="s">
        <v>511</v>
      </c>
      <c r="B3" s="7" t="s">
        <v>446</v>
      </c>
      <c r="C3" s="6">
        <v>1851013270</v>
      </c>
      <c r="D3" s="5" t="s">
        <v>353</v>
      </c>
      <c r="E3" s="8" t="s">
        <v>512</v>
      </c>
      <c r="F3" s="5" t="s">
        <v>314</v>
      </c>
      <c r="G3" s="8" t="s">
        <v>510</v>
      </c>
      <c r="H3" s="15"/>
    </row>
    <row r="4" spans="1:8" ht="15.75">
      <c r="A4" s="8" t="s">
        <v>513</v>
      </c>
      <c r="B4" s="7" t="s">
        <v>357</v>
      </c>
      <c r="C4" s="14">
        <v>1851043176</v>
      </c>
      <c r="D4" s="5" t="s">
        <v>358</v>
      </c>
      <c r="E4" s="8" t="s">
        <v>514</v>
      </c>
      <c r="F4" s="5" t="s">
        <v>359</v>
      </c>
      <c r="G4" s="8" t="s">
        <v>510</v>
      </c>
      <c r="H4" s="15"/>
    </row>
    <row r="5" spans="1:8" ht="15.75">
      <c r="A5" s="8" t="s">
        <v>515</v>
      </c>
      <c r="B5" s="7" t="s">
        <v>362</v>
      </c>
      <c r="C5" s="14">
        <v>1851042736</v>
      </c>
      <c r="D5" s="5" t="s">
        <v>358</v>
      </c>
      <c r="E5" s="8" t="s">
        <v>512</v>
      </c>
      <c r="F5" s="5" t="s">
        <v>359</v>
      </c>
      <c r="G5" s="8" t="s">
        <v>510</v>
      </c>
      <c r="H5" s="15"/>
    </row>
    <row r="6" spans="1:8" ht="15.75">
      <c r="A6" s="8" t="s">
        <v>516</v>
      </c>
      <c r="B6" s="7" t="s">
        <v>456</v>
      </c>
      <c r="C6" s="14">
        <v>1851133239</v>
      </c>
      <c r="D6" s="5" t="s">
        <v>451</v>
      </c>
      <c r="E6" s="8" t="s">
        <v>517</v>
      </c>
      <c r="F6" s="5" t="s">
        <v>518</v>
      </c>
      <c r="G6" s="8" t="s">
        <v>510</v>
      </c>
      <c r="H6" s="15"/>
    </row>
    <row r="7" spans="1:8" ht="15.75">
      <c r="A7" s="8" t="s">
        <v>519</v>
      </c>
      <c r="B7" s="7" t="s">
        <v>450</v>
      </c>
      <c r="C7" s="14">
        <v>1851132863</v>
      </c>
      <c r="D7" s="5" t="s">
        <v>451</v>
      </c>
      <c r="E7" s="8" t="s">
        <v>511</v>
      </c>
      <c r="F7" s="5" t="s">
        <v>518</v>
      </c>
      <c r="G7" s="8" t="s">
        <v>510</v>
      </c>
      <c r="H7" s="15"/>
    </row>
    <row r="8" spans="1:8" ht="15.75">
      <c r="A8" s="8" t="s">
        <v>520</v>
      </c>
      <c r="B8" s="7" t="s">
        <v>302</v>
      </c>
      <c r="C8" s="14">
        <v>1851022689</v>
      </c>
      <c r="D8" s="5" t="s">
        <v>303</v>
      </c>
      <c r="E8" s="8" t="s">
        <v>521</v>
      </c>
      <c r="F8" s="5" t="s">
        <v>294</v>
      </c>
      <c r="G8" s="8" t="s">
        <v>510</v>
      </c>
      <c r="H8" s="15"/>
    </row>
    <row r="9" spans="1:8" ht="15.75">
      <c r="A9" s="8" t="s">
        <v>522</v>
      </c>
      <c r="B9" s="7" t="s">
        <v>481</v>
      </c>
      <c r="C9" s="14">
        <v>1951015717</v>
      </c>
      <c r="D9" s="5" t="s">
        <v>482</v>
      </c>
      <c r="E9" s="8">
        <v>1.97</v>
      </c>
      <c r="F9" s="5" t="s">
        <v>314</v>
      </c>
      <c r="G9" s="8" t="s">
        <v>510</v>
      </c>
      <c r="H9" s="15"/>
    </row>
    <row r="10" spans="1:8" ht="15.75">
      <c r="A10" s="8" t="s">
        <v>523</v>
      </c>
      <c r="B10" s="7" t="s">
        <v>484</v>
      </c>
      <c r="C10" s="14">
        <v>1951015150</v>
      </c>
      <c r="D10" s="5" t="s">
        <v>482</v>
      </c>
      <c r="E10" s="8">
        <v>2</v>
      </c>
      <c r="F10" s="5" t="s">
        <v>314</v>
      </c>
      <c r="G10" s="8" t="s">
        <v>510</v>
      </c>
      <c r="H10" s="15"/>
    </row>
    <row r="11" spans="1:8" ht="15.75">
      <c r="A11" s="8" t="s">
        <v>524</v>
      </c>
      <c r="B11" s="7" t="s">
        <v>486</v>
      </c>
      <c r="C11" s="14">
        <v>1951015231</v>
      </c>
      <c r="D11" s="5" t="s">
        <v>482</v>
      </c>
      <c r="E11" s="8">
        <v>2.0099999999999998</v>
      </c>
      <c r="F11" s="5" t="s">
        <v>314</v>
      </c>
      <c r="G11" s="8" t="s">
        <v>510</v>
      </c>
      <c r="H11" s="15"/>
    </row>
    <row r="12" spans="1:8" ht="15.75">
      <c r="A12" s="8" t="s">
        <v>525</v>
      </c>
      <c r="B12" s="7" t="s">
        <v>488</v>
      </c>
      <c r="C12" s="14">
        <v>1951015560</v>
      </c>
      <c r="D12" s="5" t="s">
        <v>482</v>
      </c>
      <c r="E12" s="8">
        <v>1.96</v>
      </c>
      <c r="F12" s="5" t="s">
        <v>314</v>
      </c>
      <c r="G12" s="8" t="s">
        <v>526</v>
      </c>
      <c r="H12" s="15"/>
    </row>
    <row r="13" spans="1:8" ht="15.75">
      <c r="A13" s="8" t="s">
        <v>527</v>
      </c>
      <c r="B13" s="7" t="s">
        <v>364</v>
      </c>
      <c r="C13" s="14">
        <v>1951045651</v>
      </c>
      <c r="D13" s="5" t="s">
        <v>365</v>
      </c>
      <c r="E13" s="8">
        <v>2.2000000000000002</v>
      </c>
      <c r="F13" s="5" t="s">
        <v>359</v>
      </c>
      <c r="G13" s="8" t="s">
        <v>510</v>
      </c>
      <c r="H13" s="15"/>
    </row>
    <row r="14" spans="1:8" ht="15.75">
      <c r="A14" s="8" t="s">
        <v>528</v>
      </c>
      <c r="B14" s="7" t="s">
        <v>368</v>
      </c>
      <c r="C14" s="14">
        <v>1951045142</v>
      </c>
      <c r="D14" s="5" t="s">
        <v>365</v>
      </c>
      <c r="E14" s="8">
        <v>1.98</v>
      </c>
      <c r="F14" s="5" t="s">
        <v>359</v>
      </c>
      <c r="G14" s="8" t="s">
        <v>510</v>
      </c>
      <c r="H14" s="15"/>
    </row>
    <row r="15" spans="1:8" ht="15.75">
      <c r="A15" s="8" t="s">
        <v>529</v>
      </c>
      <c r="B15" s="7" t="s">
        <v>370</v>
      </c>
      <c r="C15" s="14">
        <v>1951040205</v>
      </c>
      <c r="D15" s="5" t="s">
        <v>365</v>
      </c>
      <c r="E15" s="8">
        <v>2.23</v>
      </c>
      <c r="F15" s="5" t="s">
        <v>359</v>
      </c>
      <c r="G15" s="8" t="s">
        <v>510</v>
      </c>
      <c r="H15" s="15"/>
    </row>
    <row r="16" spans="1:8" ht="15.75">
      <c r="A16" s="8" t="s">
        <v>530</v>
      </c>
      <c r="B16" s="7" t="s">
        <v>372</v>
      </c>
      <c r="C16" s="14">
        <v>1951045587</v>
      </c>
      <c r="D16" s="5" t="s">
        <v>365</v>
      </c>
      <c r="E16" s="8">
        <v>2.0099999999999998</v>
      </c>
      <c r="F16" s="5" t="s">
        <v>359</v>
      </c>
      <c r="G16" s="8" t="s">
        <v>526</v>
      </c>
      <c r="H16" s="15"/>
    </row>
    <row r="17" spans="1:8" ht="15.75">
      <c r="A17" s="8" t="s">
        <v>531</v>
      </c>
      <c r="B17" s="7" t="s">
        <v>46</v>
      </c>
      <c r="C17" s="14">
        <v>1954025556</v>
      </c>
      <c r="D17" s="5" t="s">
        <v>47</v>
      </c>
      <c r="E17" s="8">
        <v>1.91</v>
      </c>
      <c r="F17" s="5" t="s">
        <v>29</v>
      </c>
      <c r="G17" s="8" t="s">
        <v>510</v>
      </c>
      <c r="H17" s="15"/>
    </row>
    <row r="18" spans="1:8" ht="15.75">
      <c r="A18" s="8" t="s">
        <v>532</v>
      </c>
      <c r="B18" s="7" t="s">
        <v>20</v>
      </c>
      <c r="C18" s="14">
        <v>1954025484</v>
      </c>
      <c r="D18" s="5" t="s">
        <v>21</v>
      </c>
      <c r="E18" s="8">
        <v>2.11</v>
      </c>
      <c r="F18" s="5" t="s">
        <v>22</v>
      </c>
      <c r="G18" s="8" t="s">
        <v>510</v>
      </c>
      <c r="H18" s="15"/>
    </row>
    <row r="19" spans="1:8" ht="15.75">
      <c r="A19" s="8" t="s">
        <v>533</v>
      </c>
      <c r="B19" s="7" t="s">
        <v>25</v>
      </c>
      <c r="C19" s="14">
        <v>1954025583</v>
      </c>
      <c r="D19" s="5" t="s">
        <v>21</v>
      </c>
      <c r="E19" s="8">
        <v>1.93</v>
      </c>
      <c r="F19" s="5" t="s">
        <v>22</v>
      </c>
      <c r="G19" s="8" t="s">
        <v>510</v>
      </c>
      <c r="H19" s="15"/>
    </row>
    <row r="20" spans="1:8" ht="15.75">
      <c r="A20" s="8" t="s">
        <v>534</v>
      </c>
      <c r="B20" s="7" t="s">
        <v>448</v>
      </c>
      <c r="C20" s="14">
        <v>2051017011</v>
      </c>
      <c r="D20" s="5" t="s">
        <v>345</v>
      </c>
      <c r="E20" s="8">
        <v>2.02</v>
      </c>
      <c r="F20" s="5" t="s">
        <v>314</v>
      </c>
      <c r="G20" s="8" t="s">
        <v>510</v>
      </c>
      <c r="H20" s="15"/>
    </row>
    <row r="21" spans="1:8" ht="15.75">
      <c r="A21" s="8" t="s">
        <v>535</v>
      </c>
      <c r="B21" s="7" t="s">
        <v>355</v>
      </c>
      <c r="C21" s="14">
        <v>2051017012</v>
      </c>
      <c r="D21" s="5" t="s">
        <v>345</v>
      </c>
      <c r="E21" s="8">
        <v>2.04</v>
      </c>
      <c r="F21" s="5" t="s">
        <v>314</v>
      </c>
      <c r="G21" s="8" t="s">
        <v>510</v>
      </c>
      <c r="H21" s="15"/>
    </row>
    <row r="22" spans="1:8" ht="15.75">
      <c r="A22" s="8" t="s">
        <v>536</v>
      </c>
      <c r="B22" s="7" t="s">
        <v>344</v>
      </c>
      <c r="C22" s="14">
        <v>2051017456</v>
      </c>
      <c r="D22" s="5" t="s">
        <v>345</v>
      </c>
      <c r="E22" s="8">
        <v>1.95</v>
      </c>
      <c r="F22" s="5" t="s">
        <v>314</v>
      </c>
      <c r="G22" s="8" t="s">
        <v>510</v>
      </c>
      <c r="H22" s="15"/>
    </row>
    <row r="23" spans="1:8" ht="15.75">
      <c r="A23" s="8" t="s">
        <v>537</v>
      </c>
      <c r="B23" s="7" t="s">
        <v>347</v>
      </c>
      <c r="C23" s="14">
        <v>2051017000</v>
      </c>
      <c r="D23" s="5" t="s">
        <v>345</v>
      </c>
      <c r="E23" s="8">
        <v>2.1</v>
      </c>
      <c r="F23" s="5" t="s">
        <v>314</v>
      </c>
      <c r="G23" s="8" t="s">
        <v>510</v>
      </c>
      <c r="H23" s="15"/>
    </row>
    <row r="24" spans="1:8" ht="15.75">
      <c r="A24" s="8" t="s">
        <v>538</v>
      </c>
      <c r="B24" s="7" t="s">
        <v>462</v>
      </c>
      <c r="C24" s="6">
        <v>2051117603</v>
      </c>
      <c r="D24" s="5" t="s">
        <v>463</v>
      </c>
      <c r="E24" s="8" t="s">
        <v>539</v>
      </c>
      <c r="F24" s="5" t="s">
        <v>540</v>
      </c>
      <c r="G24" s="8" t="s">
        <v>510</v>
      </c>
      <c r="H24" s="15"/>
    </row>
    <row r="25" spans="1:8" ht="15.75">
      <c r="A25" s="8" t="s">
        <v>541</v>
      </c>
      <c r="B25" s="7" t="s">
        <v>284</v>
      </c>
      <c r="C25" s="14">
        <v>2051077592</v>
      </c>
      <c r="D25" s="5" t="s">
        <v>285</v>
      </c>
      <c r="E25" s="8">
        <v>2.13</v>
      </c>
      <c r="F25" s="5" t="s">
        <v>258</v>
      </c>
      <c r="G25" s="8" t="s">
        <v>510</v>
      </c>
      <c r="H25" s="15"/>
    </row>
    <row r="26" spans="1:8" ht="15.75">
      <c r="A26" s="8" t="s">
        <v>542</v>
      </c>
      <c r="B26" s="7" t="s">
        <v>374</v>
      </c>
      <c r="C26" s="14">
        <v>2051047095</v>
      </c>
      <c r="D26" s="5" t="s">
        <v>375</v>
      </c>
      <c r="E26" s="8">
        <v>1.96</v>
      </c>
      <c r="F26" s="5" t="s">
        <v>359</v>
      </c>
      <c r="G26" s="8" t="s">
        <v>510</v>
      </c>
      <c r="H26" s="15"/>
    </row>
    <row r="27" spans="1:8" ht="15.75">
      <c r="A27" s="8" t="s">
        <v>543</v>
      </c>
      <c r="B27" s="7" t="s">
        <v>377</v>
      </c>
      <c r="C27" s="14">
        <v>2051047478</v>
      </c>
      <c r="D27" s="5" t="s">
        <v>375</v>
      </c>
      <c r="E27" s="8">
        <v>1.96</v>
      </c>
      <c r="F27" s="5" t="s">
        <v>359</v>
      </c>
      <c r="G27" s="8" t="s">
        <v>510</v>
      </c>
      <c r="H27" s="15"/>
    </row>
    <row r="28" spans="1:8" ht="15.75">
      <c r="A28" s="8" t="s">
        <v>544</v>
      </c>
      <c r="B28" s="7" t="s">
        <v>379</v>
      </c>
      <c r="C28" s="14">
        <v>2051047092</v>
      </c>
      <c r="D28" s="5" t="s">
        <v>375</v>
      </c>
      <c r="E28" s="8">
        <v>2.06</v>
      </c>
      <c r="F28" s="5" t="s">
        <v>359</v>
      </c>
      <c r="G28" s="8" t="s">
        <v>510</v>
      </c>
      <c r="H28" s="15"/>
    </row>
    <row r="29" spans="1:8" ht="15.75">
      <c r="A29" s="8" t="s">
        <v>545</v>
      </c>
      <c r="B29" s="7" t="s">
        <v>381</v>
      </c>
      <c r="C29" s="14">
        <v>2051047109</v>
      </c>
      <c r="D29" s="5" t="s">
        <v>375</v>
      </c>
      <c r="E29" s="8">
        <v>1.99</v>
      </c>
      <c r="F29" s="5" t="s">
        <v>359</v>
      </c>
      <c r="G29" s="8" t="s">
        <v>510</v>
      </c>
      <c r="H29" s="15"/>
    </row>
    <row r="30" spans="1:8" ht="15.75">
      <c r="A30" s="8" t="s">
        <v>546</v>
      </c>
      <c r="B30" s="7" t="s">
        <v>383</v>
      </c>
      <c r="C30" s="14">
        <v>2051047481</v>
      </c>
      <c r="D30" s="5" t="s">
        <v>375</v>
      </c>
      <c r="E30" s="8">
        <v>2.83</v>
      </c>
      <c r="F30" s="5" t="s">
        <v>359</v>
      </c>
      <c r="G30" s="8" t="s">
        <v>510</v>
      </c>
      <c r="H30" s="15"/>
    </row>
    <row r="31" spans="1:8" ht="15.75">
      <c r="A31" s="8" t="s">
        <v>547</v>
      </c>
      <c r="B31" s="7" t="s">
        <v>146</v>
      </c>
      <c r="C31" s="14">
        <v>2054037737</v>
      </c>
      <c r="D31" s="5" t="s">
        <v>147</v>
      </c>
      <c r="E31" s="8">
        <v>2.4700000000000002</v>
      </c>
      <c r="F31" s="5" t="s">
        <v>494</v>
      </c>
      <c r="G31" s="8" t="s">
        <v>526</v>
      </c>
      <c r="H31" s="15"/>
    </row>
    <row r="32" spans="1:8" ht="15.75">
      <c r="A32" s="8" t="s">
        <v>548</v>
      </c>
      <c r="B32" s="7" t="s">
        <v>305</v>
      </c>
      <c r="C32" s="14">
        <v>2051027046</v>
      </c>
      <c r="D32" s="5" t="s">
        <v>306</v>
      </c>
      <c r="E32" s="8">
        <v>2.14</v>
      </c>
      <c r="F32" s="5" t="s">
        <v>294</v>
      </c>
      <c r="G32" s="8" t="s">
        <v>510</v>
      </c>
      <c r="H32" s="15"/>
    </row>
    <row r="33" spans="1:8" ht="15.75">
      <c r="A33" s="8" t="s">
        <v>549</v>
      </c>
      <c r="B33" s="7" t="s">
        <v>308</v>
      </c>
      <c r="C33" s="14">
        <v>2051027473</v>
      </c>
      <c r="D33" s="5" t="s">
        <v>306</v>
      </c>
      <c r="E33" s="8">
        <v>2.02</v>
      </c>
      <c r="F33" s="5" t="s">
        <v>294</v>
      </c>
      <c r="G33" s="8" t="s">
        <v>510</v>
      </c>
      <c r="H33" s="15"/>
    </row>
    <row r="34" spans="1:8" ht="15.75">
      <c r="A34" s="8" t="s">
        <v>550</v>
      </c>
      <c r="B34" s="7" t="s">
        <v>310</v>
      </c>
      <c r="C34" s="14">
        <v>2051027048</v>
      </c>
      <c r="D34" s="5" t="s">
        <v>306</v>
      </c>
      <c r="E34" s="8">
        <v>2.0099999999999998</v>
      </c>
      <c r="F34" s="5" t="s">
        <v>294</v>
      </c>
      <c r="G34" s="8" t="s">
        <v>510</v>
      </c>
      <c r="H34" s="15"/>
    </row>
    <row r="35" spans="1:8" ht="15.75">
      <c r="A35" s="8" t="s">
        <v>551</v>
      </c>
      <c r="B35" s="7" t="s">
        <v>50</v>
      </c>
      <c r="C35" s="14">
        <v>2054027653</v>
      </c>
      <c r="D35" s="5" t="s">
        <v>51</v>
      </c>
      <c r="E35" s="8">
        <v>2.11</v>
      </c>
      <c r="F35" s="5" t="s">
        <v>29</v>
      </c>
      <c r="G35" s="8" t="s">
        <v>526</v>
      </c>
      <c r="H35" s="15"/>
    </row>
    <row r="36" spans="1:8" ht="15.75">
      <c r="A36" s="8" t="s">
        <v>552</v>
      </c>
      <c r="B36" s="7" t="s">
        <v>192</v>
      </c>
      <c r="C36" s="14">
        <v>2051067538</v>
      </c>
      <c r="D36" s="5" t="s">
        <v>193</v>
      </c>
      <c r="E36" s="8">
        <v>2.1800000000000002</v>
      </c>
      <c r="F36" s="5" t="s">
        <v>553</v>
      </c>
      <c r="G36" s="8" t="s">
        <v>510</v>
      </c>
      <c r="H36" s="15"/>
    </row>
    <row r="37" spans="1:8" ht="15.75">
      <c r="A37" s="8" t="s">
        <v>554</v>
      </c>
      <c r="B37" s="7" t="s">
        <v>197</v>
      </c>
      <c r="C37" s="14">
        <v>2051067521</v>
      </c>
      <c r="D37" s="5" t="s">
        <v>193</v>
      </c>
      <c r="E37" s="8" t="s">
        <v>555</v>
      </c>
      <c r="F37" s="5" t="s">
        <v>553</v>
      </c>
      <c r="G37" s="8" t="s">
        <v>510</v>
      </c>
      <c r="H37" s="15"/>
    </row>
    <row r="38" spans="1:8" ht="15.75">
      <c r="A38" s="8" t="s">
        <v>556</v>
      </c>
      <c r="B38" s="7" t="s">
        <v>200</v>
      </c>
      <c r="C38" s="14">
        <v>2051067806</v>
      </c>
      <c r="D38" s="5" t="s">
        <v>193</v>
      </c>
      <c r="E38" s="8">
        <v>2.2599999999999998</v>
      </c>
      <c r="F38" s="5" t="s">
        <v>553</v>
      </c>
      <c r="G38" s="8" t="s">
        <v>526</v>
      </c>
      <c r="H38" s="15"/>
    </row>
    <row r="39" spans="1:8" ht="15.75">
      <c r="A39" s="8" t="s">
        <v>557</v>
      </c>
      <c r="B39" s="7" t="s">
        <v>203</v>
      </c>
      <c r="C39" s="14">
        <v>2051067773</v>
      </c>
      <c r="D39" s="5" t="s">
        <v>193</v>
      </c>
      <c r="E39" s="8">
        <v>1.94</v>
      </c>
      <c r="F39" s="5" t="s">
        <v>553</v>
      </c>
      <c r="G39" s="8" t="s">
        <v>526</v>
      </c>
      <c r="H39" s="15"/>
    </row>
    <row r="40" spans="1:8" ht="15.75">
      <c r="A40" s="8" t="s">
        <v>558</v>
      </c>
      <c r="B40" s="7" t="s">
        <v>205</v>
      </c>
      <c r="C40" s="14">
        <v>2051067231</v>
      </c>
      <c r="D40" s="5" t="s">
        <v>193</v>
      </c>
      <c r="E40" s="8">
        <v>1.94</v>
      </c>
      <c r="F40" s="5" t="s">
        <v>553</v>
      </c>
      <c r="G40" s="8" t="s">
        <v>526</v>
      </c>
      <c r="H40" s="15"/>
    </row>
    <row r="41" spans="1:8" ht="15.75">
      <c r="A41" s="8" t="s">
        <v>559</v>
      </c>
      <c r="B41" s="7" t="s">
        <v>53</v>
      </c>
      <c r="C41" s="14">
        <v>2054027441</v>
      </c>
      <c r="D41" s="5" t="s">
        <v>54</v>
      </c>
      <c r="E41" s="8">
        <v>1.79</v>
      </c>
      <c r="F41" s="5" t="s">
        <v>55</v>
      </c>
      <c r="G41" s="8" t="s">
        <v>510</v>
      </c>
      <c r="H41" s="15"/>
    </row>
    <row r="42" spans="1:8" ht="15.75">
      <c r="A42" s="8" t="s">
        <v>560</v>
      </c>
      <c r="B42" s="7" t="s">
        <v>93</v>
      </c>
      <c r="C42" s="6">
        <v>2054027428</v>
      </c>
      <c r="D42" s="5" t="s">
        <v>94</v>
      </c>
      <c r="E42" s="8" t="s">
        <v>561</v>
      </c>
      <c r="F42" s="5" t="s">
        <v>29</v>
      </c>
      <c r="G42" s="8" t="s">
        <v>510</v>
      </c>
      <c r="H42" s="15"/>
    </row>
    <row r="43" spans="1:8" ht="15.75">
      <c r="A43" s="8" t="s">
        <v>562</v>
      </c>
      <c r="B43" s="7" t="s">
        <v>312</v>
      </c>
      <c r="C43" s="14">
        <v>2151017006</v>
      </c>
      <c r="D43" s="5" t="s">
        <v>313</v>
      </c>
      <c r="E43" s="8">
        <v>3.11</v>
      </c>
      <c r="F43" s="5" t="s">
        <v>314</v>
      </c>
      <c r="G43" s="8" t="s">
        <v>526</v>
      </c>
      <c r="H43" s="15"/>
    </row>
    <row r="44" spans="1:8" ht="15.75">
      <c r="A44" s="8" t="s">
        <v>563</v>
      </c>
      <c r="B44" s="7" t="s">
        <v>468</v>
      </c>
      <c r="C44" s="14">
        <v>2151017212</v>
      </c>
      <c r="D44" s="5" t="s">
        <v>313</v>
      </c>
      <c r="E44" s="8">
        <v>3.42</v>
      </c>
      <c r="F44" s="5" t="s">
        <v>314</v>
      </c>
      <c r="G44" s="8" t="s">
        <v>526</v>
      </c>
      <c r="H44" s="15"/>
    </row>
    <row r="45" spans="1:8" ht="15.75">
      <c r="A45" s="8" t="s">
        <v>564</v>
      </c>
      <c r="B45" s="7" t="s">
        <v>471</v>
      </c>
      <c r="C45" s="14">
        <v>2151017022</v>
      </c>
      <c r="D45" s="5" t="s">
        <v>313</v>
      </c>
      <c r="E45" s="8">
        <v>2.2599999999999998</v>
      </c>
      <c r="F45" s="5" t="s">
        <v>314</v>
      </c>
      <c r="G45" s="8" t="s">
        <v>526</v>
      </c>
      <c r="H45" s="15"/>
    </row>
    <row r="46" spans="1:8" ht="15.75">
      <c r="A46" s="8" t="s">
        <v>565</v>
      </c>
      <c r="B46" s="7" t="s">
        <v>318</v>
      </c>
      <c r="C46" s="14">
        <v>2151017531</v>
      </c>
      <c r="D46" s="5" t="s">
        <v>313</v>
      </c>
      <c r="E46" s="8">
        <v>2.19</v>
      </c>
      <c r="F46" s="5" t="s">
        <v>314</v>
      </c>
      <c r="G46" s="8" t="s">
        <v>526</v>
      </c>
      <c r="H46" s="15"/>
    </row>
    <row r="47" spans="1:8" ht="15.75">
      <c r="A47" s="8" t="s">
        <v>566</v>
      </c>
      <c r="B47" s="7" t="s">
        <v>350</v>
      </c>
      <c r="C47" s="14">
        <v>2151017003</v>
      </c>
      <c r="D47" s="5" t="s">
        <v>313</v>
      </c>
      <c r="E47" s="8">
        <v>1.96</v>
      </c>
      <c r="F47" s="5" t="s">
        <v>314</v>
      </c>
      <c r="G47" s="8" t="s">
        <v>526</v>
      </c>
      <c r="H47" s="15"/>
    </row>
    <row r="48" spans="1:8" ht="15.75">
      <c r="A48" s="8" t="s">
        <v>567</v>
      </c>
      <c r="B48" s="7" t="s">
        <v>473</v>
      </c>
      <c r="C48" s="14">
        <v>2151017513</v>
      </c>
      <c r="D48" s="5" t="s">
        <v>313</v>
      </c>
      <c r="E48" s="8">
        <v>2.16</v>
      </c>
      <c r="F48" s="5" t="s">
        <v>314</v>
      </c>
      <c r="G48" s="8" t="s">
        <v>526</v>
      </c>
      <c r="H48" s="15"/>
    </row>
    <row r="49" spans="1:8" ht="15.75">
      <c r="A49" s="8" t="s">
        <v>568</v>
      </c>
      <c r="B49" s="7" t="s">
        <v>336</v>
      </c>
      <c r="C49" s="14">
        <v>2154077881</v>
      </c>
      <c r="D49" s="5" t="s">
        <v>313</v>
      </c>
      <c r="E49" s="8">
        <v>2.66</v>
      </c>
      <c r="F49" s="5" t="s">
        <v>314</v>
      </c>
      <c r="G49" s="8" t="s">
        <v>526</v>
      </c>
      <c r="H49" s="15"/>
    </row>
    <row r="50" spans="1:8" ht="15.75">
      <c r="A50" s="8" t="s">
        <v>569</v>
      </c>
      <c r="B50" s="7" t="s">
        <v>320</v>
      </c>
      <c r="C50" s="14">
        <v>2151017025</v>
      </c>
      <c r="D50" s="5" t="s">
        <v>313</v>
      </c>
      <c r="E50" s="8">
        <v>3.03</v>
      </c>
      <c r="F50" s="5" t="s">
        <v>314</v>
      </c>
      <c r="G50" s="8" t="s">
        <v>526</v>
      </c>
      <c r="H50" s="15"/>
    </row>
    <row r="51" spans="1:8" ht="15.75">
      <c r="A51" s="8" t="s">
        <v>570</v>
      </c>
      <c r="B51" s="7" t="s">
        <v>339</v>
      </c>
      <c r="C51" s="14">
        <v>2151017021</v>
      </c>
      <c r="D51" s="5" t="s">
        <v>313</v>
      </c>
      <c r="E51" s="8">
        <v>2.96</v>
      </c>
      <c r="F51" s="5" t="s">
        <v>314</v>
      </c>
      <c r="G51" s="8" t="s">
        <v>526</v>
      </c>
      <c r="H51" s="15"/>
    </row>
    <row r="52" spans="1:8" ht="15.75">
      <c r="A52" s="8" t="s">
        <v>571</v>
      </c>
      <c r="B52" s="7" t="s">
        <v>322</v>
      </c>
      <c r="C52" s="14">
        <v>2151017019</v>
      </c>
      <c r="D52" s="5" t="s">
        <v>313</v>
      </c>
      <c r="E52" s="8">
        <v>2.2999999999999998</v>
      </c>
      <c r="F52" s="5" t="s">
        <v>314</v>
      </c>
      <c r="G52" s="8" t="s">
        <v>526</v>
      </c>
      <c r="H52" s="15"/>
    </row>
    <row r="53" spans="1:8" ht="15.75">
      <c r="A53" s="8" t="s">
        <v>572</v>
      </c>
      <c r="B53" s="7" t="s">
        <v>324</v>
      </c>
      <c r="C53" s="14">
        <v>2151017008</v>
      </c>
      <c r="D53" s="5" t="s">
        <v>313</v>
      </c>
      <c r="E53" s="8">
        <v>2.33</v>
      </c>
      <c r="F53" s="5" t="s">
        <v>314</v>
      </c>
      <c r="G53" s="8" t="s">
        <v>526</v>
      </c>
      <c r="H53" s="15"/>
    </row>
    <row r="54" spans="1:8" ht="15.75">
      <c r="A54" s="8" t="s">
        <v>573</v>
      </c>
      <c r="B54" s="7" t="s">
        <v>326</v>
      </c>
      <c r="C54" s="14">
        <v>2151017508</v>
      </c>
      <c r="D54" s="5" t="s">
        <v>313</v>
      </c>
      <c r="E54" s="8">
        <v>2.13</v>
      </c>
      <c r="F54" s="5" t="s">
        <v>314</v>
      </c>
      <c r="G54" s="8" t="s">
        <v>526</v>
      </c>
      <c r="H54" s="15"/>
    </row>
    <row r="55" spans="1:8" ht="15.75">
      <c r="A55" s="8" t="s">
        <v>574</v>
      </c>
      <c r="B55" s="7" t="s">
        <v>341</v>
      </c>
      <c r="C55" s="14">
        <v>2151017209</v>
      </c>
      <c r="D55" s="5" t="s">
        <v>313</v>
      </c>
      <c r="E55" s="8">
        <v>2.2000000000000002</v>
      </c>
      <c r="F55" s="5" t="s">
        <v>314</v>
      </c>
      <c r="G55" s="8" t="s">
        <v>526</v>
      </c>
      <c r="H55" s="15"/>
    </row>
    <row r="56" spans="1:8" ht="15.75">
      <c r="A56" s="8" t="s">
        <v>575</v>
      </c>
      <c r="B56" s="7" t="s">
        <v>475</v>
      </c>
      <c r="C56" s="14">
        <v>2151017208</v>
      </c>
      <c r="D56" s="5" t="s">
        <v>313</v>
      </c>
      <c r="E56" s="8">
        <v>2.09</v>
      </c>
      <c r="F56" s="5" t="s">
        <v>314</v>
      </c>
      <c r="G56" s="8" t="s">
        <v>526</v>
      </c>
      <c r="H56" s="15"/>
    </row>
    <row r="57" spans="1:8" ht="15.75">
      <c r="A57" s="8" t="s">
        <v>576</v>
      </c>
      <c r="B57" s="7" t="s">
        <v>477</v>
      </c>
      <c r="C57" s="14">
        <v>2151017509</v>
      </c>
      <c r="D57" s="5" t="s">
        <v>313</v>
      </c>
      <c r="E57" s="8">
        <v>2.19</v>
      </c>
      <c r="F57" s="5" t="s">
        <v>314</v>
      </c>
      <c r="G57" s="8" t="s">
        <v>526</v>
      </c>
      <c r="H57" s="15"/>
    </row>
    <row r="58" spans="1:8" ht="15.75">
      <c r="A58" s="8" t="s">
        <v>577</v>
      </c>
      <c r="B58" s="7" t="s">
        <v>328</v>
      </c>
      <c r="C58" s="14">
        <v>2151017000</v>
      </c>
      <c r="D58" s="5" t="s">
        <v>313</v>
      </c>
      <c r="E58" s="8">
        <v>2.0499999999999998</v>
      </c>
      <c r="F58" s="5" t="s">
        <v>314</v>
      </c>
      <c r="G58" s="8" t="s">
        <v>526</v>
      </c>
      <c r="H58" s="15"/>
    </row>
    <row r="59" spans="1:8" ht="15.75">
      <c r="A59" s="8" t="s">
        <v>578</v>
      </c>
      <c r="B59" s="7" t="s">
        <v>330</v>
      </c>
      <c r="C59" s="14">
        <v>2151017515</v>
      </c>
      <c r="D59" s="5" t="s">
        <v>313</v>
      </c>
      <c r="E59" s="8">
        <v>2.81</v>
      </c>
      <c r="F59" s="5" t="s">
        <v>314</v>
      </c>
      <c r="G59" s="8" t="s">
        <v>526</v>
      </c>
      <c r="H59" s="15"/>
    </row>
    <row r="60" spans="1:8" ht="15.75">
      <c r="A60" s="8" t="s">
        <v>579</v>
      </c>
      <c r="B60" s="7" t="s">
        <v>332</v>
      </c>
      <c r="C60" s="14">
        <v>2151017010</v>
      </c>
      <c r="D60" s="5" t="s">
        <v>313</v>
      </c>
      <c r="E60" s="8">
        <v>2.1800000000000002</v>
      </c>
      <c r="F60" s="5" t="s">
        <v>314</v>
      </c>
      <c r="G60" s="8" t="s">
        <v>526</v>
      </c>
      <c r="H60" s="15"/>
    </row>
    <row r="61" spans="1:8" ht="15.75">
      <c r="A61" s="8" t="s">
        <v>580</v>
      </c>
      <c r="B61" s="7" t="s">
        <v>479</v>
      </c>
      <c r="C61" s="14">
        <v>2151017518</v>
      </c>
      <c r="D61" s="5" t="s">
        <v>313</v>
      </c>
      <c r="E61" s="8">
        <v>2.19</v>
      </c>
      <c r="F61" s="5" t="s">
        <v>314</v>
      </c>
      <c r="G61" s="8" t="s">
        <v>526</v>
      </c>
      <c r="H61" s="15"/>
    </row>
    <row r="62" spans="1:8" ht="15.75">
      <c r="A62" s="8" t="s">
        <v>581</v>
      </c>
      <c r="B62" s="7" t="s">
        <v>334</v>
      </c>
      <c r="C62" s="14">
        <v>2151017507</v>
      </c>
      <c r="D62" s="5" t="s">
        <v>313</v>
      </c>
      <c r="E62" s="8">
        <v>2.38</v>
      </c>
      <c r="F62" s="5" t="s">
        <v>314</v>
      </c>
      <c r="G62" s="8" t="s">
        <v>526</v>
      </c>
      <c r="H62" s="15"/>
    </row>
    <row r="63" spans="1:8" ht="15.75">
      <c r="A63" s="8" t="s">
        <v>582</v>
      </c>
      <c r="B63" s="7" t="s">
        <v>208</v>
      </c>
      <c r="C63" s="14">
        <v>2151067639</v>
      </c>
      <c r="D63" s="5" t="s">
        <v>209</v>
      </c>
      <c r="E63" s="8">
        <v>2.1800000000000002</v>
      </c>
      <c r="F63" s="5" t="s">
        <v>553</v>
      </c>
      <c r="G63" s="8" t="s">
        <v>510</v>
      </c>
      <c r="H63" s="15"/>
    </row>
    <row r="64" spans="1:8" ht="15.75">
      <c r="A64" s="8" t="s">
        <v>583</v>
      </c>
      <c r="B64" s="7" t="s">
        <v>211</v>
      </c>
      <c r="C64" s="14">
        <v>2151067600</v>
      </c>
      <c r="D64" s="5" t="s">
        <v>209</v>
      </c>
      <c r="E64" s="8">
        <v>2.2999999999999998</v>
      </c>
      <c r="F64" s="5" t="s">
        <v>553</v>
      </c>
      <c r="G64" s="8" t="s">
        <v>510</v>
      </c>
      <c r="H64" s="15"/>
    </row>
    <row r="65" spans="1:8" ht="15.75">
      <c r="A65" s="8" t="s">
        <v>584</v>
      </c>
      <c r="B65" s="7" t="s">
        <v>213</v>
      </c>
      <c r="C65" s="14">
        <v>2151067645</v>
      </c>
      <c r="D65" s="5" t="s">
        <v>209</v>
      </c>
      <c r="E65" s="8">
        <v>2.75</v>
      </c>
      <c r="F65" s="5" t="s">
        <v>553</v>
      </c>
      <c r="G65" s="8" t="s">
        <v>510</v>
      </c>
      <c r="H65" s="15"/>
    </row>
    <row r="66" spans="1:8" ht="15.75">
      <c r="A66" s="8" t="s">
        <v>585</v>
      </c>
      <c r="B66" s="7" t="s">
        <v>216</v>
      </c>
      <c r="C66" s="14">
        <v>2151067051</v>
      </c>
      <c r="D66" s="5" t="s">
        <v>209</v>
      </c>
      <c r="E66" s="8">
        <v>2.52</v>
      </c>
      <c r="F66" s="5" t="s">
        <v>553</v>
      </c>
      <c r="G66" s="8" t="s">
        <v>510</v>
      </c>
      <c r="H66" s="15"/>
    </row>
    <row r="67" spans="1:8" ht="15.75">
      <c r="A67" s="8" t="s">
        <v>586</v>
      </c>
      <c r="B67" s="7" t="s">
        <v>218</v>
      </c>
      <c r="C67" s="14">
        <v>2151067623</v>
      </c>
      <c r="D67" s="5" t="s">
        <v>209</v>
      </c>
      <c r="E67" s="8">
        <v>2.1</v>
      </c>
      <c r="F67" s="5" t="s">
        <v>553</v>
      </c>
      <c r="G67" s="8" t="s">
        <v>510</v>
      </c>
      <c r="H67" s="15"/>
    </row>
    <row r="68" spans="1:8" ht="15.75">
      <c r="A68" s="8" t="s">
        <v>587</v>
      </c>
      <c r="B68" s="7" t="s">
        <v>220</v>
      </c>
      <c r="C68" s="14">
        <v>2154027099</v>
      </c>
      <c r="D68" s="5" t="s">
        <v>209</v>
      </c>
      <c r="E68" s="8">
        <v>2.36</v>
      </c>
      <c r="F68" s="5" t="s">
        <v>553</v>
      </c>
      <c r="G68" s="8" t="s">
        <v>510</v>
      </c>
      <c r="H68" s="15"/>
    </row>
    <row r="69" spans="1:8" ht="15.75">
      <c r="A69" s="8" t="s">
        <v>588</v>
      </c>
      <c r="B69" s="7" t="s">
        <v>222</v>
      </c>
      <c r="C69" s="14">
        <v>2154037756</v>
      </c>
      <c r="D69" s="5" t="s">
        <v>209</v>
      </c>
      <c r="E69" s="8">
        <v>2.15</v>
      </c>
      <c r="F69" s="5" t="s">
        <v>553</v>
      </c>
      <c r="G69" s="8" t="s">
        <v>510</v>
      </c>
      <c r="H69" s="15"/>
    </row>
    <row r="70" spans="1:8" ht="15.75">
      <c r="A70" s="8" t="s">
        <v>589</v>
      </c>
      <c r="B70" s="7" t="s">
        <v>225</v>
      </c>
      <c r="C70" s="14">
        <v>2151067580</v>
      </c>
      <c r="D70" s="5" t="s">
        <v>209</v>
      </c>
      <c r="E70" s="8">
        <v>2.0099999999999998</v>
      </c>
      <c r="F70" s="5" t="s">
        <v>553</v>
      </c>
      <c r="G70" s="8" t="s">
        <v>510</v>
      </c>
      <c r="H70" s="15"/>
    </row>
    <row r="71" spans="1:8" ht="15.75">
      <c r="A71" s="8" t="s">
        <v>590</v>
      </c>
      <c r="B71" s="7" t="s">
        <v>228</v>
      </c>
      <c r="C71" s="14">
        <v>2151067371</v>
      </c>
      <c r="D71" s="5" t="s">
        <v>209</v>
      </c>
      <c r="E71" s="8">
        <v>2.78</v>
      </c>
      <c r="F71" s="5" t="s">
        <v>553</v>
      </c>
      <c r="G71" s="8" t="s">
        <v>526</v>
      </c>
      <c r="H71" s="15"/>
    </row>
    <row r="72" spans="1:8" ht="15.75">
      <c r="A72" s="8" t="s">
        <v>591</v>
      </c>
      <c r="B72" s="7" t="s">
        <v>230</v>
      </c>
      <c r="C72" s="14">
        <v>2151067646</v>
      </c>
      <c r="D72" s="5" t="s">
        <v>209</v>
      </c>
      <c r="E72" s="8">
        <v>2.65</v>
      </c>
      <c r="F72" s="5" t="s">
        <v>553</v>
      </c>
      <c r="G72" s="8" t="s">
        <v>526</v>
      </c>
      <c r="H72" s="15"/>
    </row>
    <row r="73" spans="1:8" ht="15.75">
      <c r="A73" s="8" t="s">
        <v>592</v>
      </c>
      <c r="B73" s="7" t="s">
        <v>232</v>
      </c>
      <c r="C73" s="14">
        <v>2151067587</v>
      </c>
      <c r="D73" s="5" t="s">
        <v>233</v>
      </c>
      <c r="E73" s="8">
        <v>2.02</v>
      </c>
      <c r="F73" s="5" t="s">
        <v>553</v>
      </c>
      <c r="G73" s="8" t="s">
        <v>510</v>
      </c>
      <c r="H73" s="15"/>
    </row>
    <row r="74" spans="1:8" ht="15.75">
      <c r="A74" s="8" t="s">
        <v>593</v>
      </c>
      <c r="B74" s="7" t="s">
        <v>235</v>
      </c>
      <c r="C74" s="14">
        <v>2151067614</v>
      </c>
      <c r="D74" s="5" t="s">
        <v>233</v>
      </c>
      <c r="E74" s="8">
        <v>2.14</v>
      </c>
      <c r="F74" s="5" t="s">
        <v>553</v>
      </c>
      <c r="G74" s="8" t="s">
        <v>510</v>
      </c>
      <c r="H74" s="15"/>
    </row>
    <row r="75" spans="1:8" ht="15.75">
      <c r="A75" s="8" t="s">
        <v>594</v>
      </c>
      <c r="B75" s="7" t="s">
        <v>237</v>
      </c>
      <c r="C75" s="14">
        <v>2151067585</v>
      </c>
      <c r="D75" s="5" t="s">
        <v>233</v>
      </c>
      <c r="E75" s="8">
        <v>2.88</v>
      </c>
      <c r="F75" s="5" t="s">
        <v>553</v>
      </c>
      <c r="G75" s="8" t="s">
        <v>510</v>
      </c>
      <c r="H75" s="15"/>
    </row>
    <row r="76" spans="1:8" ht="15.75">
      <c r="A76" s="8" t="s">
        <v>595</v>
      </c>
      <c r="B76" s="7" t="s">
        <v>240</v>
      </c>
      <c r="C76" s="14">
        <v>2151067077</v>
      </c>
      <c r="D76" s="5" t="s">
        <v>233</v>
      </c>
      <c r="E76" s="8">
        <v>2.4900000000000002</v>
      </c>
      <c r="F76" s="5" t="s">
        <v>553</v>
      </c>
      <c r="G76" s="8" t="s">
        <v>510</v>
      </c>
      <c r="H76" s="15"/>
    </row>
    <row r="77" spans="1:8" ht="15.75">
      <c r="A77" s="8" t="s">
        <v>596</v>
      </c>
      <c r="B77" s="7" t="s">
        <v>242</v>
      </c>
      <c r="C77" s="14">
        <v>2151067635</v>
      </c>
      <c r="D77" s="5" t="s">
        <v>233</v>
      </c>
      <c r="E77" s="8">
        <v>2.2599999999999998</v>
      </c>
      <c r="F77" s="5" t="s">
        <v>553</v>
      </c>
      <c r="G77" s="8" t="s">
        <v>510</v>
      </c>
      <c r="H77" s="15"/>
    </row>
    <row r="78" spans="1:8" ht="15.75">
      <c r="A78" s="8" t="s">
        <v>597</v>
      </c>
      <c r="B78" s="7" t="s">
        <v>244</v>
      </c>
      <c r="C78" s="14">
        <v>2151067053</v>
      </c>
      <c r="D78" s="5" t="s">
        <v>233</v>
      </c>
      <c r="E78" s="8">
        <v>2.42</v>
      </c>
      <c r="F78" s="5" t="s">
        <v>553</v>
      </c>
      <c r="G78" s="8" t="s">
        <v>510</v>
      </c>
      <c r="H78" s="15"/>
    </row>
    <row r="79" spans="1:8" ht="15.75">
      <c r="A79" s="8" t="s">
        <v>598</v>
      </c>
      <c r="B79" s="7" t="s">
        <v>246</v>
      </c>
      <c r="C79" s="14">
        <v>2151067628</v>
      </c>
      <c r="D79" s="5" t="s">
        <v>233</v>
      </c>
      <c r="E79" s="8">
        <v>2.5</v>
      </c>
      <c r="F79" s="5" t="s">
        <v>553</v>
      </c>
      <c r="G79" s="8" t="s">
        <v>510</v>
      </c>
      <c r="H79" s="15"/>
    </row>
    <row r="80" spans="1:8" ht="15.75">
      <c r="A80" s="8" t="s">
        <v>599</v>
      </c>
      <c r="B80" s="7" t="s">
        <v>248</v>
      </c>
      <c r="C80" s="14">
        <v>2151067612</v>
      </c>
      <c r="D80" s="5" t="s">
        <v>233</v>
      </c>
      <c r="E80" s="8">
        <v>2.5499999999999998</v>
      </c>
      <c r="F80" s="5" t="s">
        <v>553</v>
      </c>
      <c r="G80" s="8" t="s">
        <v>510</v>
      </c>
      <c r="H80" s="15"/>
    </row>
    <row r="81" spans="1:8" ht="15.75">
      <c r="A81" s="8" t="s">
        <v>600</v>
      </c>
      <c r="B81" s="7" t="s">
        <v>250</v>
      </c>
      <c r="C81" s="14">
        <v>2151067575</v>
      </c>
      <c r="D81" s="5" t="s">
        <v>233</v>
      </c>
      <c r="E81" s="8">
        <v>3.22</v>
      </c>
      <c r="F81" s="5" t="s">
        <v>553</v>
      </c>
      <c r="G81" s="8" t="s">
        <v>510</v>
      </c>
      <c r="H81" s="15"/>
    </row>
    <row r="82" spans="1:8" ht="15.75">
      <c r="A82" s="8" t="s">
        <v>601</v>
      </c>
      <c r="B82" s="7" t="s">
        <v>465</v>
      </c>
      <c r="C82" s="14">
        <v>2151017506</v>
      </c>
      <c r="D82" s="5" t="s">
        <v>458</v>
      </c>
      <c r="E82" s="8">
        <v>2.33</v>
      </c>
      <c r="F82" s="5" t="s">
        <v>540</v>
      </c>
      <c r="G82" s="8" t="s">
        <v>526</v>
      </c>
      <c r="H82" s="15"/>
    </row>
    <row r="83" spans="1:8" ht="15.75">
      <c r="A83" s="8" t="s">
        <v>602</v>
      </c>
      <c r="B83" s="7" t="s">
        <v>603</v>
      </c>
      <c r="C83" s="14">
        <v>2151017361</v>
      </c>
      <c r="D83" s="5" t="s">
        <v>458</v>
      </c>
      <c r="E83" s="8">
        <v>2.27</v>
      </c>
      <c r="F83" s="5" t="s">
        <v>540</v>
      </c>
      <c r="G83" s="8" t="s">
        <v>526</v>
      </c>
      <c r="H83" s="15"/>
    </row>
    <row r="84" spans="1:8" ht="15.75">
      <c r="A84" s="8" t="s">
        <v>604</v>
      </c>
      <c r="B84" s="7" t="s">
        <v>256</v>
      </c>
      <c r="C84" s="14">
        <v>2151017502</v>
      </c>
      <c r="D84" s="5" t="s">
        <v>257</v>
      </c>
      <c r="E84" s="8">
        <v>2.48</v>
      </c>
      <c r="F84" s="5" t="s">
        <v>258</v>
      </c>
      <c r="G84" s="8" t="s">
        <v>526</v>
      </c>
      <c r="H84" s="15"/>
    </row>
    <row r="85" spans="1:8" ht="15.75">
      <c r="A85" s="8" t="s">
        <v>605</v>
      </c>
      <c r="B85" s="7" t="s">
        <v>262</v>
      </c>
      <c r="C85" s="14">
        <v>2151017356</v>
      </c>
      <c r="D85" s="5" t="s">
        <v>257</v>
      </c>
      <c r="E85" s="8">
        <v>2.48</v>
      </c>
      <c r="F85" s="5" t="s">
        <v>258</v>
      </c>
      <c r="G85" s="8" t="s">
        <v>526</v>
      </c>
      <c r="H85" s="15"/>
    </row>
    <row r="86" spans="1:8" ht="15.75">
      <c r="A86" s="8" t="s">
        <v>606</v>
      </c>
      <c r="B86" s="7" t="s">
        <v>264</v>
      </c>
      <c r="C86" s="14">
        <v>2151017500</v>
      </c>
      <c r="D86" s="5" t="s">
        <v>257</v>
      </c>
      <c r="E86" s="8">
        <v>2.13</v>
      </c>
      <c r="F86" s="5" t="s">
        <v>258</v>
      </c>
      <c r="G86" s="8" t="s">
        <v>526</v>
      </c>
      <c r="H86" s="15"/>
    </row>
    <row r="87" spans="1:8" ht="15.75">
      <c r="A87" s="8" t="s">
        <v>607</v>
      </c>
      <c r="B87" s="7" t="s">
        <v>266</v>
      </c>
      <c r="C87" s="14">
        <v>2151017211</v>
      </c>
      <c r="D87" s="5" t="s">
        <v>257</v>
      </c>
      <c r="E87" s="8">
        <v>3.01</v>
      </c>
      <c r="F87" s="5" t="s">
        <v>258</v>
      </c>
      <c r="G87" s="8" t="s">
        <v>526</v>
      </c>
      <c r="H87" s="15"/>
    </row>
    <row r="88" spans="1:8" ht="15.75">
      <c r="A88" s="8" t="s">
        <v>608</v>
      </c>
      <c r="B88" s="7" t="s">
        <v>268</v>
      </c>
      <c r="C88" s="14">
        <v>2154077856</v>
      </c>
      <c r="D88" s="5" t="s">
        <v>257</v>
      </c>
      <c r="E88" s="8">
        <v>2.96</v>
      </c>
      <c r="F88" s="5" t="s">
        <v>258</v>
      </c>
      <c r="G88" s="8" t="s">
        <v>526</v>
      </c>
      <c r="H88" s="15"/>
    </row>
    <row r="89" spans="1:8" ht="15.75">
      <c r="A89" s="8" t="s">
        <v>609</v>
      </c>
      <c r="B89" s="7" t="s">
        <v>272</v>
      </c>
      <c r="C89" s="14">
        <v>2151017347</v>
      </c>
      <c r="D89" s="5" t="s">
        <v>257</v>
      </c>
      <c r="E89" s="8">
        <v>2.96</v>
      </c>
      <c r="F89" s="5" t="s">
        <v>258</v>
      </c>
      <c r="G89" s="8" t="s">
        <v>526</v>
      </c>
      <c r="H89" s="15"/>
    </row>
    <row r="90" spans="1:8" ht="15.75">
      <c r="A90" s="8" t="s">
        <v>610</v>
      </c>
      <c r="B90" s="7" t="s">
        <v>274</v>
      </c>
      <c r="C90" s="14">
        <v>2151017522</v>
      </c>
      <c r="D90" s="5" t="s">
        <v>257</v>
      </c>
      <c r="E90" s="8">
        <v>2.59</v>
      </c>
      <c r="F90" s="5" t="s">
        <v>258</v>
      </c>
      <c r="G90" s="8" t="s">
        <v>526</v>
      </c>
      <c r="H90" s="15"/>
    </row>
    <row r="91" spans="1:8" ht="15.75">
      <c r="A91" s="8" t="s">
        <v>611</v>
      </c>
      <c r="B91" s="7" t="s">
        <v>276</v>
      </c>
      <c r="C91" s="14">
        <v>2151017220</v>
      </c>
      <c r="D91" s="5" t="s">
        <v>257</v>
      </c>
      <c r="E91" s="8">
        <v>2.25</v>
      </c>
      <c r="F91" s="5" t="s">
        <v>258</v>
      </c>
      <c r="G91" s="8" t="s">
        <v>526</v>
      </c>
      <c r="H91" s="15"/>
    </row>
    <row r="92" spans="1:8" ht="15.75">
      <c r="A92" s="8" t="s">
        <v>612</v>
      </c>
      <c r="B92" s="7" t="s">
        <v>278</v>
      </c>
      <c r="C92" s="14">
        <v>2151017214</v>
      </c>
      <c r="D92" s="5" t="s">
        <v>257</v>
      </c>
      <c r="E92" s="8">
        <v>2.5499999999999998</v>
      </c>
      <c r="F92" s="5" t="s">
        <v>258</v>
      </c>
      <c r="G92" s="8" t="s">
        <v>526</v>
      </c>
      <c r="H92" s="15"/>
    </row>
    <row r="93" spans="1:8" ht="15.75">
      <c r="A93" s="8" t="s">
        <v>613</v>
      </c>
      <c r="B93" s="7" t="s">
        <v>385</v>
      </c>
      <c r="C93" s="14">
        <v>2151047040</v>
      </c>
      <c r="D93" s="5" t="s">
        <v>386</v>
      </c>
      <c r="E93" s="8">
        <v>2.2799999999999998</v>
      </c>
      <c r="F93" s="5" t="s">
        <v>359</v>
      </c>
      <c r="G93" s="8" t="s">
        <v>526</v>
      </c>
      <c r="H93" s="15"/>
    </row>
    <row r="94" spans="1:8" ht="15.75">
      <c r="A94" s="8" t="s">
        <v>614</v>
      </c>
      <c r="B94" s="7" t="s">
        <v>388</v>
      </c>
      <c r="C94" s="14">
        <v>2151047533</v>
      </c>
      <c r="D94" s="5" t="s">
        <v>386</v>
      </c>
      <c r="E94" s="8">
        <v>2.3199999999999998</v>
      </c>
      <c r="F94" s="5" t="s">
        <v>359</v>
      </c>
      <c r="G94" s="8" t="s">
        <v>526</v>
      </c>
      <c r="H94" s="15"/>
    </row>
    <row r="95" spans="1:8" ht="15.75">
      <c r="A95" s="8" t="s">
        <v>615</v>
      </c>
      <c r="B95" s="7" t="s">
        <v>390</v>
      </c>
      <c r="C95" s="14">
        <v>2151047548</v>
      </c>
      <c r="D95" s="5" t="s">
        <v>386</v>
      </c>
      <c r="E95" s="8">
        <v>2.37</v>
      </c>
      <c r="F95" s="5" t="s">
        <v>359</v>
      </c>
      <c r="G95" s="8" t="s">
        <v>526</v>
      </c>
      <c r="H95" s="15"/>
    </row>
    <row r="96" spans="1:8" ht="15.75">
      <c r="A96" s="8" t="s">
        <v>616</v>
      </c>
      <c r="B96" s="7" t="s">
        <v>392</v>
      </c>
      <c r="C96" s="14">
        <v>2151047031</v>
      </c>
      <c r="D96" s="5" t="s">
        <v>386</v>
      </c>
      <c r="E96" s="8">
        <v>3.1</v>
      </c>
      <c r="F96" s="5" t="s">
        <v>359</v>
      </c>
      <c r="G96" s="8" t="s">
        <v>526</v>
      </c>
      <c r="H96" s="15"/>
    </row>
    <row r="97" spans="1:8" ht="15.75">
      <c r="A97" s="8" t="s">
        <v>617</v>
      </c>
      <c r="B97" s="7" t="s">
        <v>394</v>
      </c>
      <c r="C97" s="14">
        <v>2151047549</v>
      </c>
      <c r="D97" s="5" t="s">
        <v>386</v>
      </c>
      <c r="E97" s="8">
        <v>2</v>
      </c>
      <c r="F97" s="5" t="s">
        <v>359</v>
      </c>
      <c r="G97" s="8" t="s">
        <v>526</v>
      </c>
      <c r="H97" s="15"/>
    </row>
    <row r="98" spans="1:8" ht="15.75">
      <c r="A98" s="8" t="s">
        <v>618</v>
      </c>
      <c r="B98" s="7" t="s">
        <v>396</v>
      </c>
      <c r="C98" s="14">
        <v>2154077183</v>
      </c>
      <c r="D98" s="5" t="s">
        <v>386</v>
      </c>
      <c r="E98" s="8">
        <v>2.4900000000000002</v>
      </c>
      <c r="F98" s="5" t="s">
        <v>359</v>
      </c>
      <c r="G98" s="8" t="s">
        <v>526</v>
      </c>
      <c r="H98" s="15"/>
    </row>
    <row r="99" spans="1:8" ht="15.75">
      <c r="A99" s="8" t="s">
        <v>619</v>
      </c>
      <c r="B99" s="7" t="s">
        <v>398</v>
      </c>
      <c r="C99" s="14">
        <v>2151047536</v>
      </c>
      <c r="D99" s="5" t="s">
        <v>386</v>
      </c>
      <c r="E99" s="8">
        <v>2.15</v>
      </c>
      <c r="F99" s="5" t="s">
        <v>359</v>
      </c>
      <c r="G99" s="8" t="s">
        <v>526</v>
      </c>
      <c r="H99" s="15"/>
    </row>
    <row r="100" spans="1:8" ht="15.75">
      <c r="A100" s="8" t="s">
        <v>620</v>
      </c>
      <c r="B100" s="7" t="s">
        <v>400</v>
      </c>
      <c r="C100" s="14">
        <v>2151047225</v>
      </c>
      <c r="D100" s="5" t="s">
        <v>386</v>
      </c>
      <c r="E100" s="8">
        <v>2.29</v>
      </c>
      <c r="F100" s="5" t="s">
        <v>359</v>
      </c>
      <c r="G100" s="8" t="s">
        <v>526</v>
      </c>
      <c r="H100" s="15"/>
    </row>
    <row r="101" spans="1:8" ht="15.75">
      <c r="A101" s="8" t="s">
        <v>621</v>
      </c>
      <c r="B101" s="7" t="s">
        <v>402</v>
      </c>
      <c r="C101" s="14">
        <v>2151047554</v>
      </c>
      <c r="D101" s="5" t="s">
        <v>386</v>
      </c>
      <c r="E101" s="8">
        <v>2.2799999999999998</v>
      </c>
      <c r="F101" s="5" t="s">
        <v>359</v>
      </c>
      <c r="G101" s="8" t="s">
        <v>526</v>
      </c>
      <c r="H101" s="15"/>
    </row>
    <row r="102" spans="1:8" ht="15.75">
      <c r="A102" s="8" t="s">
        <v>622</v>
      </c>
      <c r="B102" s="7" t="s">
        <v>404</v>
      </c>
      <c r="C102" s="14">
        <v>2151047029</v>
      </c>
      <c r="D102" s="5" t="s">
        <v>386</v>
      </c>
      <c r="E102" s="8">
        <v>2.44</v>
      </c>
      <c r="F102" s="5" t="s">
        <v>359</v>
      </c>
      <c r="G102" s="8" t="s">
        <v>526</v>
      </c>
      <c r="H102" s="15"/>
    </row>
    <row r="103" spans="1:8" ht="15.75">
      <c r="A103" s="8" t="s">
        <v>623</v>
      </c>
      <c r="B103" s="7" t="s">
        <v>406</v>
      </c>
      <c r="C103" s="14">
        <v>2151047032</v>
      </c>
      <c r="D103" s="5" t="s">
        <v>386</v>
      </c>
      <c r="E103" s="8">
        <v>2.44</v>
      </c>
      <c r="F103" s="5" t="s">
        <v>359</v>
      </c>
      <c r="G103" s="8" t="s">
        <v>526</v>
      </c>
      <c r="H103" s="15"/>
    </row>
    <row r="104" spans="1:8" ht="15.75">
      <c r="A104" s="8" t="s">
        <v>624</v>
      </c>
      <c r="B104" s="7" t="s">
        <v>408</v>
      </c>
      <c r="C104" s="14">
        <v>2151047044</v>
      </c>
      <c r="D104" s="5" t="s">
        <v>386</v>
      </c>
      <c r="E104" s="8">
        <v>2.52</v>
      </c>
      <c r="F104" s="5" t="s">
        <v>359</v>
      </c>
      <c r="G104" s="8" t="s">
        <v>526</v>
      </c>
      <c r="H104" s="15"/>
    </row>
    <row r="105" spans="1:8" ht="15.75">
      <c r="A105" s="8" t="s">
        <v>625</v>
      </c>
      <c r="B105" s="7" t="s">
        <v>410</v>
      </c>
      <c r="C105" s="14">
        <v>2151047560</v>
      </c>
      <c r="D105" s="5" t="s">
        <v>386</v>
      </c>
      <c r="E105" s="8">
        <v>3.37</v>
      </c>
      <c r="F105" s="5" t="s">
        <v>359</v>
      </c>
      <c r="G105" s="8" t="s">
        <v>526</v>
      </c>
      <c r="H105" s="15"/>
    </row>
    <row r="106" spans="1:8" ht="15.75">
      <c r="A106" s="8" t="s">
        <v>626</v>
      </c>
      <c r="B106" s="7" t="s">
        <v>412</v>
      </c>
      <c r="C106" s="14">
        <v>2151047045</v>
      </c>
      <c r="D106" s="5" t="s">
        <v>386</v>
      </c>
      <c r="E106" s="8">
        <v>2.33</v>
      </c>
      <c r="F106" s="5" t="s">
        <v>359</v>
      </c>
      <c r="G106" s="8" t="s">
        <v>526</v>
      </c>
      <c r="H106" s="15"/>
    </row>
    <row r="107" spans="1:8" ht="15.75">
      <c r="A107" s="8" t="s">
        <v>627</v>
      </c>
      <c r="B107" s="7" t="s">
        <v>414</v>
      </c>
      <c r="C107" s="14">
        <v>2151047574</v>
      </c>
      <c r="D107" s="5" t="s">
        <v>386</v>
      </c>
      <c r="E107" s="8">
        <v>2.66</v>
      </c>
      <c r="F107" s="5" t="s">
        <v>359</v>
      </c>
      <c r="G107" s="8" t="s">
        <v>526</v>
      </c>
      <c r="H107" s="15"/>
    </row>
    <row r="108" spans="1:8" ht="15.75">
      <c r="A108" s="8" t="s">
        <v>628</v>
      </c>
      <c r="B108" s="7" t="s">
        <v>416</v>
      </c>
      <c r="C108" s="14">
        <v>2151047559</v>
      </c>
      <c r="D108" s="5" t="s">
        <v>386</v>
      </c>
      <c r="E108" s="8">
        <v>2.58</v>
      </c>
      <c r="F108" s="5" t="s">
        <v>359</v>
      </c>
      <c r="G108" s="8" t="s">
        <v>526</v>
      </c>
      <c r="H108" s="15"/>
    </row>
    <row r="109" spans="1:8" ht="15.75">
      <c r="A109" s="8" t="s">
        <v>629</v>
      </c>
      <c r="B109" s="7" t="s">
        <v>418</v>
      </c>
      <c r="C109" s="14">
        <v>2154077192</v>
      </c>
      <c r="D109" s="5" t="s">
        <v>386</v>
      </c>
      <c r="E109" s="8">
        <v>2.31</v>
      </c>
      <c r="F109" s="5" t="s">
        <v>359</v>
      </c>
      <c r="G109" s="8" t="s">
        <v>526</v>
      </c>
      <c r="H109" s="15"/>
    </row>
    <row r="110" spans="1:8" ht="15.75">
      <c r="A110" s="8" t="s">
        <v>630</v>
      </c>
      <c r="B110" s="7" t="s">
        <v>420</v>
      </c>
      <c r="C110" s="14">
        <v>2151047555</v>
      </c>
      <c r="D110" s="5" t="s">
        <v>386</v>
      </c>
      <c r="E110" s="8">
        <v>2.4700000000000002</v>
      </c>
      <c r="F110" s="5" t="s">
        <v>359</v>
      </c>
      <c r="G110" s="8" t="s">
        <v>526</v>
      </c>
      <c r="H110" s="15"/>
    </row>
    <row r="111" spans="1:8" ht="15.75">
      <c r="A111" s="8" t="s">
        <v>631</v>
      </c>
      <c r="B111" s="7" t="s">
        <v>424</v>
      </c>
      <c r="C111" s="14">
        <v>2151047573</v>
      </c>
      <c r="D111" s="5" t="s">
        <v>386</v>
      </c>
      <c r="E111" s="8">
        <v>2.41</v>
      </c>
      <c r="F111" s="5" t="s">
        <v>359</v>
      </c>
      <c r="G111" s="8" t="s">
        <v>526</v>
      </c>
      <c r="H111" s="15"/>
    </row>
    <row r="112" spans="1:8" ht="15.75">
      <c r="A112" s="8" t="s">
        <v>632</v>
      </c>
      <c r="B112" s="7" t="s">
        <v>422</v>
      </c>
      <c r="C112" s="14">
        <v>2151047227</v>
      </c>
      <c r="D112" s="5" t="s">
        <v>386</v>
      </c>
      <c r="E112" s="8">
        <v>2.76</v>
      </c>
      <c r="F112" s="5" t="s">
        <v>359</v>
      </c>
      <c r="G112" s="8" t="s">
        <v>526</v>
      </c>
      <c r="H112" s="15"/>
    </row>
    <row r="113" spans="1:8" ht="15.75">
      <c r="A113" s="8" t="s">
        <v>633</v>
      </c>
      <c r="B113" s="7" t="s">
        <v>426</v>
      </c>
      <c r="C113" s="14">
        <v>2151047046</v>
      </c>
      <c r="D113" s="5" t="s">
        <v>386</v>
      </c>
      <c r="E113" s="8">
        <v>2.2999999999999998</v>
      </c>
      <c r="F113" s="5" t="s">
        <v>359</v>
      </c>
      <c r="G113" s="8" t="s">
        <v>526</v>
      </c>
      <c r="H113" s="15"/>
    </row>
    <row r="114" spans="1:8" ht="15.75">
      <c r="A114" s="8" t="s">
        <v>634</v>
      </c>
      <c r="B114" s="7" t="s">
        <v>428</v>
      </c>
      <c r="C114" s="14">
        <v>2151047221</v>
      </c>
      <c r="D114" s="5" t="s">
        <v>386</v>
      </c>
      <c r="E114" s="8">
        <v>2.68</v>
      </c>
      <c r="F114" s="5" t="s">
        <v>359</v>
      </c>
      <c r="G114" s="8" t="s">
        <v>526</v>
      </c>
      <c r="H114" s="15"/>
    </row>
    <row r="115" spans="1:8" ht="15.75">
      <c r="A115" s="8" t="s">
        <v>635</v>
      </c>
      <c r="B115" s="7" t="s">
        <v>430</v>
      </c>
      <c r="C115" s="14">
        <v>2151047532</v>
      </c>
      <c r="D115" s="5" t="s">
        <v>386</v>
      </c>
      <c r="E115" s="8">
        <v>2.98</v>
      </c>
      <c r="F115" s="5" t="s">
        <v>359</v>
      </c>
      <c r="G115" s="8" t="s">
        <v>526</v>
      </c>
      <c r="H115" s="15"/>
    </row>
    <row r="116" spans="1:8" ht="15.75">
      <c r="A116" s="8" t="s">
        <v>636</v>
      </c>
      <c r="B116" s="7" t="s">
        <v>432</v>
      </c>
      <c r="C116" s="14">
        <v>2151047537</v>
      </c>
      <c r="D116" s="5" t="s">
        <v>386</v>
      </c>
      <c r="E116" s="8">
        <v>2.14</v>
      </c>
      <c r="F116" s="5" t="s">
        <v>359</v>
      </c>
      <c r="G116" s="8" t="s">
        <v>526</v>
      </c>
      <c r="H116" s="15"/>
    </row>
    <row r="117" spans="1:8" ht="15.75">
      <c r="A117" s="8" t="s">
        <v>637</v>
      </c>
      <c r="B117" s="7" t="s">
        <v>434</v>
      </c>
      <c r="C117" s="14">
        <v>2151047540</v>
      </c>
      <c r="D117" s="5" t="s">
        <v>386</v>
      </c>
      <c r="E117" s="8">
        <v>2.97</v>
      </c>
      <c r="F117" s="5" t="s">
        <v>359</v>
      </c>
      <c r="G117" s="8" t="s">
        <v>526</v>
      </c>
      <c r="H117" s="15"/>
    </row>
    <row r="118" spans="1:8" ht="15.75">
      <c r="A118" s="8" t="s">
        <v>638</v>
      </c>
      <c r="B118" s="7" t="s">
        <v>436</v>
      </c>
      <c r="C118" s="14">
        <v>2151047567</v>
      </c>
      <c r="D118" s="5" t="s">
        <v>386</v>
      </c>
      <c r="E118" s="8">
        <v>2.42</v>
      </c>
      <c r="F118" s="5" t="s">
        <v>359</v>
      </c>
      <c r="G118" s="8" t="s">
        <v>526</v>
      </c>
      <c r="H118" s="15"/>
    </row>
    <row r="119" spans="1:8" ht="15.75">
      <c r="A119" s="8" t="s">
        <v>639</v>
      </c>
      <c r="B119" s="7" t="s">
        <v>438</v>
      </c>
      <c r="C119" s="14">
        <v>2151047222</v>
      </c>
      <c r="D119" s="5" t="s">
        <v>386</v>
      </c>
      <c r="E119" s="8">
        <v>2.44</v>
      </c>
      <c r="F119" s="5" t="s">
        <v>359</v>
      </c>
      <c r="G119" s="8" t="s">
        <v>526</v>
      </c>
      <c r="H119" s="15"/>
    </row>
    <row r="120" spans="1:8" ht="15.75">
      <c r="A120" s="8" t="s">
        <v>640</v>
      </c>
      <c r="B120" s="7" t="s">
        <v>440</v>
      </c>
      <c r="C120" s="14">
        <v>2151017344</v>
      </c>
      <c r="D120" s="5" t="s">
        <v>386</v>
      </c>
      <c r="E120" s="8">
        <v>2.78</v>
      </c>
      <c r="F120" s="5" t="s">
        <v>359</v>
      </c>
      <c r="G120" s="8" t="s">
        <v>526</v>
      </c>
      <c r="H120" s="15"/>
    </row>
    <row r="121" spans="1:8" ht="15.75">
      <c r="A121" s="8" t="s">
        <v>641</v>
      </c>
      <c r="B121" s="7" t="s">
        <v>442</v>
      </c>
      <c r="C121" s="14">
        <v>2151047368</v>
      </c>
      <c r="D121" s="5" t="s">
        <v>386</v>
      </c>
      <c r="E121" s="8">
        <v>2.0499999999999998</v>
      </c>
      <c r="F121" s="5" t="s">
        <v>359</v>
      </c>
      <c r="G121" s="8" t="s">
        <v>526</v>
      </c>
      <c r="H121" s="15"/>
    </row>
    <row r="122" spans="1:8" ht="15.75">
      <c r="A122" s="8" t="s">
        <v>642</v>
      </c>
      <c r="B122" s="7" t="s">
        <v>150</v>
      </c>
      <c r="C122" s="14">
        <v>2154037300</v>
      </c>
      <c r="D122" s="5" t="s">
        <v>151</v>
      </c>
      <c r="E122" s="8">
        <v>2.06</v>
      </c>
      <c r="F122" s="5" t="s">
        <v>494</v>
      </c>
      <c r="G122" s="8" t="s">
        <v>510</v>
      </c>
      <c r="H122" s="15"/>
    </row>
    <row r="123" spans="1:8" ht="15.75">
      <c r="A123" s="8" t="s">
        <v>643</v>
      </c>
      <c r="B123" s="7" t="s">
        <v>153</v>
      </c>
      <c r="C123" s="14">
        <v>2154037380</v>
      </c>
      <c r="D123" s="5" t="s">
        <v>151</v>
      </c>
      <c r="E123" s="8">
        <v>2.59</v>
      </c>
      <c r="F123" s="5" t="s">
        <v>494</v>
      </c>
      <c r="G123" s="8" t="s">
        <v>510</v>
      </c>
      <c r="H123" s="15"/>
    </row>
    <row r="124" spans="1:8" ht="15.75">
      <c r="A124" s="8" t="s">
        <v>644</v>
      </c>
      <c r="B124" s="7" t="s">
        <v>645</v>
      </c>
      <c r="C124" s="14">
        <v>2154027124</v>
      </c>
      <c r="D124" s="5" t="s">
        <v>151</v>
      </c>
      <c r="E124" s="8">
        <v>2.21</v>
      </c>
      <c r="F124" s="5" t="s">
        <v>494</v>
      </c>
      <c r="G124" s="8" t="s">
        <v>510</v>
      </c>
      <c r="H124" s="15"/>
    </row>
    <row r="125" spans="1:8" ht="15.75">
      <c r="A125" s="8" t="s">
        <v>646</v>
      </c>
      <c r="B125" s="7" t="s">
        <v>158</v>
      </c>
      <c r="C125" s="14">
        <v>2154037384</v>
      </c>
      <c r="D125" s="5" t="s">
        <v>151</v>
      </c>
      <c r="E125" s="8" t="s">
        <v>647</v>
      </c>
      <c r="F125" s="5" t="s">
        <v>494</v>
      </c>
      <c r="G125" s="8" t="s">
        <v>510</v>
      </c>
      <c r="H125" s="15"/>
    </row>
    <row r="126" spans="1:8" ht="15.75">
      <c r="A126" s="8" t="s">
        <v>648</v>
      </c>
      <c r="B126" s="7" t="s">
        <v>160</v>
      </c>
      <c r="C126" s="14">
        <v>2154037153</v>
      </c>
      <c r="D126" s="5" t="s">
        <v>151</v>
      </c>
      <c r="E126" s="8">
        <v>2.38</v>
      </c>
      <c r="F126" s="5" t="s">
        <v>494</v>
      </c>
      <c r="G126" s="8" t="s">
        <v>510</v>
      </c>
      <c r="H126" s="15"/>
    </row>
    <row r="127" spans="1:8" ht="15.75">
      <c r="A127" s="8" t="s">
        <v>649</v>
      </c>
      <c r="B127" s="7" t="s">
        <v>162</v>
      </c>
      <c r="C127" s="14">
        <v>2154037764</v>
      </c>
      <c r="D127" s="5" t="s">
        <v>151</v>
      </c>
      <c r="E127" s="8">
        <v>1.94</v>
      </c>
      <c r="F127" s="5" t="s">
        <v>494</v>
      </c>
      <c r="G127" s="8" t="s">
        <v>510</v>
      </c>
      <c r="H127" s="15"/>
    </row>
    <row r="128" spans="1:8" ht="15.75">
      <c r="A128" s="8" t="s">
        <v>650</v>
      </c>
      <c r="B128" s="7" t="s">
        <v>164</v>
      </c>
      <c r="C128" s="14">
        <v>2154037161</v>
      </c>
      <c r="D128" s="5" t="s">
        <v>151</v>
      </c>
      <c r="E128" s="8">
        <v>2.3199999999999998</v>
      </c>
      <c r="F128" s="5" t="s">
        <v>494</v>
      </c>
      <c r="G128" s="8" t="s">
        <v>510</v>
      </c>
      <c r="H128" s="15"/>
    </row>
    <row r="129" spans="1:8" ht="15.75">
      <c r="A129" s="8" t="s">
        <v>651</v>
      </c>
      <c r="B129" s="7" t="s">
        <v>166</v>
      </c>
      <c r="C129" s="14">
        <v>2154037766</v>
      </c>
      <c r="D129" s="5" t="s">
        <v>151</v>
      </c>
      <c r="E129" s="8">
        <v>1.85</v>
      </c>
      <c r="F129" s="5" t="s">
        <v>494</v>
      </c>
      <c r="G129" s="8" t="s">
        <v>510</v>
      </c>
      <c r="H129" s="15"/>
    </row>
    <row r="130" spans="1:8" ht="15.75">
      <c r="A130" s="8" t="s">
        <v>652</v>
      </c>
      <c r="B130" s="7" t="s">
        <v>168</v>
      </c>
      <c r="C130" s="14">
        <v>2154077195</v>
      </c>
      <c r="D130" s="5" t="s">
        <v>151</v>
      </c>
      <c r="E130" s="8">
        <v>3.65</v>
      </c>
      <c r="F130" s="5" t="s">
        <v>494</v>
      </c>
      <c r="G130" s="8" t="s">
        <v>510</v>
      </c>
      <c r="H130" s="15"/>
    </row>
    <row r="131" spans="1:8" ht="15.75">
      <c r="A131" s="8" t="s">
        <v>653</v>
      </c>
      <c r="B131" s="7" t="s">
        <v>170</v>
      </c>
      <c r="C131" s="14">
        <v>2154037322</v>
      </c>
      <c r="D131" s="5" t="s">
        <v>151</v>
      </c>
      <c r="E131" s="8">
        <v>2.2599999999999998</v>
      </c>
      <c r="F131" s="5" t="s">
        <v>494</v>
      </c>
      <c r="G131" s="8" t="s">
        <v>510</v>
      </c>
      <c r="H131" s="15"/>
    </row>
    <row r="132" spans="1:8" ht="15.75">
      <c r="A132" s="8" t="s">
        <v>654</v>
      </c>
      <c r="B132" s="7" t="s">
        <v>172</v>
      </c>
      <c r="C132" s="14">
        <v>2154037792</v>
      </c>
      <c r="D132" s="5" t="s">
        <v>151</v>
      </c>
      <c r="E132" s="8">
        <v>2.37</v>
      </c>
      <c r="F132" s="5" t="s">
        <v>494</v>
      </c>
      <c r="G132" s="8" t="s">
        <v>510</v>
      </c>
      <c r="H132" s="15"/>
    </row>
    <row r="133" spans="1:8" ht="15.75">
      <c r="A133" s="8" t="s">
        <v>655</v>
      </c>
      <c r="B133" s="7" t="s">
        <v>174</v>
      </c>
      <c r="C133" s="14">
        <v>2154037150</v>
      </c>
      <c r="D133" s="5" t="s">
        <v>151</v>
      </c>
      <c r="E133" s="8">
        <v>2.1</v>
      </c>
      <c r="F133" s="5" t="s">
        <v>494</v>
      </c>
      <c r="G133" s="8" t="s">
        <v>510</v>
      </c>
      <c r="H133" s="15"/>
    </row>
    <row r="134" spans="1:8" ht="15.75">
      <c r="A134" s="8" t="s">
        <v>656</v>
      </c>
      <c r="B134" s="7" t="s">
        <v>176</v>
      </c>
      <c r="C134" s="14">
        <v>2154037794</v>
      </c>
      <c r="D134" s="5" t="s">
        <v>151</v>
      </c>
      <c r="E134" s="8">
        <v>2.35</v>
      </c>
      <c r="F134" s="5" t="s">
        <v>494</v>
      </c>
      <c r="G134" s="8" t="s">
        <v>526</v>
      </c>
      <c r="H134" s="15"/>
    </row>
    <row r="135" spans="1:8" ht="15.75">
      <c r="A135" s="8" t="s">
        <v>657</v>
      </c>
      <c r="B135" s="7" t="s">
        <v>178</v>
      </c>
      <c r="C135" s="14">
        <v>2154037762</v>
      </c>
      <c r="D135" s="5" t="s">
        <v>151</v>
      </c>
      <c r="E135" s="8">
        <v>1.89</v>
      </c>
      <c r="F135" s="5" t="s">
        <v>494</v>
      </c>
      <c r="G135" s="8" t="s">
        <v>526</v>
      </c>
      <c r="H135" s="15"/>
    </row>
    <row r="136" spans="1:8" ht="15.75">
      <c r="A136" s="8" t="s">
        <v>658</v>
      </c>
      <c r="B136" s="7" t="s">
        <v>180</v>
      </c>
      <c r="C136" s="14">
        <v>2154037773</v>
      </c>
      <c r="D136" s="5" t="s">
        <v>151</v>
      </c>
      <c r="E136" s="8">
        <v>2.29</v>
      </c>
      <c r="F136" s="5" t="s">
        <v>494</v>
      </c>
      <c r="G136" s="8" t="s">
        <v>526</v>
      </c>
      <c r="H136" s="15"/>
    </row>
    <row r="137" spans="1:8" ht="15.75">
      <c r="A137" s="8" t="s">
        <v>659</v>
      </c>
      <c r="B137" s="7" t="s">
        <v>182</v>
      </c>
      <c r="C137" s="14">
        <v>2154037157</v>
      </c>
      <c r="D137" s="5" t="s">
        <v>151</v>
      </c>
      <c r="E137" s="8">
        <v>2.52</v>
      </c>
      <c r="F137" s="5" t="s">
        <v>494</v>
      </c>
      <c r="G137" s="8" t="s">
        <v>526</v>
      </c>
      <c r="H137" s="15"/>
    </row>
    <row r="138" spans="1:8" ht="15.75">
      <c r="A138" s="8" t="s">
        <v>660</v>
      </c>
      <c r="B138" s="7" t="s">
        <v>184</v>
      </c>
      <c r="C138" s="14">
        <v>2154037772</v>
      </c>
      <c r="D138" s="5" t="s">
        <v>151</v>
      </c>
      <c r="E138" s="8">
        <v>1.94</v>
      </c>
      <c r="F138" s="5" t="s">
        <v>494</v>
      </c>
      <c r="G138" s="8" t="s">
        <v>526</v>
      </c>
      <c r="H138" s="15"/>
    </row>
    <row r="139" spans="1:8" ht="15.75">
      <c r="A139" s="8" t="s">
        <v>661</v>
      </c>
      <c r="B139" s="7" t="s">
        <v>186</v>
      </c>
      <c r="C139" s="14">
        <v>2154037769</v>
      </c>
      <c r="D139" s="5" t="s">
        <v>151</v>
      </c>
      <c r="E139" s="8">
        <v>2.0299999999999998</v>
      </c>
      <c r="F139" s="5" t="s">
        <v>494</v>
      </c>
      <c r="G139" s="8" t="s">
        <v>526</v>
      </c>
      <c r="H139" s="15"/>
    </row>
    <row r="140" spans="1:8" ht="15.75">
      <c r="A140" s="8" t="s">
        <v>662</v>
      </c>
      <c r="B140" s="7" t="s">
        <v>188</v>
      </c>
      <c r="C140" s="14">
        <v>2154037154</v>
      </c>
      <c r="D140" s="5" t="s">
        <v>151</v>
      </c>
      <c r="E140" s="8">
        <v>1.94</v>
      </c>
      <c r="F140" s="5" t="s">
        <v>494</v>
      </c>
      <c r="G140" s="8" t="s">
        <v>526</v>
      </c>
      <c r="H140" s="15"/>
    </row>
    <row r="141" spans="1:8" ht="15.75">
      <c r="A141" s="8" t="s">
        <v>663</v>
      </c>
      <c r="B141" s="7" t="s">
        <v>190</v>
      </c>
      <c r="C141" s="14">
        <v>2154037169</v>
      </c>
      <c r="D141" s="5" t="s">
        <v>151</v>
      </c>
      <c r="E141" s="8">
        <v>2.11</v>
      </c>
      <c r="F141" s="5" t="s">
        <v>494</v>
      </c>
      <c r="G141" s="8" t="s">
        <v>526</v>
      </c>
      <c r="H141" s="15"/>
    </row>
    <row r="142" spans="1:8" ht="15.75">
      <c r="A142" s="8" t="s">
        <v>664</v>
      </c>
      <c r="B142" s="7" t="s">
        <v>107</v>
      </c>
      <c r="C142" s="14">
        <v>2154077824</v>
      </c>
      <c r="D142" s="5" t="s">
        <v>108</v>
      </c>
      <c r="E142" s="8">
        <v>2.37</v>
      </c>
      <c r="F142" s="5" t="s">
        <v>665</v>
      </c>
      <c r="G142" s="8" t="s">
        <v>510</v>
      </c>
      <c r="H142" s="15"/>
    </row>
    <row r="143" spans="1:8" ht="15.75">
      <c r="A143" s="8" t="s">
        <v>666</v>
      </c>
      <c r="B143" s="7" t="s">
        <v>112</v>
      </c>
      <c r="C143" s="14">
        <v>2154077878</v>
      </c>
      <c r="D143" s="5" t="s">
        <v>108</v>
      </c>
      <c r="E143" s="8">
        <v>2.1</v>
      </c>
      <c r="F143" s="5" t="s">
        <v>665</v>
      </c>
      <c r="G143" s="8" t="s">
        <v>510</v>
      </c>
      <c r="H143" s="15"/>
    </row>
    <row r="144" spans="1:8" ht="15.75">
      <c r="A144" s="8" t="s">
        <v>667</v>
      </c>
      <c r="B144" s="7" t="s">
        <v>114</v>
      </c>
      <c r="C144" s="14">
        <v>2154077855</v>
      </c>
      <c r="D144" s="5" t="s">
        <v>108</v>
      </c>
      <c r="E144" s="8">
        <v>3.26</v>
      </c>
      <c r="F144" s="5" t="s">
        <v>665</v>
      </c>
      <c r="G144" s="8" t="s">
        <v>510</v>
      </c>
      <c r="H144" s="15"/>
    </row>
    <row r="145" spans="1:8" ht="15.75">
      <c r="A145" s="8" t="s">
        <v>668</v>
      </c>
      <c r="B145" s="7" t="s">
        <v>116</v>
      </c>
      <c r="C145" s="14">
        <v>2154077848</v>
      </c>
      <c r="D145" s="5" t="s">
        <v>108</v>
      </c>
      <c r="E145" s="8">
        <v>2.4700000000000002</v>
      </c>
      <c r="F145" s="5" t="s">
        <v>665</v>
      </c>
      <c r="G145" s="8" t="s">
        <v>510</v>
      </c>
      <c r="H145" s="15"/>
    </row>
    <row r="146" spans="1:8" ht="15.75">
      <c r="A146" s="8" t="s">
        <v>669</v>
      </c>
      <c r="B146" s="7" t="s">
        <v>118</v>
      </c>
      <c r="C146" s="5">
        <v>2154077860</v>
      </c>
      <c r="D146" s="5" t="s">
        <v>108</v>
      </c>
      <c r="E146" s="8">
        <v>2.19</v>
      </c>
      <c r="F146" s="5" t="s">
        <v>665</v>
      </c>
      <c r="G146" s="8" t="s">
        <v>510</v>
      </c>
      <c r="H146" s="15"/>
    </row>
    <row r="147" spans="1:8" ht="15.75">
      <c r="A147" s="8" t="s">
        <v>670</v>
      </c>
      <c r="B147" s="7" t="s">
        <v>120</v>
      </c>
      <c r="C147" s="14">
        <v>2154077854</v>
      </c>
      <c r="D147" s="5" t="s">
        <v>108</v>
      </c>
      <c r="E147" s="8">
        <v>1.96</v>
      </c>
      <c r="F147" s="5" t="s">
        <v>665</v>
      </c>
      <c r="G147" s="8" t="s">
        <v>510</v>
      </c>
      <c r="H147" s="15"/>
    </row>
    <row r="148" spans="1:8" ht="15.75">
      <c r="A148" s="8" t="s">
        <v>671</v>
      </c>
      <c r="B148" s="7" t="s">
        <v>122</v>
      </c>
      <c r="C148" s="14">
        <v>2154077313</v>
      </c>
      <c r="D148" s="5" t="s">
        <v>108</v>
      </c>
      <c r="E148" s="8">
        <v>2.33</v>
      </c>
      <c r="F148" s="5" t="s">
        <v>665</v>
      </c>
      <c r="G148" s="8" t="s">
        <v>510</v>
      </c>
      <c r="H148" s="15"/>
    </row>
    <row r="149" spans="1:8" ht="15.75">
      <c r="A149" s="8" t="s">
        <v>672</v>
      </c>
      <c r="B149" s="7" t="s">
        <v>125</v>
      </c>
      <c r="C149" s="14">
        <v>2154077900</v>
      </c>
      <c r="D149" s="5" t="s">
        <v>108</v>
      </c>
      <c r="E149" s="8">
        <v>1.96</v>
      </c>
      <c r="F149" s="5" t="s">
        <v>665</v>
      </c>
      <c r="G149" s="8" t="s">
        <v>526</v>
      </c>
      <c r="H149" s="15"/>
    </row>
    <row r="150" spans="1:8" ht="15.75">
      <c r="A150" s="8" t="s">
        <v>673</v>
      </c>
      <c r="B150" s="7" t="s">
        <v>128</v>
      </c>
      <c r="C150" s="14">
        <v>2154037301</v>
      </c>
      <c r="D150" s="5" t="s">
        <v>129</v>
      </c>
      <c r="E150" s="8">
        <v>2.59</v>
      </c>
      <c r="F150" s="5" t="s">
        <v>665</v>
      </c>
      <c r="G150" s="8" t="s">
        <v>510</v>
      </c>
      <c r="H150" s="15"/>
    </row>
    <row r="151" spans="1:8" ht="15.75">
      <c r="A151" s="8" t="s">
        <v>674</v>
      </c>
      <c r="B151" s="7" t="s">
        <v>131</v>
      </c>
      <c r="C151" s="14">
        <v>2154077823</v>
      </c>
      <c r="D151" s="5" t="s">
        <v>129</v>
      </c>
      <c r="E151" s="8">
        <v>2.79</v>
      </c>
      <c r="F151" s="5" t="s">
        <v>665</v>
      </c>
      <c r="G151" s="8" t="s">
        <v>510</v>
      </c>
      <c r="H151" s="15"/>
    </row>
    <row r="152" spans="1:8" ht="15.75">
      <c r="A152" s="8" t="s">
        <v>675</v>
      </c>
      <c r="B152" s="7" t="s">
        <v>133</v>
      </c>
      <c r="C152" s="14">
        <v>2154077889</v>
      </c>
      <c r="D152" s="5" t="s">
        <v>129</v>
      </c>
      <c r="E152" s="8">
        <v>2.0299999999999998</v>
      </c>
      <c r="F152" s="5" t="s">
        <v>665</v>
      </c>
      <c r="G152" s="8" t="s">
        <v>510</v>
      </c>
      <c r="H152" s="15"/>
    </row>
    <row r="153" spans="1:8" ht="15.75">
      <c r="A153" s="8" t="s">
        <v>676</v>
      </c>
      <c r="B153" s="7" t="s">
        <v>135</v>
      </c>
      <c r="C153" s="14">
        <v>2154077886</v>
      </c>
      <c r="D153" s="5" t="s">
        <v>129</v>
      </c>
      <c r="E153" s="8">
        <v>2.5</v>
      </c>
      <c r="F153" s="5" t="s">
        <v>665</v>
      </c>
      <c r="G153" s="8" t="s">
        <v>510</v>
      </c>
      <c r="H153" s="15"/>
    </row>
    <row r="154" spans="1:8" ht="15.75">
      <c r="A154" s="8" t="s">
        <v>677</v>
      </c>
      <c r="B154" s="7" t="s">
        <v>137</v>
      </c>
      <c r="C154" s="14">
        <v>2154077387</v>
      </c>
      <c r="D154" s="5" t="s">
        <v>129</v>
      </c>
      <c r="E154" s="8">
        <v>3.23</v>
      </c>
      <c r="F154" s="5" t="s">
        <v>665</v>
      </c>
      <c r="G154" s="8" t="s">
        <v>510</v>
      </c>
      <c r="H154" s="15"/>
    </row>
    <row r="155" spans="1:8" ht="15.75">
      <c r="A155" s="8" t="s">
        <v>678</v>
      </c>
      <c r="B155" s="7" t="s">
        <v>139</v>
      </c>
      <c r="C155" s="14">
        <v>2154077893</v>
      </c>
      <c r="D155" s="5" t="s">
        <v>129</v>
      </c>
      <c r="E155" s="8">
        <v>1.91</v>
      </c>
      <c r="F155" s="5" t="s">
        <v>665</v>
      </c>
      <c r="G155" s="8" t="s">
        <v>510</v>
      </c>
      <c r="H155" s="15"/>
    </row>
    <row r="156" spans="1:8" ht="15.75">
      <c r="A156" s="8" t="s">
        <v>679</v>
      </c>
      <c r="B156" s="7" t="s">
        <v>140</v>
      </c>
      <c r="C156" s="14">
        <v>2154077901</v>
      </c>
      <c r="D156" s="5" t="s">
        <v>129</v>
      </c>
      <c r="E156" s="8">
        <v>2.02</v>
      </c>
      <c r="F156" s="5" t="s">
        <v>665</v>
      </c>
      <c r="G156" s="8" t="s">
        <v>510</v>
      </c>
      <c r="H156" s="15"/>
    </row>
    <row r="157" spans="1:8" ht="15.75">
      <c r="A157" s="8" t="s">
        <v>680</v>
      </c>
      <c r="B157" s="7" t="s">
        <v>142</v>
      </c>
      <c r="C157" s="14">
        <v>2154077857</v>
      </c>
      <c r="D157" s="5" t="s">
        <v>129</v>
      </c>
      <c r="E157" s="8">
        <v>2.5</v>
      </c>
      <c r="F157" s="5" t="s">
        <v>665</v>
      </c>
      <c r="G157" s="8" t="s">
        <v>526</v>
      </c>
      <c r="H157" s="15"/>
    </row>
    <row r="158" spans="1:8" ht="15.75">
      <c r="A158" s="8" t="s">
        <v>681</v>
      </c>
      <c r="B158" s="7" t="s">
        <v>144</v>
      </c>
      <c r="C158" s="14">
        <v>2154077386</v>
      </c>
      <c r="D158" s="5" t="s">
        <v>129</v>
      </c>
      <c r="E158" s="8">
        <v>2.48</v>
      </c>
      <c r="F158" s="5" t="s">
        <v>665</v>
      </c>
      <c r="G158" s="8" t="s">
        <v>526</v>
      </c>
      <c r="H158" s="15"/>
    </row>
    <row r="159" spans="1:8" ht="15.75">
      <c r="A159" s="8" t="s">
        <v>682</v>
      </c>
      <c r="B159" s="7" t="s">
        <v>292</v>
      </c>
      <c r="C159" s="14">
        <v>2151017353</v>
      </c>
      <c r="D159" s="5" t="s">
        <v>293</v>
      </c>
      <c r="E159" s="8">
        <v>3.08</v>
      </c>
      <c r="F159" s="5" t="s">
        <v>294</v>
      </c>
      <c r="G159" s="8" t="s">
        <v>526</v>
      </c>
      <c r="H159" s="15"/>
    </row>
    <row r="160" spans="1:8" ht="15.75">
      <c r="A160" s="8" t="s">
        <v>683</v>
      </c>
      <c r="B160" s="7" t="s">
        <v>298</v>
      </c>
      <c r="C160" s="14">
        <v>2151017342</v>
      </c>
      <c r="D160" s="5" t="s">
        <v>293</v>
      </c>
      <c r="E160" s="8">
        <v>2.92</v>
      </c>
      <c r="F160" s="5" t="s">
        <v>294</v>
      </c>
      <c r="G160" s="8" t="s">
        <v>526</v>
      </c>
      <c r="H160" s="15"/>
    </row>
    <row r="161" spans="1:8" ht="15.75">
      <c r="A161" s="8" t="s">
        <v>684</v>
      </c>
      <c r="B161" s="7" t="s">
        <v>300</v>
      </c>
      <c r="C161" s="14">
        <v>2151017343</v>
      </c>
      <c r="D161" s="5" t="s">
        <v>293</v>
      </c>
      <c r="E161" s="8">
        <v>2.8</v>
      </c>
      <c r="F161" s="5" t="s">
        <v>294</v>
      </c>
      <c r="G161" s="8" t="s">
        <v>526</v>
      </c>
      <c r="H161" s="15"/>
    </row>
    <row r="162" spans="1:8" ht="15.75">
      <c r="A162" s="8" t="s">
        <v>685</v>
      </c>
      <c r="B162" s="7" t="s">
        <v>97</v>
      </c>
      <c r="C162" s="14">
        <v>2154027723</v>
      </c>
      <c r="D162" s="5" t="s">
        <v>62</v>
      </c>
      <c r="E162" s="8">
        <v>2.2000000000000002</v>
      </c>
      <c r="F162" s="5" t="s">
        <v>55</v>
      </c>
      <c r="G162" s="8" t="s">
        <v>510</v>
      </c>
      <c r="H162" s="15"/>
    </row>
    <row r="163" spans="1:8" ht="15.75">
      <c r="A163" s="8" t="s">
        <v>686</v>
      </c>
      <c r="B163" s="7" t="s">
        <v>99</v>
      </c>
      <c r="C163" s="14">
        <v>2054027342</v>
      </c>
      <c r="D163" s="5" t="s">
        <v>62</v>
      </c>
      <c r="E163" s="8">
        <v>1.96</v>
      </c>
      <c r="F163" s="5" t="s">
        <v>55</v>
      </c>
      <c r="G163" s="8" t="s">
        <v>510</v>
      </c>
      <c r="H163" s="15"/>
    </row>
    <row r="164" spans="1:8" ht="15.75">
      <c r="A164" s="8" t="s">
        <v>687</v>
      </c>
      <c r="B164" s="7" t="s">
        <v>101</v>
      </c>
      <c r="C164" s="14">
        <v>2154027661</v>
      </c>
      <c r="D164" s="5" t="s">
        <v>62</v>
      </c>
      <c r="E164" s="8">
        <v>2.1</v>
      </c>
      <c r="F164" s="5" t="s">
        <v>55</v>
      </c>
      <c r="G164" s="8" t="s">
        <v>510</v>
      </c>
      <c r="H164" s="15"/>
    </row>
    <row r="165" spans="1:8" ht="15.75">
      <c r="A165" s="8" t="s">
        <v>688</v>
      </c>
      <c r="B165" s="7" t="s">
        <v>103</v>
      </c>
      <c r="C165" s="14">
        <v>2154025165</v>
      </c>
      <c r="D165" s="5" t="s">
        <v>62</v>
      </c>
      <c r="E165" s="8">
        <v>2.48</v>
      </c>
      <c r="F165" s="5" t="s">
        <v>55</v>
      </c>
      <c r="G165" s="8" t="s">
        <v>510</v>
      </c>
      <c r="H165" s="15"/>
    </row>
    <row r="166" spans="1:8" ht="15.75">
      <c r="A166" s="8" t="s">
        <v>689</v>
      </c>
      <c r="B166" s="7" t="s">
        <v>105</v>
      </c>
      <c r="C166" s="14">
        <v>2154027263</v>
      </c>
      <c r="D166" s="5" t="s">
        <v>62</v>
      </c>
      <c r="E166" s="8">
        <v>2.3199999999999998</v>
      </c>
      <c r="F166" s="5" t="s">
        <v>55</v>
      </c>
      <c r="G166" s="8" t="s">
        <v>510</v>
      </c>
      <c r="H166" s="15"/>
    </row>
    <row r="167" spans="1:8" ht="15.75">
      <c r="A167" s="8" t="s">
        <v>690</v>
      </c>
      <c r="B167" s="7" t="s">
        <v>61</v>
      </c>
      <c r="C167" s="14">
        <v>2154027278</v>
      </c>
      <c r="D167" s="5" t="s">
        <v>62</v>
      </c>
      <c r="E167" s="8">
        <v>2.59</v>
      </c>
      <c r="F167" s="5" t="s">
        <v>55</v>
      </c>
      <c r="G167" s="8" t="s">
        <v>526</v>
      </c>
      <c r="H167" s="15"/>
    </row>
    <row r="168" spans="1:8" ht="15.75">
      <c r="A168" s="8" t="s">
        <v>691</v>
      </c>
      <c r="B168" s="7" t="s">
        <v>65</v>
      </c>
      <c r="C168" s="14">
        <v>2154027271</v>
      </c>
      <c r="D168" s="5" t="s">
        <v>62</v>
      </c>
      <c r="E168" s="8">
        <v>2.27</v>
      </c>
      <c r="F168" s="5" t="s">
        <v>55</v>
      </c>
      <c r="G168" s="8" t="s">
        <v>526</v>
      </c>
      <c r="H168" s="15"/>
    </row>
    <row r="169" spans="1:8" ht="15.75">
      <c r="A169" s="8" t="s">
        <v>692</v>
      </c>
      <c r="B169" s="7" t="s">
        <v>57</v>
      </c>
      <c r="C169" s="14">
        <v>2154027685</v>
      </c>
      <c r="D169" s="5" t="s">
        <v>28</v>
      </c>
      <c r="E169" s="8">
        <v>2.09</v>
      </c>
      <c r="F169" s="5" t="s">
        <v>29</v>
      </c>
      <c r="G169" s="8" t="s">
        <v>510</v>
      </c>
      <c r="H169" s="15"/>
    </row>
    <row r="170" spans="1:8" ht="15.75">
      <c r="A170" s="8" t="s">
        <v>693</v>
      </c>
      <c r="B170" s="7" t="s">
        <v>59</v>
      </c>
      <c r="C170" s="14">
        <v>2154027287</v>
      </c>
      <c r="D170" s="5" t="s">
        <v>28</v>
      </c>
      <c r="E170" s="8">
        <v>2.31</v>
      </c>
      <c r="F170" s="5" t="s">
        <v>29</v>
      </c>
      <c r="G170" s="8" t="s">
        <v>510</v>
      </c>
      <c r="H170" s="15"/>
    </row>
    <row r="171" spans="1:8" ht="15.75">
      <c r="A171" s="8" t="s">
        <v>694</v>
      </c>
      <c r="B171" s="7" t="s">
        <v>27</v>
      </c>
      <c r="C171" s="14">
        <v>2154027096</v>
      </c>
      <c r="D171" s="5" t="s">
        <v>28</v>
      </c>
      <c r="E171" s="8">
        <v>1.81</v>
      </c>
      <c r="F171" s="5" t="s">
        <v>29</v>
      </c>
      <c r="G171" s="8" t="s">
        <v>510</v>
      </c>
      <c r="H171" s="15"/>
    </row>
    <row r="172" spans="1:8" ht="15.75">
      <c r="A172" s="8" t="s">
        <v>695</v>
      </c>
      <c r="B172" s="7" t="s">
        <v>31</v>
      </c>
      <c r="C172" s="14">
        <v>2154027672</v>
      </c>
      <c r="D172" s="5" t="s">
        <v>28</v>
      </c>
      <c r="E172" s="8">
        <v>1.98</v>
      </c>
      <c r="F172" s="5" t="s">
        <v>29</v>
      </c>
      <c r="G172" s="8" t="s">
        <v>510</v>
      </c>
      <c r="H172" s="15"/>
    </row>
    <row r="173" spans="1:8" ht="15.75">
      <c r="A173" s="8" t="s">
        <v>696</v>
      </c>
      <c r="B173" s="7" t="s">
        <v>33</v>
      </c>
      <c r="C173" s="14">
        <v>2154027147</v>
      </c>
      <c r="D173" s="5" t="s">
        <v>28</v>
      </c>
      <c r="E173" s="8">
        <v>2.13</v>
      </c>
      <c r="F173" s="5" t="s">
        <v>29</v>
      </c>
      <c r="G173" s="8" t="s">
        <v>510</v>
      </c>
      <c r="H173" s="15"/>
    </row>
    <row r="174" spans="1:8" ht="15.75">
      <c r="A174" s="8" t="s">
        <v>697</v>
      </c>
      <c r="B174" s="7" t="s">
        <v>67</v>
      </c>
      <c r="C174" s="14">
        <v>2154027689</v>
      </c>
      <c r="D174" s="5" t="s">
        <v>28</v>
      </c>
      <c r="E174" s="8">
        <v>2.41</v>
      </c>
      <c r="F174" s="5" t="s">
        <v>29</v>
      </c>
      <c r="G174" s="8" t="s">
        <v>510</v>
      </c>
      <c r="H174" s="15"/>
    </row>
    <row r="175" spans="1:8" ht="15.75">
      <c r="A175" s="8" t="s">
        <v>698</v>
      </c>
      <c r="B175" s="7" t="s">
        <v>69</v>
      </c>
      <c r="C175" s="14">
        <v>2154027653</v>
      </c>
      <c r="D175" s="5" t="s">
        <v>28</v>
      </c>
      <c r="E175" s="8">
        <v>2.4900000000000002</v>
      </c>
      <c r="F175" s="5" t="s">
        <v>29</v>
      </c>
      <c r="G175" s="8" t="s">
        <v>510</v>
      </c>
      <c r="H175" s="15"/>
    </row>
    <row r="176" spans="1:8" ht="15.75">
      <c r="A176" s="8" t="s">
        <v>699</v>
      </c>
      <c r="B176" s="7" t="s">
        <v>71</v>
      </c>
      <c r="C176" s="14">
        <v>2154027279</v>
      </c>
      <c r="D176" s="5" t="s">
        <v>28</v>
      </c>
      <c r="E176" s="8">
        <v>2.0699999999999998</v>
      </c>
      <c r="F176" s="5" t="s">
        <v>29</v>
      </c>
      <c r="G176" s="8" t="s">
        <v>510</v>
      </c>
      <c r="H176" s="15"/>
    </row>
    <row r="177" spans="1:8" ht="15.75">
      <c r="A177" s="8" t="s">
        <v>700</v>
      </c>
      <c r="B177" s="7" t="s">
        <v>73</v>
      </c>
      <c r="C177" s="14">
        <v>2154077316</v>
      </c>
      <c r="D177" s="5" t="s">
        <v>28</v>
      </c>
      <c r="E177" s="8">
        <v>2.08</v>
      </c>
      <c r="F177" s="5" t="s">
        <v>29</v>
      </c>
      <c r="G177" s="8" t="s">
        <v>510</v>
      </c>
      <c r="H177" s="15"/>
    </row>
    <row r="178" spans="1:8" ht="15.75">
      <c r="A178" s="8" t="s">
        <v>701</v>
      </c>
      <c r="B178" s="7" t="s">
        <v>35</v>
      </c>
      <c r="C178" s="14">
        <v>2154027747</v>
      </c>
      <c r="D178" s="5" t="s">
        <v>28</v>
      </c>
      <c r="E178" s="8">
        <v>1.93</v>
      </c>
      <c r="F178" s="5" t="s">
        <v>29</v>
      </c>
      <c r="G178" s="8" t="s">
        <v>510</v>
      </c>
      <c r="H178" s="15"/>
    </row>
    <row r="179" spans="1:8" ht="15.75">
      <c r="A179" s="8" t="s">
        <v>702</v>
      </c>
      <c r="B179" s="7" t="s">
        <v>75</v>
      </c>
      <c r="C179" s="14">
        <v>2154027094</v>
      </c>
      <c r="D179" s="5" t="s">
        <v>28</v>
      </c>
      <c r="E179" s="8">
        <v>1.97</v>
      </c>
      <c r="F179" s="5" t="s">
        <v>29</v>
      </c>
      <c r="G179" s="8" t="s">
        <v>510</v>
      </c>
      <c r="H179" s="15"/>
    </row>
    <row r="180" spans="1:8" ht="15.75">
      <c r="A180" s="8" t="s">
        <v>703</v>
      </c>
      <c r="B180" s="7" t="s">
        <v>38</v>
      </c>
      <c r="C180" s="14">
        <v>2154027088</v>
      </c>
      <c r="D180" s="5" t="s">
        <v>28</v>
      </c>
      <c r="E180" s="8">
        <v>1.96</v>
      </c>
      <c r="F180" s="5" t="s">
        <v>29</v>
      </c>
      <c r="G180" s="8" t="s">
        <v>510</v>
      </c>
      <c r="H180" s="15"/>
    </row>
    <row r="181" spans="1:8" ht="15.75">
      <c r="A181" s="8" t="s">
        <v>704</v>
      </c>
      <c r="B181" s="7" t="s">
        <v>40</v>
      </c>
      <c r="C181" s="14">
        <v>2154027319</v>
      </c>
      <c r="D181" s="5" t="s">
        <v>28</v>
      </c>
      <c r="E181" s="8">
        <v>2.1800000000000002</v>
      </c>
      <c r="F181" s="5" t="s">
        <v>29</v>
      </c>
      <c r="G181" s="8" t="s">
        <v>510</v>
      </c>
      <c r="H181" s="15"/>
    </row>
    <row r="182" spans="1:8" ht="15.75">
      <c r="A182" s="8" t="s">
        <v>705</v>
      </c>
      <c r="B182" s="7" t="s">
        <v>42</v>
      </c>
      <c r="C182" s="14">
        <v>2154027273</v>
      </c>
      <c r="D182" s="5" t="s">
        <v>28</v>
      </c>
      <c r="E182" s="8">
        <v>2.2999999999999998</v>
      </c>
      <c r="F182" s="5" t="s">
        <v>29</v>
      </c>
      <c r="G182" s="8" t="s">
        <v>510</v>
      </c>
      <c r="H182" s="15"/>
    </row>
    <row r="183" spans="1:8" ht="15.75">
      <c r="A183" s="8" t="s">
        <v>706</v>
      </c>
      <c r="B183" s="7" t="s">
        <v>44</v>
      </c>
      <c r="C183" s="14">
        <v>2154027730</v>
      </c>
      <c r="D183" s="5" t="s">
        <v>28</v>
      </c>
      <c r="E183" s="8">
        <v>2.4300000000000002</v>
      </c>
      <c r="F183" s="5" t="s">
        <v>29</v>
      </c>
      <c r="G183" s="8" t="s">
        <v>510</v>
      </c>
      <c r="H183" s="15"/>
    </row>
    <row r="184" spans="1:8" ht="15.75">
      <c r="A184" s="8" t="s">
        <v>707</v>
      </c>
      <c r="B184" s="7" t="s">
        <v>77</v>
      </c>
      <c r="C184" s="14">
        <v>2154027262</v>
      </c>
      <c r="D184" s="5" t="s">
        <v>28</v>
      </c>
      <c r="E184" s="8">
        <v>2.2599999999999998</v>
      </c>
      <c r="F184" s="5" t="s">
        <v>29</v>
      </c>
      <c r="G184" s="8" t="s">
        <v>510</v>
      </c>
      <c r="H184" s="15"/>
    </row>
    <row r="185" spans="1:8" ht="15.75">
      <c r="A185" s="8" t="s">
        <v>708</v>
      </c>
      <c r="B185" s="7" t="s">
        <v>80</v>
      </c>
      <c r="C185" s="14">
        <v>2154027656</v>
      </c>
      <c r="D185" s="5" t="s">
        <v>28</v>
      </c>
      <c r="E185" s="8">
        <v>2.44</v>
      </c>
      <c r="F185" s="5" t="s">
        <v>29</v>
      </c>
      <c r="G185" s="8" t="s">
        <v>510</v>
      </c>
      <c r="H185" s="15"/>
    </row>
    <row r="186" spans="1:8" ht="15.75">
      <c r="A186" s="8" t="s">
        <v>709</v>
      </c>
      <c r="B186" s="7" t="s">
        <v>82</v>
      </c>
      <c r="C186" s="14">
        <v>2154027133</v>
      </c>
      <c r="D186" s="5" t="s">
        <v>28</v>
      </c>
      <c r="E186" s="8">
        <v>1.76</v>
      </c>
      <c r="F186" s="5" t="s">
        <v>29</v>
      </c>
      <c r="G186" s="8" t="s">
        <v>510</v>
      </c>
      <c r="H186" s="15"/>
    </row>
    <row r="187" spans="1:8" ht="15.75">
      <c r="A187" s="8" t="s">
        <v>710</v>
      </c>
      <c r="B187" s="7" t="s">
        <v>84</v>
      </c>
      <c r="C187" s="14">
        <v>2154027650</v>
      </c>
      <c r="D187" s="5" t="s">
        <v>28</v>
      </c>
      <c r="E187" s="8">
        <v>2.78</v>
      </c>
      <c r="F187" s="5" t="s">
        <v>29</v>
      </c>
      <c r="G187" s="8" t="s">
        <v>510</v>
      </c>
      <c r="H187" s="15"/>
    </row>
    <row r="188" spans="1:8" ht="15.75">
      <c r="A188" s="8" t="s">
        <v>711</v>
      </c>
      <c r="B188" s="7" t="s">
        <v>86</v>
      </c>
      <c r="C188" s="14">
        <v>2154027736</v>
      </c>
      <c r="D188" s="5" t="s">
        <v>28</v>
      </c>
      <c r="E188" s="8">
        <v>2.04</v>
      </c>
      <c r="F188" s="5" t="s">
        <v>29</v>
      </c>
      <c r="G188" s="8" t="s">
        <v>510</v>
      </c>
      <c r="H188" s="15"/>
    </row>
    <row r="189" spans="1:8" ht="15.75">
      <c r="A189" s="8" t="s">
        <v>712</v>
      </c>
      <c r="B189" s="7" t="s">
        <v>88</v>
      </c>
      <c r="C189" s="14">
        <v>2154027125</v>
      </c>
      <c r="D189" s="5" t="s">
        <v>28</v>
      </c>
      <c r="E189" s="8">
        <v>2.17</v>
      </c>
      <c r="F189" s="5" t="s">
        <v>29</v>
      </c>
      <c r="G189" s="8" t="s">
        <v>510</v>
      </c>
      <c r="H189" s="15"/>
    </row>
    <row r="190" spans="1:8" ht="15.75">
      <c r="A190" s="8" t="s">
        <v>713</v>
      </c>
      <c r="B190" s="7" t="s">
        <v>90</v>
      </c>
      <c r="C190" s="14">
        <v>2154027904</v>
      </c>
      <c r="D190" s="5" t="s">
        <v>91</v>
      </c>
      <c r="E190" s="8">
        <v>1.89</v>
      </c>
      <c r="F190" s="5" t="s">
        <v>29</v>
      </c>
      <c r="G190" s="8" t="s">
        <v>526</v>
      </c>
      <c r="H190" s="15"/>
    </row>
    <row r="191" spans="1:8" ht="15.75">
      <c r="A191" s="8" t="s">
        <v>714</v>
      </c>
      <c r="B191" s="7" t="s">
        <v>287</v>
      </c>
      <c r="C191" s="14">
        <v>2031070253</v>
      </c>
      <c r="D191" s="5" t="s">
        <v>288</v>
      </c>
      <c r="E191" s="8" t="s">
        <v>715</v>
      </c>
      <c r="F191" s="5" t="s">
        <v>258</v>
      </c>
      <c r="G191" s="8" t="s">
        <v>510</v>
      </c>
      <c r="H191" s="15"/>
    </row>
    <row r="192" spans="1:8" ht="15.75">
      <c r="A192" s="8" t="s">
        <v>716</v>
      </c>
      <c r="B192" s="7" t="s">
        <v>290</v>
      </c>
      <c r="C192" s="14">
        <v>2031070259</v>
      </c>
      <c r="D192" s="5" t="s">
        <v>288</v>
      </c>
      <c r="E192" s="8" t="s">
        <v>717</v>
      </c>
      <c r="F192" s="5" t="s">
        <v>258</v>
      </c>
      <c r="G192" s="8" t="s">
        <v>510</v>
      </c>
      <c r="H192" s="15"/>
    </row>
    <row r="193" spans="1:8" s="16" customFormat="1" ht="15.75">
      <c r="A193" s="8" t="s">
        <v>718</v>
      </c>
      <c r="B193" s="7" t="s">
        <v>280</v>
      </c>
      <c r="C193" s="14">
        <v>2151017520</v>
      </c>
      <c r="D193" s="5" t="s">
        <v>257</v>
      </c>
      <c r="E193" s="8" t="s">
        <v>719</v>
      </c>
      <c r="F193" s="5" t="s">
        <v>258</v>
      </c>
      <c r="G193" s="8" t="s">
        <v>526</v>
      </c>
      <c r="H193" s="15"/>
    </row>
    <row r="194" spans="1:8" s="16" customFormat="1" ht="15.75">
      <c r="A194" s="8" t="s">
        <v>720</v>
      </c>
      <c r="B194" s="7" t="s">
        <v>282</v>
      </c>
      <c r="C194" s="14">
        <v>2151017525</v>
      </c>
      <c r="D194" s="5" t="s">
        <v>257</v>
      </c>
      <c r="E194" s="8" t="s">
        <v>721</v>
      </c>
      <c r="F194" s="5" t="s">
        <v>258</v>
      </c>
      <c r="G194" s="8" t="s">
        <v>526</v>
      </c>
      <c r="H194" s="15"/>
    </row>
    <row r="195" spans="1:8" s="16" customFormat="1" ht="15.75">
      <c r="A195" s="8" t="s">
        <v>722</v>
      </c>
      <c r="B195" s="7" t="s">
        <v>112</v>
      </c>
      <c r="C195" s="6">
        <v>2051137294</v>
      </c>
      <c r="D195" s="5" t="s">
        <v>454</v>
      </c>
      <c r="E195" s="8" t="s">
        <v>723</v>
      </c>
      <c r="F195" s="5" t="s">
        <v>518</v>
      </c>
      <c r="G195" s="8" t="s">
        <v>510</v>
      </c>
      <c r="H195" s="15"/>
    </row>
    <row r="196" spans="1:8" s="16" customFormat="1" ht="15.75">
      <c r="A196" s="8" t="s">
        <v>724</v>
      </c>
      <c r="B196" s="7" t="s">
        <v>444</v>
      </c>
      <c r="C196" s="14">
        <v>2051047120</v>
      </c>
      <c r="D196" s="5" t="s">
        <v>375</v>
      </c>
      <c r="E196" s="8">
        <v>2.19</v>
      </c>
      <c r="F196" s="5" t="s">
        <v>359</v>
      </c>
      <c r="G196" s="8" t="s">
        <v>526</v>
      </c>
      <c r="H196" s="15"/>
    </row>
    <row r="197" spans="1:8" s="16" customFormat="1" ht="15.75">
      <c r="A197" s="8" t="s">
        <v>725</v>
      </c>
      <c r="B197" s="7" t="s">
        <v>252</v>
      </c>
      <c r="C197" s="14">
        <v>2051067522</v>
      </c>
      <c r="D197" s="5" t="s">
        <v>193</v>
      </c>
      <c r="E197" s="8">
        <v>2.69</v>
      </c>
      <c r="F197" s="5" t="s">
        <v>553</v>
      </c>
      <c r="G197" s="8" t="s">
        <v>526</v>
      </c>
      <c r="H197" s="15"/>
    </row>
    <row r="198" spans="1:8" s="16" customFormat="1" ht="15.75">
      <c r="A198" s="8" t="s">
        <v>726</v>
      </c>
      <c r="B198" s="7" t="s">
        <v>254</v>
      </c>
      <c r="C198" s="14">
        <v>2051067571</v>
      </c>
      <c r="D198" s="5" t="s">
        <v>193</v>
      </c>
      <c r="E198" s="8">
        <v>2.12</v>
      </c>
      <c r="F198" s="5" t="s">
        <v>553</v>
      </c>
      <c r="G198" s="8" t="s">
        <v>526</v>
      </c>
      <c r="H198" s="15"/>
    </row>
  </sheetData>
  <conditionalFormatting sqref="C1">
    <cfRule type="duplicateValues" dxfId="10" priority="10"/>
  </conditionalFormatting>
  <conditionalFormatting sqref="B2:B160">
    <cfRule type="duplicateValues" dxfId="9" priority="6"/>
    <cfRule type="duplicateValues" dxfId="8" priority="7"/>
  </conditionalFormatting>
  <conditionalFormatting sqref="B166:B167">
    <cfRule type="duplicateValues" dxfId="7" priority="8"/>
    <cfRule type="duplicateValues" dxfId="6" priority="9"/>
  </conditionalFormatting>
  <conditionalFormatting sqref="C2:C160">
    <cfRule type="duplicateValues" dxfId="5" priority="4"/>
  </conditionalFormatting>
  <conditionalFormatting sqref="C2:C191">
    <cfRule type="duplicateValues" dxfId="4" priority="2"/>
  </conditionalFormatting>
  <conditionalFormatting sqref="C166:C167">
    <cfRule type="duplicateValues" dxfId="3" priority="5"/>
  </conditionalFormatting>
  <conditionalFormatting sqref="C2:C167">
    <cfRule type="duplicateValues" dxfId="2" priority="3"/>
  </conditionalFormatting>
  <conditionalFormatting sqref="C192:C198">
    <cfRule type="duplicateValues" dxfId="1" priority="1"/>
  </conditionalFormatting>
  <conditionalFormatting sqref="C1:C1048576">
    <cfRule type="duplicateValues" dxfId="0" priority="1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workbookViewId="0">
      <selection activeCell="E7" sqref="E7"/>
    </sheetView>
  </sheetViews>
  <sheetFormatPr defaultRowHeight="15"/>
  <cols>
    <col min="1" max="1" width="5.140625" bestFit="1" customWidth="1"/>
    <col min="2" max="2" width="13.5703125" bestFit="1" customWidth="1"/>
    <col min="3" max="3" width="25.5703125" bestFit="1" customWidth="1"/>
    <col min="4" max="4" width="9" bestFit="1" customWidth="1"/>
    <col min="5" max="5" width="34.28515625" bestFit="1" customWidth="1"/>
    <col min="6" max="6" width="32.140625" bestFit="1" customWidth="1"/>
    <col min="7" max="7" width="24.140625" bestFit="1" customWidth="1"/>
    <col min="8" max="8" width="32.85546875" bestFit="1" customWidth="1"/>
    <col min="9" max="9" width="24.140625" bestFit="1" customWidth="1"/>
    <col min="10" max="10" width="13.140625" bestFit="1" customWidth="1"/>
  </cols>
  <sheetData>
    <row r="1" spans="1:13" s="23" customFormat="1" ht="30.75" customHeight="1">
      <c r="A1" s="20" t="s">
        <v>0</v>
      </c>
      <c r="B1" s="21" t="s">
        <v>728</v>
      </c>
      <c r="C1" s="21" t="s">
        <v>729</v>
      </c>
      <c r="D1" s="21" t="s">
        <v>6</v>
      </c>
      <c r="E1" s="22" t="s">
        <v>730</v>
      </c>
      <c r="F1" s="22" t="s">
        <v>731</v>
      </c>
      <c r="G1" s="21" t="s">
        <v>732</v>
      </c>
      <c r="H1" s="21" t="s">
        <v>733</v>
      </c>
      <c r="I1" s="21" t="s">
        <v>734</v>
      </c>
      <c r="J1" s="22" t="s">
        <v>14</v>
      </c>
    </row>
    <row r="2" spans="1:13" s="30" customFormat="1" ht="64.5" customHeight="1">
      <c r="A2" s="24">
        <v>1</v>
      </c>
      <c r="B2" s="25">
        <v>1954025484</v>
      </c>
      <c r="C2" s="11" t="s">
        <v>20</v>
      </c>
      <c r="D2" s="26" t="s">
        <v>21</v>
      </c>
      <c r="E2" s="27" t="s">
        <v>23</v>
      </c>
      <c r="F2" s="27" t="s">
        <v>735</v>
      </c>
      <c r="G2" s="19" t="s">
        <v>24</v>
      </c>
      <c r="H2" s="19"/>
      <c r="I2" s="19"/>
      <c r="J2" s="28" t="s">
        <v>736</v>
      </c>
      <c r="K2" s="29"/>
      <c r="L2" s="29"/>
      <c r="M2" s="29"/>
    </row>
    <row r="3" spans="1:13" s="30" customFormat="1" ht="64.5" customHeight="1">
      <c r="A3" s="24">
        <v>2</v>
      </c>
      <c r="B3" s="25">
        <v>1954025583</v>
      </c>
      <c r="C3" s="11" t="s">
        <v>25</v>
      </c>
      <c r="D3" s="26" t="s">
        <v>21</v>
      </c>
      <c r="E3" s="27" t="s">
        <v>26</v>
      </c>
      <c r="F3" s="27" t="s">
        <v>737</v>
      </c>
      <c r="G3" s="19" t="s">
        <v>24</v>
      </c>
      <c r="H3" s="19"/>
      <c r="I3" s="19"/>
      <c r="J3" s="28" t="s">
        <v>736</v>
      </c>
      <c r="K3" s="29"/>
      <c r="L3" s="29"/>
      <c r="M3" s="29"/>
    </row>
    <row r="4" spans="1:13" s="30" customFormat="1" ht="64.5" customHeight="1">
      <c r="A4" s="24">
        <v>3</v>
      </c>
      <c r="B4" s="25">
        <v>2054027428</v>
      </c>
      <c r="C4" s="11" t="s">
        <v>93</v>
      </c>
      <c r="D4" s="26" t="s">
        <v>94</v>
      </c>
      <c r="E4" s="27" t="s">
        <v>95</v>
      </c>
      <c r="F4" s="27" t="s">
        <v>738</v>
      </c>
      <c r="G4" s="19" t="s">
        <v>96</v>
      </c>
      <c r="H4" s="19"/>
      <c r="I4" s="19"/>
      <c r="J4" s="28" t="s">
        <v>736</v>
      </c>
      <c r="K4" s="29"/>
      <c r="L4" s="29"/>
      <c r="M4" s="29"/>
    </row>
    <row r="5" spans="1:13" s="30" customFormat="1" ht="64.5" customHeight="1">
      <c r="A5" s="24">
        <v>4</v>
      </c>
      <c r="B5" s="25">
        <v>2154037772</v>
      </c>
      <c r="C5" s="11" t="s">
        <v>184</v>
      </c>
      <c r="D5" s="26" t="s">
        <v>151</v>
      </c>
      <c r="E5" s="27" t="s">
        <v>185</v>
      </c>
      <c r="F5" s="27" t="s">
        <v>739</v>
      </c>
      <c r="G5" s="19" t="s">
        <v>152</v>
      </c>
      <c r="H5" s="19"/>
      <c r="I5" s="19"/>
      <c r="J5" s="28" t="s">
        <v>736</v>
      </c>
      <c r="K5" s="29"/>
      <c r="L5" s="29"/>
      <c r="M5" s="29"/>
    </row>
    <row r="6" spans="1:13" s="30" customFormat="1" ht="64.5" customHeight="1">
      <c r="A6" s="24">
        <v>5</v>
      </c>
      <c r="B6" s="25">
        <v>2154027124</v>
      </c>
      <c r="C6" s="11" t="s">
        <v>156</v>
      </c>
      <c r="D6" s="26" t="s">
        <v>151</v>
      </c>
      <c r="E6" s="27" t="s">
        <v>157</v>
      </c>
      <c r="F6" s="27" t="s">
        <v>740</v>
      </c>
      <c r="G6" s="19" t="s">
        <v>152</v>
      </c>
      <c r="H6" s="19"/>
      <c r="I6" s="19"/>
      <c r="J6" s="28" t="s">
        <v>736</v>
      </c>
      <c r="K6" s="29"/>
      <c r="L6" s="29"/>
      <c r="M6" s="29"/>
    </row>
    <row r="7" spans="1:13" s="30" customFormat="1" ht="64.5" customHeight="1">
      <c r="A7" s="24">
        <v>6</v>
      </c>
      <c r="B7" s="25">
        <v>2154077387</v>
      </c>
      <c r="C7" s="11" t="s">
        <v>137</v>
      </c>
      <c r="D7" s="26" t="s">
        <v>129</v>
      </c>
      <c r="E7" s="27" t="s">
        <v>138</v>
      </c>
      <c r="F7" s="27" t="s">
        <v>741</v>
      </c>
      <c r="G7" s="19" t="s">
        <v>110</v>
      </c>
      <c r="H7" s="19"/>
      <c r="I7" s="19" t="s">
        <v>111</v>
      </c>
      <c r="J7" s="28" t="s">
        <v>736</v>
      </c>
      <c r="K7" s="29"/>
      <c r="L7" s="29"/>
      <c r="M7" s="29"/>
    </row>
    <row r="8" spans="1:13" s="30" customFormat="1" ht="64.5" customHeight="1">
      <c r="A8" s="24">
        <v>7</v>
      </c>
      <c r="B8" s="25">
        <v>2154027661</v>
      </c>
      <c r="C8" s="11" t="s">
        <v>101</v>
      </c>
      <c r="D8" s="26" t="s">
        <v>62</v>
      </c>
      <c r="E8" s="27" t="s">
        <v>102</v>
      </c>
      <c r="F8" s="27" t="s">
        <v>742</v>
      </c>
      <c r="G8" s="19" t="s">
        <v>96</v>
      </c>
      <c r="H8" s="19"/>
      <c r="I8" s="19"/>
      <c r="J8" s="28" t="s">
        <v>736</v>
      </c>
      <c r="K8" s="29"/>
      <c r="L8" s="29"/>
      <c r="M8" s="29"/>
    </row>
    <row r="9" spans="1:13" s="30" customFormat="1" ht="64.5" customHeight="1">
      <c r="A9" s="24">
        <v>8</v>
      </c>
      <c r="B9" s="25">
        <v>2154025165</v>
      </c>
      <c r="C9" s="11" t="s">
        <v>103</v>
      </c>
      <c r="D9" s="26" t="s">
        <v>62</v>
      </c>
      <c r="E9" s="27" t="s">
        <v>104</v>
      </c>
      <c r="F9" s="27" t="s">
        <v>743</v>
      </c>
      <c r="G9" s="19" t="s">
        <v>96</v>
      </c>
      <c r="H9" s="19"/>
      <c r="I9" s="19"/>
      <c r="J9" s="28" t="s">
        <v>736</v>
      </c>
      <c r="K9" s="29"/>
      <c r="L9" s="29"/>
      <c r="M9" s="29"/>
    </row>
    <row r="10" spans="1:13" s="30" customFormat="1" ht="64.5" customHeight="1">
      <c r="A10" s="24">
        <v>9</v>
      </c>
      <c r="B10" s="25">
        <v>2154027096</v>
      </c>
      <c r="C10" s="11" t="s">
        <v>27</v>
      </c>
      <c r="D10" s="26" t="s">
        <v>28</v>
      </c>
      <c r="E10" s="27" t="s">
        <v>30</v>
      </c>
      <c r="F10" s="27" t="s">
        <v>744</v>
      </c>
      <c r="G10" s="19" t="s">
        <v>24</v>
      </c>
      <c r="H10" s="19"/>
      <c r="I10" s="19"/>
      <c r="J10" s="28" t="s">
        <v>736</v>
      </c>
      <c r="K10" s="29"/>
      <c r="L10" s="29"/>
      <c r="M10" s="29"/>
    </row>
    <row r="11" spans="1:13" s="30" customFormat="1" ht="64.5" customHeight="1">
      <c r="A11" s="24">
        <v>10</v>
      </c>
      <c r="B11" s="25">
        <v>2154027689</v>
      </c>
      <c r="C11" s="11" t="s">
        <v>67</v>
      </c>
      <c r="D11" s="26" t="s">
        <v>28</v>
      </c>
      <c r="E11" s="27" t="s">
        <v>68</v>
      </c>
      <c r="F11" s="27" t="s">
        <v>745</v>
      </c>
      <c r="G11" s="19" t="s">
        <v>64</v>
      </c>
      <c r="H11" s="19" t="s">
        <v>96</v>
      </c>
      <c r="I11" s="19"/>
      <c r="J11" s="28" t="s">
        <v>736</v>
      </c>
      <c r="K11" s="29"/>
      <c r="L11" s="29"/>
      <c r="M11" s="29"/>
    </row>
    <row r="12" spans="1:13" s="30" customFormat="1" ht="64.5" customHeight="1">
      <c r="A12" s="24">
        <v>11</v>
      </c>
      <c r="B12" s="25">
        <v>1851013270</v>
      </c>
      <c r="C12" s="11" t="s">
        <v>446</v>
      </c>
      <c r="D12" s="26" t="s">
        <v>353</v>
      </c>
      <c r="E12" s="27" t="s">
        <v>447</v>
      </c>
      <c r="F12" s="27" t="s">
        <v>746</v>
      </c>
      <c r="G12" s="19" t="s">
        <v>316</v>
      </c>
      <c r="H12" s="19"/>
      <c r="I12" s="19"/>
      <c r="J12" s="28" t="s">
        <v>317</v>
      </c>
      <c r="K12" s="29"/>
      <c r="L12" s="29"/>
      <c r="M12" s="29"/>
    </row>
    <row r="13" spans="1:13" s="30" customFormat="1" ht="64.5" customHeight="1">
      <c r="A13" s="24">
        <v>12</v>
      </c>
      <c r="B13" s="25">
        <v>2051117603</v>
      </c>
      <c r="C13" s="11" t="s">
        <v>462</v>
      </c>
      <c r="D13" s="26" t="s">
        <v>463</v>
      </c>
      <c r="E13" s="27" t="s">
        <v>464</v>
      </c>
      <c r="F13" s="27" t="s">
        <v>747</v>
      </c>
      <c r="G13" s="19" t="s">
        <v>460</v>
      </c>
      <c r="H13" s="19"/>
      <c r="I13" s="19" t="s">
        <v>461</v>
      </c>
      <c r="J13" s="28" t="s">
        <v>317</v>
      </c>
      <c r="K13" s="29"/>
      <c r="L13" s="29"/>
      <c r="M13" s="29"/>
    </row>
    <row r="14" spans="1:13" s="30" customFormat="1" ht="64.5" customHeight="1">
      <c r="A14" s="24">
        <v>13</v>
      </c>
      <c r="B14" s="25">
        <v>2051077592</v>
      </c>
      <c r="C14" s="11" t="s">
        <v>284</v>
      </c>
      <c r="D14" s="26" t="s">
        <v>285</v>
      </c>
      <c r="E14" s="27" t="s">
        <v>286</v>
      </c>
      <c r="F14" s="27" t="s">
        <v>748</v>
      </c>
      <c r="G14" s="19" t="s">
        <v>260</v>
      </c>
      <c r="H14" s="19"/>
      <c r="I14" s="19" t="s">
        <v>270</v>
      </c>
      <c r="J14" s="28" t="s">
        <v>749</v>
      </c>
      <c r="K14" s="29"/>
      <c r="L14" s="29"/>
      <c r="M14" s="29"/>
    </row>
    <row r="15" spans="1:13" s="30" customFormat="1" ht="64.5" customHeight="1">
      <c r="A15" s="24">
        <v>14</v>
      </c>
      <c r="B15" s="25">
        <v>2151017502</v>
      </c>
      <c r="C15" s="11" t="s">
        <v>256</v>
      </c>
      <c r="D15" s="26" t="s">
        <v>257</v>
      </c>
      <c r="E15" s="27" t="s">
        <v>259</v>
      </c>
      <c r="F15" s="27" t="s">
        <v>750</v>
      </c>
      <c r="G15" s="19" t="s">
        <v>260</v>
      </c>
      <c r="H15" s="19"/>
      <c r="I15" s="19"/>
      <c r="J15" s="28" t="s">
        <v>749</v>
      </c>
      <c r="K15" s="29"/>
      <c r="L15" s="29"/>
      <c r="M15" s="29"/>
    </row>
    <row r="16" spans="1:13" s="30" customFormat="1" ht="64.5" customHeight="1">
      <c r="A16" s="24">
        <v>15</v>
      </c>
      <c r="B16" s="25">
        <v>2151017525</v>
      </c>
      <c r="C16" s="11" t="s">
        <v>282</v>
      </c>
      <c r="D16" s="26" t="s">
        <v>257</v>
      </c>
      <c r="E16" s="27" t="s">
        <v>283</v>
      </c>
      <c r="F16" s="27" t="s">
        <v>751</v>
      </c>
      <c r="G16" s="19" t="s">
        <v>260</v>
      </c>
      <c r="H16" s="19"/>
      <c r="I16" s="19" t="s">
        <v>270</v>
      </c>
      <c r="J16" s="28" t="s">
        <v>749</v>
      </c>
      <c r="K16" s="29"/>
      <c r="L16" s="29"/>
      <c r="M16" s="29"/>
    </row>
    <row r="17" spans="1:13" s="30" customFormat="1" ht="64.5" customHeight="1">
      <c r="A17" s="24">
        <v>16</v>
      </c>
      <c r="B17" s="25">
        <v>2151017500</v>
      </c>
      <c r="C17" s="11" t="s">
        <v>264</v>
      </c>
      <c r="D17" s="26" t="s">
        <v>257</v>
      </c>
      <c r="E17" s="27" t="s">
        <v>265</v>
      </c>
      <c r="F17" s="27" t="s">
        <v>752</v>
      </c>
      <c r="G17" s="19" t="s">
        <v>260</v>
      </c>
      <c r="H17" s="19"/>
      <c r="I17" s="19"/>
      <c r="J17" s="28" t="s">
        <v>749</v>
      </c>
      <c r="K17" s="29"/>
      <c r="L17" s="29"/>
      <c r="M17" s="29"/>
    </row>
    <row r="18" spans="1:13" s="30" customFormat="1" ht="64.5" customHeight="1">
      <c r="A18" s="24">
        <v>17</v>
      </c>
      <c r="B18" s="25">
        <v>2151017343</v>
      </c>
      <c r="C18" s="11" t="s">
        <v>300</v>
      </c>
      <c r="D18" s="26" t="s">
        <v>293</v>
      </c>
      <c r="E18" s="27" t="s">
        <v>301</v>
      </c>
      <c r="F18" s="27" t="s">
        <v>753</v>
      </c>
      <c r="G18" s="19" t="s">
        <v>296</v>
      </c>
      <c r="H18" s="19"/>
      <c r="I18" s="19" t="s">
        <v>297</v>
      </c>
      <c r="J18" s="28" t="s">
        <v>749</v>
      </c>
      <c r="K18" s="29"/>
      <c r="L18" s="29"/>
      <c r="M18" s="29"/>
    </row>
    <row r="19" spans="1:13" s="30" customFormat="1" ht="64.5" customHeight="1">
      <c r="A19" s="24">
        <v>18</v>
      </c>
      <c r="B19" s="25">
        <v>2031070253</v>
      </c>
      <c r="C19" s="11" t="s">
        <v>287</v>
      </c>
      <c r="D19" s="26" t="s">
        <v>288</v>
      </c>
      <c r="E19" s="27" t="s">
        <v>289</v>
      </c>
      <c r="F19" s="27" t="s">
        <v>754</v>
      </c>
      <c r="G19" s="19" t="s">
        <v>260</v>
      </c>
      <c r="H19" s="19"/>
      <c r="I19" s="19" t="s">
        <v>270</v>
      </c>
      <c r="J19" s="28" t="s">
        <v>749</v>
      </c>
      <c r="K19" s="29"/>
      <c r="L19" s="29"/>
      <c r="M19" s="2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35"/>
  <sheetViews>
    <sheetView topLeftCell="A918" workbookViewId="0">
      <selection activeCell="D1170" sqref="D1170"/>
    </sheetView>
  </sheetViews>
  <sheetFormatPr defaultRowHeight="15"/>
  <cols>
    <col min="1" max="1" width="13.140625" bestFit="1" customWidth="1"/>
    <col min="2" max="2" width="11" bestFit="1" customWidth="1"/>
    <col min="3" max="3" width="26.7109375" bestFit="1" customWidth="1"/>
    <col min="4" max="4" width="10.7109375" bestFit="1" customWidth="1"/>
    <col min="5" max="5" width="5.140625" bestFit="1" customWidth="1"/>
    <col min="6" max="6" width="16.140625" bestFit="1" customWidth="1"/>
    <col min="7" max="7" width="7.85546875" bestFit="1" customWidth="1"/>
    <col min="8" max="8" width="9.5703125" bestFit="1" customWidth="1"/>
  </cols>
  <sheetData>
    <row r="1" spans="1:9">
      <c r="A1" t="s">
        <v>757</v>
      </c>
      <c r="B1" s="18">
        <v>2051117885</v>
      </c>
      <c r="C1" t="s">
        <v>758</v>
      </c>
      <c r="D1" t="s">
        <v>759</v>
      </c>
      <c r="E1" t="s">
        <v>760</v>
      </c>
      <c r="F1" t="s">
        <v>761</v>
      </c>
      <c r="I1" t="s">
        <v>500</v>
      </c>
    </row>
    <row r="2" spans="1:9">
      <c r="A2" t="s">
        <v>762</v>
      </c>
      <c r="B2" s="18">
        <v>2054037750</v>
      </c>
      <c r="C2" t="s">
        <v>763</v>
      </c>
      <c r="D2" t="s">
        <v>764</v>
      </c>
      <c r="E2" t="s">
        <v>765</v>
      </c>
      <c r="F2" t="s">
        <v>761</v>
      </c>
      <c r="I2" t="s">
        <v>500</v>
      </c>
    </row>
    <row r="3" spans="1:9">
      <c r="A3">
        <v>241903281</v>
      </c>
      <c r="B3" s="18">
        <v>2051077751</v>
      </c>
      <c r="C3" t="s">
        <v>766</v>
      </c>
      <c r="D3" t="s">
        <v>767</v>
      </c>
      <c r="E3" t="s">
        <v>760</v>
      </c>
      <c r="F3" t="s">
        <v>768</v>
      </c>
      <c r="I3" t="s">
        <v>500</v>
      </c>
    </row>
    <row r="4" spans="1:9">
      <c r="A4" t="s">
        <v>769</v>
      </c>
      <c r="B4" s="18">
        <v>2054037752</v>
      </c>
      <c r="C4" t="s">
        <v>770</v>
      </c>
      <c r="D4" t="s">
        <v>771</v>
      </c>
      <c r="E4" t="s">
        <v>765</v>
      </c>
      <c r="F4" t="s">
        <v>772</v>
      </c>
      <c r="I4" t="s">
        <v>500</v>
      </c>
    </row>
    <row r="5" spans="1:9">
      <c r="A5" t="s">
        <v>773</v>
      </c>
      <c r="B5" s="18">
        <v>2054027753</v>
      </c>
      <c r="C5" t="s">
        <v>774</v>
      </c>
      <c r="D5" t="s">
        <v>775</v>
      </c>
      <c r="E5" t="s">
        <v>760</v>
      </c>
      <c r="F5" t="s">
        <v>776</v>
      </c>
      <c r="I5" t="s">
        <v>500</v>
      </c>
    </row>
    <row r="6" spans="1:9">
      <c r="A6" t="s">
        <v>777</v>
      </c>
      <c r="B6" s="18">
        <v>2051067754</v>
      </c>
      <c r="C6" t="s">
        <v>778</v>
      </c>
      <c r="D6" t="s">
        <v>779</v>
      </c>
      <c r="E6" t="s">
        <v>760</v>
      </c>
      <c r="F6" t="s">
        <v>780</v>
      </c>
      <c r="I6" t="s">
        <v>500</v>
      </c>
    </row>
    <row r="7" spans="1:9">
      <c r="A7" t="s">
        <v>781</v>
      </c>
      <c r="B7" s="18">
        <v>2051027755</v>
      </c>
      <c r="C7" t="s">
        <v>782</v>
      </c>
      <c r="D7" t="s">
        <v>783</v>
      </c>
      <c r="E7" t="s">
        <v>760</v>
      </c>
      <c r="F7" t="s">
        <v>784</v>
      </c>
      <c r="I7" t="s">
        <v>500</v>
      </c>
    </row>
    <row r="8" spans="1:9">
      <c r="A8" t="s">
        <v>785</v>
      </c>
      <c r="B8" s="18">
        <v>2054037756</v>
      </c>
      <c r="C8" t="s">
        <v>786</v>
      </c>
      <c r="D8" t="s">
        <v>775</v>
      </c>
      <c r="E8" t="s">
        <v>760</v>
      </c>
      <c r="F8" t="s">
        <v>784</v>
      </c>
      <c r="I8" t="s">
        <v>500</v>
      </c>
    </row>
    <row r="9" spans="1:9">
      <c r="A9" t="s">
        <v>787</v>
      </c>
      <c r="B9" s="18">
        <v>2051077757</v>
      </c>
      <c r="C9" t="s">
        <v>788</v>
      </c>
      <c r="D9" t="s">
        <v>789</v>
      </c>
      <c r="E9" t="s">
        <v>765</v>
      </c>
      <c r="F9" t="s">
        <v>790</v>
      </c>
      <c r="I9" t="s">
        <v>500</v>
      </c>
    </row>
    <row r="10" spans="1:9">
      <c r="A10" t="s">
        <v>791</v>
      </c>
      <c r="B10" s="18">
        <v>2051067758</v>
      </c>
      <c r="C10" t="s">
        <v>792</v>
      </c>
      <c r="D10" t="s">
        <v>793</v>
      </c>
      <c r="E10" t="s">
        <v>760</v>
      </c>
      <c r="F10" t="s">
        <v>784</v>
      </c>
      <c r="I10" t="s">
        <v>500</v>
      </c>
    </row>
    <row r="11" spans="1:9">
      <c r="A11" t="s">
        <v>794</v>
      </c>
      <c r="B11" s="18">
        <v>2051067759</v>
      </c>
      <c r="C11" t="s">
        <v>795</v>
      </c>
      <c r="D11" t="s">
        <v>796</v>
      </c>
      <c r="E11" t="s">
        <v>760</v>
      </c>
      <c r="F11" t="s">
        <v>768</v>
      </c>
      <c r="I11" t="s">
        <v>500</v>
      </c>
    </row>
    <row r="12" spans="1:9">
      <c r="A12" t="s">
        <v>797</v>
      </c>
      <c r="B12" s="18">
        <v>2054027760</v>
      </c>
      <c r="C12" t="s">
        <v>798</v>
      </c>
      <c r="D12" t="s">
        <v>799</v>
      </c>
      <c r="E12" t="s">
        <v>765</v>
      </c>
      <c r="F12" t="s">
        <v>800</v>
      </c>
      <c r="I12" t="s">
        <v>500</v>
      </c>
    </row>
    <row r="13" spans="1:9">
      <c r="A13" t="s">
        <v>801</v>
      </c>
      <c r="B13" s="18">
        <v>2051047761</v>
      </c>
      <c r="C13" t="s">
        <v>802</v>
      </c>
      <c r="D13" t="s">
        <v>803</v>
      </c>
      <c r="E13" t="s">
        <v>760</v>
      </c>
      <c r="F13" t="s">
        <v>804</v>
      </c>
      <c r="I13" t="s">
        <v>500</v>
      </c>
    </row>
    <row r="14" spans="1:9">
      <c r="A14" t="s">
        <v>805</v>
      </c>
      <c r="B14" s="18">
        <v>2051067762</v>
      </c>
      <c r="C14" t="s">
        <v>806</v>
      </c>
      <c r="D14" t="s">
        <v>807</v>
      </c>
      <c r="E14" t="s">
        <v>760</v>
      </c>
      <c r="F14" t="s">
        <v>768</v>
      </c>
      <c r="I14" t="s">
        <v>500</v>
      </c>
    </row>
    <row r="15" spans="1:9">
      <c r="A15" t="s">
        <v>808</v>
      </c>
      <c r="B15" s="18">
        <v>2054037763</v>
      </c>
      <c r="C15" t="s">
        <v>809</v>
      </c>
      <c r="D15" t="s">
        <v>810</v>
      </c>
      <c r="E15" t="s">
        <v>765</v>
      </c>
      <c r="F15" t="s">
        <v>811</v>
      </c>
      <c r="I15" t="s">
        <v>500</v>
      </c>
    </row>
    <row r="16" spans="1:9">
      <c r="A16" t="s">
        <v>812</v>
      </c>
      <c r="B16" s="18">
        <v>2051047764</v>
      </c>
      <c r="C16" t="s">
        <v>813</v>
      </c>
      <c r="D16" t="s">
        <v>814</v>
      </c>
      <c r="E16" t="s">
        <v>760</v>
      </c>
      <c r="F16" t="s">
        <v>804</v>
      </c>
      <c r="I16" t="s">
        <v>500</v>
      </c>
    </row>
    <row r="17" spans="1:9">
      <c r="A17" t="s">
        <v>815</v>
      </c>
      <c r="B17" s="18">
        <v>2051017765</v>
      </c>
      <c r="C17" t="s">
        <v>816</v>
      </c>
      <c r="D17" t="s">
        <v>814</v>
      </c>
      <c r="E17" t="s">
        <v>760</v>
      </c>
      <c r="F17" t="s">
        <v>817</v>
      </c>
      <c r="I17" t="s">
        <v>500</v>
      </c>
    </row>
    <row r="18" spans="1:9">
      <c r="A18" t="s">
        <v>818</v>
      </c>
      <c r="B18" s="18">
        <v>2051117766</v>
      </c>
      <c r="C18" t="s">
        <v>819</v>
      </c>
      <c r="D18" t="s">
        <v>820</v>
      </c>
      <c r="E18" t="s">
        <v>760</v>
      </c>
      <c r="F18" t="s">
        <v>821</v>
      </c>
      <c r="I18" t="s">
        <v>500</v>
      </c>
    </row>
    <row r="19" spans="1:9">
      <c r="A19" t="s">
        <v>822</v>
      </c>
      <c r="B19" s="18">
        <v>2054027767</v>
      </c>
      <c r="C19" t="s">
        <v>823</v>
      </c>
      <c r="D19" t="s">
        <v>824</v>
      </c>
      <c r="E19" t="s">
        <v>760</v>
      </c>
      <c r="F19" t="s">
        <v>784</v>
      </c>
      <c r="I19" t="s">
        <v>500</v>
      </c>
    </row>
    <row r="20" spans="1:9">
      <c r="A20" t="s">
        <v>825</v>
      </c>
      <c r="B20" s="18">
        <v>2054027768</v>
      </c>
      <c r="C20" t="s">
        <v>826</v>
      </c>
      <c r="D20" t="s">
        <v>827</v>
      </c>
      <c r="E20" t="s">
        <v>765</v>
      </c>
      <c r="F20" t="s">
        <v>828</v>
      </c>
      <c r="I20" t="s">
        <v>500</v>
      </c>
    </row>
    <row r="21" spans="1:9">
      <c r="A21" t="s">
        <v>829</v>
      </c>
      <c r="B21" s="18">
        <v>2051067769</v>
      </c>
      <c r="C21" t="s">
        <v>830</v>
      </c>
      <c r="D21" t="s">
        <v>831</v>
      </c>
      <c r="E21" t="s">
        <v>760</v>
      </c>
      <c r="F21" t="s">
        <v>784</v>
      </c>
      <c r="I21" t="s">
        <v>500</v>
      </c>
    </row>
    <row r="22" spans="1:9">
      <c r="A22" t="s">
        <v>832</v>
      </c>
      <c r="B22" s="18">
        <v>2051047770</v>
      </c>
      <c r="C22" t="s">
        <v>833</v>
      </c>
      <c r="D22" t="s">
        <v>834</v>
      </c>
      <c r="E22" t="s">
        <v>760</v>
      </c>
      <c r="F22" t="s">
        <v>835</v>
      </c>
      <c r="I22" t="s">
        <v>500</v>
      </c>
    </row>
    <row r="23" spans="1:9">
      <c r="A23" t="s">
        <v>836</v>
      </c>
      <c r="B23" s="18">
        <v>2054027771</v>
      </c>
      <c r="C23" t="s">
        <v>837</v>
      </c>
      <c r="D23" t="s">
        <v>838</v>
      </c>
      <c r="E23" t="s">
        <v>765</v>
      </c>
      <c r="F23" t="s">
        <v>828</v>
      </c>
      <c r="I23" t="s">
        <v>500</v>
      </c>
    </row>
    <row r="24" spans="1:9">
      <c r="A24" t="s">
        <v>839</v>
      </c>
      <c r="B24" s="18">
        <v>2051047772</v>
      </c>
      <c r="C24" t="s">
        <v>840</v>
      </c>
      <c r="D24" t="s">
        <v>841</v>
      </c>
      <c r="E24" t="s">
        <v>760</v>
      </c>
      <c r="F24" t="s">
        <v>835</v>
      </c>
      <c r="I24" t="s">
        <v>500</v>
      </c>
    </row>
    <row r="25" spans="1:9">
      <c r="A25" t="s">
        <v>842</v>
      </c>
      <c r="B25" s="18">
        <v>2051067773</v>
      </c>
      <c r="C25" t="s">
        <v>203</v>
      </c>
      <c r="D25" t="s">
        <v>843</v>
      </c>
      <c r="E25" t="s">
        <v>760</v>
      </c>
      <c r="F25" t="s">
        <v>844</v>
      </c>
      <c r="I25" t="s">
        <v>500</v>
      </c>
    </row>
    <row r="26" spans="1:9">
      <c r="A26" t="s">
        <v>845</v>
      </c>
      <c r="B26" s="18">
        <v>2054027774</v>
      </c>
      <c r="C26" t="s">
        <v>846</v>
      </c>
      <c r="D26" t="s">
        <v>847</v>
      </c>
      <c r="E26" t="s">
        <v>765</v>
      </c>
      <c r="F26" t="s">
        <v>790</v>
      </c>
      <c r="I26" t="s">
        <v>500</v>
      </c>
    </row>
    <row r="27" spans="1:9">
      <c r="A27" t="s">
        <v>848</v>
      </c>
      <c r="B27" s="18">
        <v>2054027775</v>
      </c>
      <c r="C27" t="s">
        <v>849</v>
      </c>
      <c r="D27" t="s">
        <v>850</v>
      </c>
      <c r="E27" t="s">
        <v>760</v>
      </c>
      <c r="F27" t="s">
        <v>784</v>
      </c>
      <c r="I27" t="s">
        <v>500</v>
      </c>
    </row>
    <row r="28" spans="1:9">
      <c r="A28" t="s">
        <v>851</v>
      </c>
      <c r="B28" s="18">
        <v>2051077776</v>
      </c>
      <c r="C28" t="s">
        <v>852</v>
      </c>
      <c r="D28" t="s">
        <v>824</v>
      </c>
      <c r="E28" t="s">
        <v>760</v>
      </c>
      <c r="F28" t="s">
        <v>853</v>
      </c>
      <c r="I28" t="s">
        <v>500</v>
      </c>
    </row>
    <row r="29" spans="1:9">
      <c r="A29" t="s">
        <v>854</v>
      </c>
      <c r="B29" s="18">
        <v>2051117777</v>
      </c>
      <c r="C29" t="s">
        <v>855</v>
      </c>
      <c r="D29" t="s">
        <v>856</v>
      </c>
      <c r="E29" t="s">
        <v>760</v>
      </c>
      <c r="F29" t="s">
        <v>857</v>
      </c>
      <c r="I29" t="s">
        <v>500</v>
      </c>
    </row>
    <row r="30" spans="1:9">
      <c r="A30" t="s">
        <v>858</v>
      </c>
      <c r="B30" s="18">
        <v>2054027778</v>
      </c>
      <c r="C30" t="s">
        <v>859</v>
      </c>
      <c r="D30" t="s">
        <v>860</v>
      </c>
      <c r="E30" t="s">
        <v>765</v>
      </c>
      <c r="F30" t="s">
        <v>861</v>
      </c>
      <c r="I30" t="s">
        <v>500</v>
      </c>
    </row>
    <row r="31" spans="1:9">
      <c r="A31" t="s">
        <v>862</v>
      </c>
      <c r="B31" s="18">
        <v>2051137779</v>
      </c>
      <c r="C31" t="s">
        <v>863</v>
      </c>
      <c r="D31" t="s">
        <v>864</v>
      </c>
      <c r="E31" t="s">
        <v>760</v>
      </c>
      <c r="F31" t="s">
        <v>761</v>
      </c>
      <c r="I31" t="s">
        <v>500</v>
      </c>
    </row>
    <row r="32" spans="1:9">
      <c r="A32" t="s">
        <v>865</v>
      </c>
      <c r="B32" s="18">
        <v>2054027780</v>
      </c>
      <c r="C32" t="s">
        <v>866</v>
      </c>
      <c r="D32" t="s">
        <v>827</v>
      </c>
      <c r="E32" t="s">
        <v>765</v>
      </c>
      <c r="F32" t="s">
        <v>867</v>
      </c>
      <c r="I32" t="s">
        <v>500</v>
      </c>
    </row>
    <row r="33" spans="1:9">
      <c r="A33" t="s">
        <v>868</v>
      </c>
      <c r="B33" s="18">
        <v>2054037781</v>
      </c>
      <c r="C33" t="s">
        <v>869</v>
      </c>
      <c r="D33" t="s">
        <v>870</v>
      </c>
      <c r="E33" t="s">
        <v>765</v>
      </c>
      <c r="F33" t="s">
        <v>804</v>
      </c>
      <c r="I33" t="s">
        <v>500</v>
      </c>
    </row>
    <row r="34" spans="1:9">
      <c r="A34" t="s">
        <v>871</v>
      </c>
      <c r="B34" s="18">
        <v>2051067782</v>
      </c>
      <c r="C34" t="s">
        <v>872</v>
      </c>
      <c r="D34" t="s">
        <v>873</v>
      </c>
      <c r="E34" t="s">
        <v>760</v>
      </c>
      <c r="F34" t="s">
        <v>861</v>
      </c>
      <c r="I34" t="s">
        <v>500</v>
      </c>
    </row>
    <row r="35" spans="1:9">
      <c r="A35" t="s">
        <v>874</v>
      </c>
      <c r="B35" s="18">
        <v>2054037783</v>
      </c>
      <c r="C35" t="s">
        <v>875</v>
      </c>
      <c r="D35" t="s">
        <v>876</v>
      </c>
      <c r="E35" t="s">
        <v>765</v>
      </c>
      <c r="F35" t="s">
        <v>821</v>
      </c>
      <c r="I35" t="s">
        <v>500</v>
      </c>
    </row>
    <row r="36" spans="1:9">
      <c r="A36" t="s">
        <v>877</v>
      </c>
      <c r="B36" s="18">
        <v>2051017784</v>
      </c>
      <c r="C36" t="s">
        <v>878</v>
      </c>
      <c r="D36" t="s">
        <v>879</v>
      </c>
      <c r="E36" t="s">
        <v>760</v>
      </c>
      <c r="F36" t="s">
        <v>800</v>
      </c>
      <c r="I36" t="s">
        <v>500</v>
      </c>
    </row>
    <row r="37" spans="1:9">
      <c r="A37" t="s">
        <v>880</v>
      </c>
      <c r="B37" s="18">
        <v>2054037785</v>
      </c>
      <c r="C37" t="s">
        <v>881</v>
      </c>
      <c r="D37" t="s">
        <v>767</v>
      </c>
      <c r="E37" t="s">
        <v>765</v>
      </c>
      <c r="F37" t="s">
        <v>882</v>
      </c>
      <c r="I37" t="s">
        <v>500</v>
      </c>
    </row>
    <row r="38" spans="1:9">
      <c r="A38" t="s">
        <v>883</v>
      </c>
      <c r="B38" s="18">
        <v>2051067786</v>
      </c>
      <c r="C38" t="s">
        <v>884</v>
      </c>
      <c r="D38" t="s">
        <v>885</v>
      </c>
      <c r="E38" t="s">
        <v>760</v>
      </c>
      <c r="F38" t="s">
        <v>761</v>
      </c>
      <c r="I38" t="s">
        <v>500</v>
      </c>
    </row>
    <row r="39" spans="1:9">
      <c r="A39" t="s">
        <v>886</v>
      </c>
      <c r="B39" s="18">
        <v>2054037787</v>
      </c>
      <c r="C39" t="s">
        <v>887</v>
      </c>
      <c r="D39" t="s">
        <v>888</v>
      </c>
      <c r="E39" t="s">
        <v>765</v>
      </c>
      <c r="F39" t="s">
        <v>811</v>
      </c>
      <c r="I39" t="s">
        <v>500</v>
      </c>
    </row>
    <row r="40" spans="1:9">
      <c r="A40" t="s">
        <v>889</v>
      </c>
      <c r="B40" s="18">
        <v>2051017788</v>
      </c>
      <c r="C40" t="s">
        <v>890</v>
      </c>
      <c r="D40" t="s">
        <v>891</v>
      </c>
      <c r="E40" t="s">
        <v>760</v>
      </c>
      <c r="F40" t="s">
        <v>892</v>
      </c>
      <c r="I40" t="s">
        <v>500</v>
      </c>
    </row>
    <row r="41" spans="1:9">
      <c r="A41" t="s">
        <v>893</v>
      </c>
      <c r="B41" s="18">
        <v>2051017789</v>
      </c>
      <c r="C41" t="s">
        <v>894</v>
      </c>
      <c r="D41" t="s">
        <v>895</v>
      </c>
      <c r="E41" t="s">
        <v>760</v>
      </c>
      <c r="F41" t="s">
        <v>800</v>
      </c>
      <c r="I41" t="s">
        <v>500</v>
      </c>
    </row>
    <row r="42" spans="1:9">
      <c r="A42" t="s">
        <v>896</v>
      </c>
      <c r="B42" s="18">
        <v>2051017790</v>
      </c>
      <c r="C42" t="s">
        <v>897</v>
      </c>
      <c r="D42" t="s">
        <v>898</v>
      </c>
      <c r="E42" t="s">
        <v>760</v>
      </c>
      <c r="F42" t="s">
        <v>899</v>
      </c>
      <c r="I42" t="s">
        <v>500</v>
      </c>
    </row>
    <row r="43" spans="1:9">
      <c r="A43" t="s">
        <v>900</v>
      </c>
      <c r="B43" s="18">
        <v>2051047792</v>
      </c>
      <c r="C43" t="s">
        <v>901</v>
      </c>
      <c r="D43" t="s">
        <v>902</v>
      </c>
      <c r="E43" t="s">
        <v>765</v>
      </c>
      <c r="F43" t="s">
        <v>761</v>
      </c>
      <c r="I43" t="s">
        <v>500</v>
      </c>
    </row>
    <row r="44" spans="1:9">
      <c r="A44" t="s">
        <v>903</v>
      </c>
      <c r="B44" s="18">
        <v>2054027793</v>
      </c>
      <c r="C44" t="s">
        <v>904</v>
      </c>
      <c r="D44" t="s">
        <v>905</v>
      </c>
      <c r="E44" t="s">
        <v>765</v>
      </c>
      <c r="F44" t="s">
        <v>835</v>
      </c>
      <c r="I44" t="s">
        <v>500</v>
      </c>
    </row>
    <row r="45" spans="1:9">
      <c r="A45" t="s">
        <v>906</v>
      </c>
      <c r="B45" s="18">
        <v>2051047794</v>
      </c>
      <c r="C45" t="s">
        <v>907</v>
      </c>
      <c r="D45" t="s">
        <v>908</v>
      </c>
      <c r="E45" t="s">
        <v>760</v>
      </c>
      <c r="F45" t="s">
        <v>909</v>
      </c>
      <c r="I45" t="s">
        <v>500</v>
      </c>
    </row>
    <row r="46" spans="1:9">
      <c r="A46" t="s">
        <v>910</v>
      </c>
      <c r="B46" s="18">
        <v>2054037795</v>
      </c>
      <c r="C46" t="s">
        <v>911</v>
      </c>
      <c r="D46" t="s">
        <v>912</v>
      </c>
      <c r="E46" t="s">
        <v>765</v>
      </c>
      <c r="F46" t="s">
        <v>784</v>
      </c>
      <c r="I46" t="s">
        <v>500</v>
      </c>
    </row>
    <row r="47" spans="1:9">
      <c r="A47" t="s">
        <v>913</v>
      </c>
      <c r="B47" s="18">
        <v>2054027796</v>
      </c>
      <c r="C47" t="s">
        <v>914</v>
      </c>
      <c r="D47" t="s">
        <v>915</v>
      </c>
      <c r="E47" t="s">
        <v>765</v>
      </c>
      <c r="F47" t="s">
        <v>800</v>
      </c>
      <c r="I47" t="s">
        <v>500</v>
      </c>
    </row>
    <row r="48" spans="1:9">
      <c r="A48" t="s">
        <v>916</v>
      </c>
      <c r="B48" s="18">
        <v>2054037797</v>
      </c>
      <c r="C48" t="s">
        <v>917</v>
      </c>
      <c r="D48" t="s">
        <v>918</v>
      </c>
      <c r="E48" t="s">
        <v>765</v>
      </c>
      <c r="F48" t="s">
        <v>835</v>
      </c>
      <c r="I48" t="s">
        <v>500</v>
      </c>
    </row>
    <row r="49" spans="1:9">
      <c r="A49" t="s">
        <v>919</v>
      </c>
      <c r="B49" s="18">
        <v>2051047798</v>
      </c>
      <c r="C49" t="s">
        <v>920</v>
      </c>
      <c r="D49" t="s">
        <v>915</v>
      </c>
      <c r="E49" t="s">
        <v>760</v>
      </c>
      <c r="F49" t="s">
        <v>811</v>
      </c>
      <c r="I49" t="s">
        <v>500</v>
      </c>
    </row>
    <row r="50" spans="1:9">
      <c r="A50" t="s">
        <v>921</v>
      </c>
      <c r="B50" s="18">
        <v>2054027799</v>
      </c>
      <c r="C50" t="s">
        <v>178</v>
      </c>
      <c r="D50" t="s">
        <v>922</v>
      </c>
      <c r="E50" t="s">
        <v>765</v>
      </c>
      <c r="F50" t="s">
        <v>853</v>
      </c>
      <c r="I50" t="s">
        <v>500</v>
      </c>
    </row>
    <row r="51" spans="1:9">
      <c r="A51" t="s">
        <v>923</v>
      </c>
      <c r="B51" s="18">
        <v>2054037800</v>
      </c>
      <c r="C51" t="s">
        <v>924</v>
      </c>
      <c r="D51" t="s">
        <v>764</v>
      </c>
      <c r="E51" t="s">
        <v>765</v>
      </c>
      <c r="F51" t="s">
        <v>761</v>
      </c>
      <c r="I51" t="s">
        <v>500</v>
      </c>
    </row>
    <row r="52" spans="1:9">
      <c r="A52" t="s">
        <v>925</v>
      </c>
      <c r="B52" s="18">
        <v>2054027801</v>
      </c>
      <c r="C52" t="s">
        <v>926</v>
      </c>
      <c r="D52" t="s">
        <v>927</v>
      </c>
      <c r="E52" t="s">
        <v>765</v>
      </c>
      <c r="F52" t="s">
        <v>804</v>
      </c>
      <c r="I52" t="s">
        <v>500</v>
      </c>
    </row>
    <row r="53" spans="1:9">
      <c r="A53" t="s">
        <v>928</v>
      </c>
      <c r="B53" s="18">
        <v>2051117802</v>
      </c>
      <c r="C53" t="s">
        <v>929</v>
      </c>
      <c r="D53" t="s">
        <v>930</v>
      </c>
      <c r="E53" t="s">
        <v>760</v>
      </c>
      <c r="F53" t="s">
        <v>800</v>
      </c>
      <c r="I53" t="s">
        <v>500</v>
      </c>
    </row>
    <row r="54" spans="1:9">
      <c r="A54" t="s">
        <v>931</v>
      </c>
      <c r="B54" s="18">
        <v>2051047803</v>
      </c>
      <c r="C54" t="s">
        <v>932</v>
      </c>
      <c r="D54" t="s">
        <v>933</v>
      </c>
      <c r="E54" t="s">
        <v>760</v>
      </c>
      <c r="F54" t="s">
        <v>761</v>
      </c>
      <c r="I54" t="s">
        <v>500</v>
      </c>
    </row>
    <row r="55" spans="1:9">
      <c r="A55" t="s">
        <v>934</v>
      </c>
      <c r="B55" s="18">
        <v>2054027804</v>
      </c>
      <c r="C55" t="s">
        <v>935</v>
      </c>
      <c r="D55" t="s">
        <v>936</v>
      </c>
      <c r="E55" t="s">
        <v>760</v>
      </c>
      <c r="F55" t="s">
        <v>800</v>
      </c>
      <c r="I55" t="s">
        <v>500</v>
      </c>
    </row>
    <row r="56" spans="1:9">
      <c r="A56" t="s">
        <v>937</v>
      </c>
      <c r="B56" s="18">
        <v>2051047805</v>
      </c>
      <c r="C56" t="s">
        <v>938</v>
      </c>
      <c r="D56" t="s">
        <v>939</v>
      </c>
      <c r="E56" t="s">
        <v>760</v>
      </c>
      <c r="F56" t="s">
        <v>857</v>
      </c>
      <c r="I56" t="s">
        <v>500</v>
      </c>
    </row>
    <row r="57" spans="1:9">
      <c r="A57" t="s">
        <v>940</v>
      </c>
      <c r="B57" s="18">
        <v>2051067806</v>
      </c>
      <c r="C57" t="s">
        <v>200</v>
      </c>
      <c r="D57" t="s">
        <v>941</v>
      </c>
      <c r="E57" t="s">
        <v>760</v>
      </c>
      <c r="F57" t="s">
        <v>784</v>
      </c>
      <c r="I57" t="s">
        <v>500</v>
      </c>
    </row>
    <row r="58" spans="1:9">
      <c r="A58" t="s">
        <v>942</v>
      </c>
      <c r="B58" s="18">
        <v>2051067807</v>
      </c>
      <c r="C58" t="s">
        <v>943</v>
      </c>
      <c r="D58" t="s">
        <v>944</v>
      </c>
      <c r="E58" t="s">
        <v>760</v>
      </c>
      <c r="F58" t="s">
        <v>945</v>
      </c>
      <c r="I58" t="s">
        <v>500</v>
      </c>
    </row>
    <row r="59" spans="1:9">
      <c r="A59" t="s">
        <v>946</v>
      </c>
      <c r="B59" s="18">
        <v>2051067808</v>
      </c>
      <c r="C59" t="s">
        <v>947</v>
      </c>
      <c r="D59" t="s">
        <v>948</v>
      </c>
      <c r="E59" t="s">
        <v>760</v>
      </c>
      <c r="F59" t="s">
        <v>784</v>
      </c>
      <c r="I59" t="s">
        <v>500</v>
      </c>
    </row>
    <row r="60" spans="1:9">
      <c r="A60" t="s">
        <v>949</v>
      </c>
      <c r="B60" s="18">
        <v>2051067809</v>
      </c>
      <c r="C60" t="s">
        <v>950</v>
      </c>
      <c r="D60" t="s">
        <v>951</v>
      </c>
      <c r="E60" t="s">
        <v>760</v>
      </c>
      <c r="F60" t="s">
        <v>784</v>
      </c>
      <c r="I60" t="s">
        <v>500</v>
      </c>
    </row>
    <row r="61" spans="1:9">
      <c r="A61" t="s">
        <v>952</v>
      </c>
      <c r="B61" s="18">
        <v>2054027810</v>
      </c>
      <c r="C61" t="s">
        <v>953</v>
      </c>
      <c r="D61" t="s">
        <v>954</v>
      </c>
      <c r="E61" t="s">
        <v>765</v>
      </c>
      <c r="F61" t="s">
        <v>828</v>
      </c>
      <c r="I61" t="s">
        <v>500</v>
      </c>
    </row>
    <row r="62" spans="1:9">
      <c r="A62" t="s">
        <v>955</v>
      </c>
      <c r="B62" s="18">
        <v>2051047811</v>
      </c>
      <c r="C62" t="s">
        <v>956</v>
      </c>
      <c r="D62" t="s">
        <v>957</v>
      </c>
      <c r="E62" t="s">
        <v>760</v>
      </c>
      <c r="F62" t="s">
        <v>958</v>
      </c>
      <c r="I62" t="s">
        <v>500</v>
      </c>
    </row>
    <row r="63" spans="1:9">
      <c r="A63" t="s">
        <v>959</v>
      </c>
      <c r="B63" s="18">
        <v>2054027812</v>
      </c>
      <c r="C63" t="s">
        <v>960</v>
      </c>
      <c r="D63" t="s">
        <v>961</v>
      </c>
      <c r="E63" t="s">
        <v>765</v>
      </c>
      <c r="F63" t="s">
        <v>768</v>
      </c>
      <c r="I63" t="s">
        <v>500</v>
      </c>
    </row>
    <row r="64" spans="1:9">
      <c r="A64" t="s">
        <v>962</v>
      </c>
      <c r="B64" s="18">
        <v>2054027813</v>
      </c>
      <c r="C64" t="s">
        <v>963</v>
      </c>
      <c r="D64" t="s">
        <v>964</v>
      </c>
      <c r="E64" t="s">
        <v>765</v>
      </c>
      <c r="F64" t="s">
        <v>784</v>
      </c>
      <c r="I64" t="s">
        <v>500</v>
      </c>
    </row>
    <row r="65" spans="1:9">
      <c r="A65" t="s">
        <v>965</v>
      </c>
      <c r="B65" s="18">
        <v>2054027814</v>
      </c>
      <c r="C65" t="s">
        <v>966</v>
      </c>
      <c r="D65" t="s">
        <v>967</v>
      </c>
      <c r="E65" t="s">
        <v>760</v>
      </c>
      <c r="F65" t="s">
        <v>844</v>
      </c>
      <c r="I65" t="s">
        <v>500</v>
      </c>
    </row>
    <row r="66" spans="1:9">
      <c r="A66" t="s">
        <v>968</v>
      </c>
      <c r="B66" s="18">
        <v>2054037815</v>
      </c>
      <c r="C66" t="s">
        <v>969</v>
      </c>
      <c r="D66" t="s">
        <v>970</v>
      </c>
      <c r="E66" t="s">
        <v>765</v>
      </c>
      <c r="F66" t="s">
        <v>971</v>
      </c>
      <c r="I66" t="s">
        <v>500</v>
      </c>
    </row>
    <row r="67" spans="1:9">
      <c r="A67" t="s">
        <v>972</v>
      </c>
      <c r="B67" s="18">
        <v>2051067816</v>
      </c>
      <c r="C67" t="s">
        <v>973</v>
      </c>
      <c r="D67" t="s">
        <v>974</v>
      </c>
      <c r="E67" t="s">
        <v>765</v>
      </c>
      <c r="F67" t="s">
        <v>975</v>
      </c>
      <c r="I67" t="s">
        <v>500</v>
      </c>
    </row>
    <row r="68" spans="1:9">
      <c r="A68" t="s">
        <v>976</v>
      </c>
      <c r="B68" s="18">
        <v>2054027817</v>
      </c>
      <c r="C68" t="s">
        <v>35</v>
      </c>
      <c r="D68" t="s">
        <v>977</v>
      </c>
      <c r="E68" t="s">
        <v>765</v>
      </c>
      <c r="F68" t="s">
        <v>821</v>
      </c>
      <c r="I68" t="s">
        <v>500</v>
      </c>
    </row>
    <row r="69" spans="1:9">
      <c r="A69" t="s">
        <v>978</v>
      </c>
      <c r="B69" s="18">
        <v>2054027818</v>
      </c>
      <c r="C69" t="s">
        <v>979</v>
      </c>
      <c r="D69" t="s">
        <v>980</v>
      </c>
      <c r="E69" t="s">
        <v>765</v>
      </c>
      <c r="F69" t="s">
        <v>828</v>
      </c>
      <c r="I69" t="s">
        <v>500</v>
      </c>
    </row>
    <row r="70" spans="1:9">
      <c r="A70" t="s">
        <v>981</v>
      </c>
      <c r="B70" s="18">
        <v>2051067819</v>
      </c>
      <c r="C70" t="s">
        <v>982</v>
      </c>
      <c r="D70" t="s">
        <v>983</v>
      </c>
      <c r="E70" t="s">
        <v>760</v>
      </c>
      <c r="F70" t="s">
        <v>844</v>
      </c>
      <c r="I70" t="s">
        <v>500</v>
      </c>
    </row>
    <row r="71" spans="1:9">
      <c r="A71" t="s">
        <v>984</v>
      </c>
      <c r="B71" s="18">
        <v>2054037820</v>
      </c>
      <c r="C71" t="s">
        <v>985</v>
      </c>
      <c r="D71" t="s">
        <v>986</v>
      </c>
      <c r="E71" t="s">
        <v>765</v>
      </c>
      <c r="F71" t="s">
        <v>909</v>
      </c>
      <c r="I71" t="s">
        <v>500</v>
      </c>
    </row>
    <row r="72" spans="1:9">
      <c r="A72" t="s">
        <v>987</v>
      </c>
      <c r="B72" s="18">
        <v>2054037821</v>
      </c>
      <c r="C72" t="s">
        <v>988</v>
      </c>
      <c r="D72" t="s">
        <v>989</v>
      </c>
      <c r="E72" t="s">
        <v>760</v>
      </c>
      <c r="F72" t="s">
        <v>761</v>
      </c>
      <c r="I72" t="s">
        <v>500</v>
      </c>
    </row>
    <row r="73" spans="1:9">
      <c r="A73" t="s">
        <v>990</v>
      </c>
      <c r="B73" s="18">
        <v>2051067822</v>
      </c>
      <c r="C73" t="s">
        <v>991</v>
      </c>
      <c r="D73" t="s">
        <v>843</v>
      </c>
      <c r="E73" t="s">
        <v>760</v>
      </c>
      <c r="F73" t="s">
        <v>804</v>
      </c>
      <c r="I73" t="s">
        <v>500</v>
      </c>
    </row>
    <row r="74" spans="1:9">
      <c r="A74" t="s">
        <v>992</v>
      </c>
      <c r="B74" s="18">
        <v>2054037823</v>
      </c>
      <c r="C74" t="s">
        <v>993</v>
      </c>
      <c r="D74" t="s">
        <v>994</v>
      </c>
      <c r="E74" t="s">
        <v>765</v>
      </c>
      <c r="F74" t="s">
        <v>804</v>
      </c>
      <c r="I74" t="s">
        <v>500</v>
      </c>
    </row>
    <row r="75" spans="1:9">
      <c r="A75" t="s">
        <v>995</v>
      </c>
      <c r="B75" s="18">
        <v>2054027824</v>
      </c>
      <c r="C75" t="s">
        <v>996</v>
      </c>
      <c r="D75" t="s">
        <v>997</v>
      </c>
      <c r="E75" t="s">
        <v>765</v>
      </c>
      <c r="F75" t="s">
        <v>998</v>
      </c>
      <c r="I75" t="s">
        <v>500</v>
      </c>
    </row>
    <row r="76" spans="1:9">
      <c r="A76" t="s">
        <v>999</v>
      </c>
      <c r="B76" s="18">
        <v>2051067825</v>
      </c>
      <c r="C76" t="s">
        <v>276</v>
      </c>
      <c r="D76" t="s">
        <v>1000</v>
      </c>
      <c r="E76" t="s">
        <v>760</v>
      </c>
      <c r="F76" t="s">
        <v>828</v>
      </c>
      <c r="I76" t="s">
        <v>500</v>
      </c>
    </row>
    <row r="77" spans="1:9">
      <c r="A77" t="s">
        <v>1001</v>
      </c>
      <c r="B77" s="18">
        <v>2054027826</v>
      </c>
      <c r="C77" t="s">
        <v>1002</v>
      </c>
      <c r="D77" t="s">
        <v>1003</v>
      </c>
      <c r="E77" t="s">
        <v>760</v>
      </c>
      <c r="F77" t="s">
        <v>821</v>
      </c>
      <c r="I77" t="s">
        <v>500</v>
      </c>
    </row>
    <row r="78" spans="1:9">
      <c r="A78" t="s">
        <v>1004</v>
      </c>
      <c r="B78" s="18">
        <v>2054027827</v>
      </c>
      <c r="C78" t="s">
        <v>1005</v>
      </c>
      <c r="D78" t="s">
        <v>1006</v>
      </c>
      <c r="E78" t="s">
        <v>765</v>
      </c>
      <c r="F78" t="s">
        <v>800</v>
      </c>
      <c r="I78" t="s">
        <v>500</v>
      </c>
    </row>
    <row r="79" spans="1:9">
      <c r="A79" t="s">
        <v>1007</v>
      </c>
      <c r="B79" s="18">
        <v>2054037828</v>
      </c>
      <c r="C79" t="s">
        <v>1008</v>
      </c>
      <c r="D79" t="s">
        <v>1009</v>
      </c>
      <c r="E79" t="s">
        <v>765</v>
      </c>
      <c r="F79" t="s">
        <v>817</v>
      </c>
      <c r="I79" t="s">
        <v>500</v>
      </c>
    </row>
    <row r="80" spans="1:9">
      <c r="A80" t="s">
        <v>1010</v>
      </c>
      <c r="B80" s="18">
        <v>2054037829</v>
      </c>
      <c r="C80" t="s">
        <v>1011</v>
      </c>
      <c r="D80" t="s">
        <v>1012</v>
      </c>
      <c r="E80" t="s">
        <v>765</v>
      </c>
      <c r="F80" t="s">
        <v>867</v>
      </c>
      <c r="I80" t="s">
        <v>500</v>
      </c>
    </row>
    <row r="81" spans="1:9">
      <c r="A81" t="s">
        <v>1013</v>
      </c>
      <c r="B81" s="18">
        <v>2054027830</v>
      </c>
      <c r="C81" t="s">
        <v>1014</v>
      </c>
      <c r="D81" t="s">
        <v>1015</v>
      </c>
      <c r="E81" t="s">
        <v>765</v>
      </c>
      <c r="F81" t="s">
        <v>768</v>
      </c>
      <c r="I81" t="s">
        <v>500</v>
      </c>
    </row>
    <row r="82" spans="1:9">
      <c r="A82" t="s">
        <v>1016</v>
      </c>
      <c r="B82" s="18">
        <v>2054037831</v>
      </c>
      <c r="C82" t="s">
        <v>1017</v>
      </c>
      <c r="D82" t="s">
        <v>1018</v>
      </c>
      <c r="E82" t="s">
        <v>765</v>
      </c>
      <c r="F82" t="s">
        <v>761</v>
      </c>
      <c r="I82" t="s">
        <v>500</v>
      </c>
    </row>
    <row r="83" spans="1:9">
      <c r="A83" t="s">
        <v>1019</v>
      </c>
      <c r="B83" s="18">
        <v>2054027832</v>
      </c>
      <c r="C83" t="s">
        <v>1020</v>
      </c>
      <c r="D83" t="s">
        <v>1021</v>
      </c>
      <c r="E83" t="s">
        <v>765</v>
      </c>
      <c r="F83" t="s">
        <v>1022</v>
      </c>
      <c r="I83" t="s">
        <v>500</v>
      </c>
    </row>
    <row r="84" spans="1:9">
      <c r="A84" t="s">
        <v>1023</v>
      </c>
      <c r="B84" s="18">
        <v>2054037833</v>
      </c>
      <c r="C84" t="s">
        <v>1024</v>
      </c>
      <c r="D84" t="s">
        <v>1025</v>
      </c>
      <c r="E84" t="s">
        <v>765</v>
      </c>
      <c r="F84" t="s">
        <v>784</v>
      </c>
      <c r="I84" t="s">
        <v>500</v>
      </c>
    </row>
    <row r="85" spans="1:9">
      <c r="A85" t="s">
        <v>1026</v>
      </c>
      <c r="B85" s="18">
        <v>2051017834</v>
      </c>
      <c r="C85" t="s">
        <v>1027</v>
      </c>
      <c r="D85" t="s">
        <v>1028</v>
      </c>
      <c r="E85" t="s">
        <v>760</v>
      </c>
      <c r="F85" t="s">
        <v>892</v>
      </c>
      <c r="I85" t="s">
        <v>500</v>
      </c>
    </row>
    <row r="86" spans="1:9">
      <c r="A86" t="s">
        <v>1029</v>
      </c>
      <c r="B86" s="18">
        <v>2054027835</v>
      </c>
      <c r="C86" t="s">
        <v>1030</v>
      </c>
      <c r="D86" t="s">
        <v>1031</v>
      </c>
      <c r="E86" t="s">
        <v>765</v>
      </c>
      <c r="F86" t="s">
        <v>1032</v>
      </c>
      <c r="I86" t="s">
        <v>500</v>
      </c>
    </row>
    <row r="87" spans="1:9">
      <c r="A87" t="s">
        <v>1033</v>
      </c>
      <c r="B87" s="18">
        <v>2051067836</v>
      </c>
      <c r="C87" t="s">
        <v>1034</v>
      </c>
      <c r="D87" t="s">
        <v>1035</v>
      </c>
      <c r="E87" t="s">
        <v>760</v>
      </c>
      <c r="F87" t="s">
        <v>784</v>
      </c>
      <c r="I87" t="s">
        <v>500</v>
      </c>
    </row>
    <row r="88" spans="1:9">
      <c r="A88" t="s">
        <v>1036</v>
      </c>
      <c r="B88" s="18">
        <v>2051067837</v>
      </c>
      <c r="C88" t="s">
        <v>1037</v>
      </c>
      <c r="D88" t="s">
        <v>864</v>
      </c>
      <c r="E88" t="s">
        <v>760</v>
      </c>
      <c r="F88" t="s">
        <v>892</v>
      </c>
      <c r="I88" t="s">
        <v>500</v>
      </c>
    </row>
    <row r="89" spans="1:9">
      <c r="A89" t="s">
        <v>1038</v>
      </c>
      <c r="B89" s="18">
        <v>2054027838</v>
      </c>
      <c r="C89" t="s">
        <v>1039</v>
      </c>
      <c r="D89" t="s">
        <v>1040</v>
      </c>
      <c r="E89" t="s">
        <v>765</v>
      </c>
      <c r="F89" t="s">
        <v>892</v>
      </c>
      <c r="I89" t="s">
        <v>500</v>
      </c>
    </row>
    <row r="90" spans="1:9">
      <c r="A90" t="s">
        <v>1041</v>
      </c>
      <c r="B90" s="18">
        <v>2054027839</v>
      </c>
      <c r="C90" t="s">
        <v>1042</v>
      </c>
      <c r="D90" t="s">
        <v>1043</v>
      </c>
      <c r="E90" t="s">
        <v>765</v>
      </c>
      <c r="F90" t="s">
        <v>784</v>
      </c>
      <c r="I90" t="s">
        <v>500</v>
      </c>
    </row>
    <row r="91" spans="1:9">
      <c r="A91" t="s">
        <v>1044</v>
      </c>
      <c r="B91" s="18">
        <v>2054027840</v>
      </c>
      <c r="C91" t="s">
        <v>1045</v>
      </c>
      <c r="D91" t="s">
        <v>1046</v>
      </c>
      <c r="E91" t="s">
        <v>760</v>
      </c>
      <c r="F91" t="s">
        <v>998</v>
      </c>
      <c r="I91" t="s">
        <v>500</v>
      </c>
    </row>
    <row r="92" spans="1:9">
      <c r="A92" t="s">
        <v>1047</v>
      </c>
      <c r="B92" s="18">
        <v>2051067841</v>
      </c>
      <c r="C92" t="s">
        <v>1048</v>
      </c>
      <c r="D92" t="s">
        <v>974</v>
      </c>
      <c r="E92" t="s">
        <v>760</v>
      </c>
      <c r="F92" t="s">
        <v>1049</v>
      </c>
      <c r="I92" t="s">
        <v>500</v>
      </c>
    </row>
    <row r="93" spans="1:9">
      <c r="A93" t="s">
        <v>1050</v>
      </c>
      <c r="B93" s="18">
        <v>2051067842</v>
      </c>
      <c r="C93" t="s">
        <v>1051</v>
      </c>
      <c r="D93" t="s">
        <v>1052</v>
      </c>
      <c r="E93" t="s">
        <v>760</v>
      </c>
      <c r="F93" t="s">
        <v>784</v>
      </c>
      <c r="I93" t="s">
        <v>500</v>
      </c>
    </row>
    <row r="94" spans="1:9">
      <c r="A94" t="s">
        <v>1053</v>
      </c>
      <c r="B94" s="18">
        <v>2054027843</v>
      </c>
      <c r="C94" t="s">
        <v>1054</v>
      </c>
      <c r="D94" t="s">
        <v>974</v>
      </c>
      <c r="E94" t="s">
        <v>765</v>
      </c>
      <c r="F94" t="s">
        <v>844</v>
      </c>
      <c r="I94" t="s">
        <v>500</v>
      </c>
    </row>
    <row r="95" spans="1:9">
      <c r="A95" t="s">
        <v>1055</v>
      </c>
      <c r="B95" s="18">
        <v>2051067844</v>
      </c>
      <c r="C95" t="s">
        <v>1056</v>
      </c>
      <c r="D95" t="s">
        <v>1057</v>
      </c>
      <c r="E95" t="s">
        <v>760</v>
      </c>
      <c r="F95" t="s">
        <v>844</v>
      </c>
      <c r="I95" t="s">
        <v>500</v>
      </c>
    </row>
    <row r="96" spans="1:9">
      <c r="A96" t="s">
        <v>1058</v>
      </c>
      <c r="B96" s="18">
        <v>2051067845</v>
      </c>
      <c r="C96" t="s">
        <v>1059</v>
      </c>
      <c r="D96" t="s">
        <v>793</v>
      </c>
      <c r="E96" t="s">
        <v>765</v>
      </c>
      <c r="F96" t="s">
        <v>784</v>
      </c>
      <c r="I96" t="s">
        <v>500</v>
      </c>
    </row>
    <row r="97" spans="1:9">
      <c r="A97" t="s">
        <v>1060</v>
      </c>
      <c r="B97" s="18">
        <v>2054027846</v>
      </c>
      <c r="C97" t="s">
        <v>1061</v>
      </c>
      <c r="D97" t="s">
        <v>1062</v>
      </c>
      <c r="E97" t="s">
        <v>760</v>
      </c>
      <c r="F97" t="s">
        <v>784</v>
      </c>
      <c r="I97" t="s">
        <v>500</v>
      </c>
    </row>
    <row r="98" spans="1:9">
      <c r="A98" t="s">
        <v>1063</v>
      </c>
      <c r="B98" s="18">
        <v>2054037847</v>
      </c>
      <c r="C98" t="s">
        <v>1064</v>
      </c>
      <c r="D98" t="s">
        <v>864</v>
      </c>
      <c r="E98" t="s">
        <v>765</v>
      </c>
      <c r="F98" t="s">
        <v>772</v>
      </c>
      <c r="I98" t="s">
        <v>500</v>
      </c>
    </row>
    <row r="99" spans="1:9">
      <c r="A99" t="s">
        <v>1065</v>
      </c>
      <c r="B99" s="18">
        <v>2054037848</v>
      </c>
      <c r="C99" t="s">
        <v>1066</v>
      </c>
      <c r="D99" t="s">
        <v>1067</v>
      </c>
      <c r="E99" t="s">
        <v>765</v>
      </c>
      <c r="F99" t="s">
        <v>817</v>
      </c>
      <c r="I99" t="s">
        <v>500</v>
      </c>
    </row>
    <row r="100" spans="1:9">
      <c r="A100" t="s">
        <v>1068</v>
      </c>
      <c r="B100" s="18">
        <v>2054027849</v>
      </c>
      <c r="C100" t="s">
        <v>1069</v>
      </c>
      <c r="D100" t="s">
        <v>1070</v>
      </c>
      <c r="E100" t="s">
        <v>760</v>
      </c>
      <c r="F100" t="s">
        <v>821</v>
      </c>
      <c r="I100" t="s">
        <v>500</v>
      </c>
    </row>
    <row r="101" spans="1:9">
      <c r="A101" t="s">
        <v>1071</v>
      </c>
      <c r="B101" s="18">
        <v>2054037850</v>
      </c>
      <c r="C101" t="s">
        <v>268</v>
      </c>
      <c r="D101" t="s">
        <v>1072</v>
      </c>
      <c r="E101" t="s">
        <v>765</v>
      </c>
      <c r="F101" t="s">
        <v>1073</v>
      </c>
      <c r="I101" t="s">
        <v>500</v>
      </c>
    </row>
    <row r="102" spans="1:9">
      <c r="A102" t="s">
        <v>1074</v>
      </c>
      <c r="B102" s="18">
        <v>2054027851</v>
      </c>
      <c r="C102" t="s">
        <v>1075</v>
      </c>
      <c r="D102" t="s">
        <v>1076</v>
      </c>
      <c r="E102" t="s">
        <v>765</v>
      </c>
      <c r="F102" t="s">
        <v>1032</v>
      </c>
      <c r="I102" t="s">
        <v>500</v>
      </c>
    </row>
    <row r="103" spans="1:9">
      <c r="A103" t="s">
        <v>1077</v>
      </c>
      <c r="B103" s="18">
        <v>2051047852</v>
      </c>
      <c r="C103" t="s">
        <v>1078</v>
      </c>
      <c r="D103" t="s">
        <v>1079</v>
      </c>
      <c r="E103" t="s">
        <v>760</v>
      </c>
      <c r="F103" t="s">
        <v>804</v>
      </c>
      <c r="I103" t="s">
        <v>500</v>
      </c>
    </row>
    <row r="104" spans="1:9">
      <c r="A104" t="s">
        <v>1080</v>
      </c>
      <c r="B104" s="18">
        <v>2054027853</v>
      </c>
      <c r="C104" t="s">
        <v>1081</v>
      </c>
      <c r="D104" t="s">
        <v>1082</v>
      </c>
      <c r="E104" t="s">
        <v>765</v>
      </c>
      <c r="F104" t="s">
        <v>835</v>
      </c>
      <c r="I104" t="s">
        <v>500</v>
      </c>
    </row>
    <row r="105" spans="1:9">
      <c r="A105" t="s">
        <v>1083</v>
      </c>
      <c r="B105" s="18">
        <v>2051067854</v>
      </c>
      <c r="C105" t="s">
        <v>1084</v>
      </c>
      <c r="D105" t="s">
        <v>1085</v>
      </c>
      <c r="E105" t="s">
        <v>760</v>
      </c>
      <c r="F105" t="s">
        <v>821</v>
      </c>
      <c r="I105" t="s">
        <v>500</v>
      </c>
    </row>
    <row r="106" spans="1:9">
      <c r="A106" t="s">
        <v>1086</v>
      </c>
      <c r="B106" s="18">
        <v>2051067855</v>
      </c>
      <c r="C106" t="s">
        <v>1087</v>
      </c>
      <c r="D106" t="s">
        <v>1085</v>
      </c>
      <c r="E106" t="s">
        <v>760</v>
      </c>
      <c r="F106" t="s">
        <v>821</v>
      </c>
      <c r="I106" t="s">
        <v>500</v>
      </c>
    </row>
    <row r="107" spans="1:9">
      <c r="A107" t="s">
        <v>1088</v>
      </c>
      <c r="B107" s="18">
        <v>2051067856</v>
      </c>
      <c r="C107" t="s">
        <v>1089</v>
      </c>
      <c r="D107" t="s">
        <v>1090</v>
      </c>
      <c r="E107" t="s">
        <v>760</v>
      </c>
      <c r="F107" t="s">
        <v>899</v>
      </c>
      <c r="I107" t="s">
        <v>500</v>
      </c>
    </row>
    <row r="108" spans="1:9">
      <c r="A108" t="s">
        <v>1091</v>
      </c>
      <c r="B108" s="18">
        <v>2054027857</v>
      </c>
      <c r="C108" t="s">
        <v>1092</v>
      </c>
      <c r="D108" t="s">
        <v>1093</v>
      </c>
      <c r="E108" t="s">
        <v>760</v>
      </c>
      <c r="F108" t="s">
        <v>998</v>
      </c>
      <c r="I108" t="s">
        <v>500</v>
      </c>
    </row>
    <row r="109" spans="1:9">
      <c r="A109" t="s">
        <v>1094</v>
      </c>
      <c r="B109" s="18">
        <v>2054037858</v>
      </c>
      <c r="C109" t="s">
        <v>1095</v>
      </c>
      <c r="D109" t="s">
        <v>1096</v>
      </c>
      <c r="E109" t="s">
        <v>765</v>
      </c>
      <c r="F109" t="s">
        <v>804</v>
      </c>
      <c r="I109" t="s">
        <v>500</v>
      </c>
    </row>
    <row r="110" spans="1:9">
      <c r="A110" t="s">
        <v>1097</v>
      </c>
      <c r="B110" s="18">
        <v>2051067859</v>
      </c>
      <c r="C110" t="s">
        <v>1098</v>
      </c>
      <c r="D110" t="s">
        <v>1099</v>
      </c>
      <c r="E110" t="s">
        <v>760</v>
      </c>
      <c r="F110" t="s">
        <v>892</v>
      </c>
      <c r="I110" t="s">
        <v>500</v>
      </c>
    </row>
    <row r="111" spans="1:9">
      <c r="A111" t="s">
        <v>1100</v>
      </c>
      <c r="B111" s="18">
        <v>2054037860</v>
      </c>
      <c r="C111" t="s">
        <v>1101</v>
      </c>
      <c r="D111" t="s">
        <v>986</v>
      </c>
      <c r="E111" t="s">
        <v>765</v>
      </c>
      <c r="F111" t="s">
        <v>761</v>
      </c>
      <c r="I111" t="s">
        <v>500</v>
      </c>
    </row>
    <row r="112" spans="1:9">
      <c r="A112" t="s">
        <v>1102</v>
      </c>
      <c r="B112" s="18">
        <v>2054027861</v>
      </c>
      <c r="C112" t="s">
        <v>1103</v>
      </c>
      <c r="D112" t="s">
        <v>1104</v>
      </c>
      <c r="E112" t="s">
        <v>765</v>
      </c>
      <c r="F112" t="s">
        <v>768</v>
      </c>
      <c r="I112" t="s">
        <v>500</v>
      </c>
    </row>
    <row r="113" spans="1:9">
      <c r="A113" t="s">
        <v>1105</v>
      </c>
      <c r="B113" s="18">
        <v>2054027862</v>
      </c>
      <c r="C113" t="s">
        <v>1106</v>
      </c>
      <c r="D113" t="s">
        <v>898</v>
      </c>
      <c r="E113" t="s">
        <v>765</v>
      </c>
      <c r="F113" t="s">
        <v>1073</v>
      </c>
      <c r="I113" t="s">
        <v>500</v>
      </c>
    </row>
    <row r="114" spans="1:9">
      <c r="A114" t="s">
        <v>1107</v>
      </c>
      <c r="B114" s="18">
        <v>2054027863</v>
      </c>
      <c r="C114" t="s">
        <v>1108</v>
      </c>
      <c r="D114" t="s">
        <v>1109</v>
      </c>
      <c r="E114" t="s">
        <v>765</v>
      </c>
      <c r="F114" t="s">
        <v>784</v>
      </c>
      <c r="I114" t="s">
        <v>500</v>
      </c>
    </row>
    <row r="115" spans="1:9">
      <c r="A115" t="s">
        <v>1110</v>
      </c>
      <c r="B115" s="18">
        <v>2054027864</v>
      </c>
      <c r="C115" t="s">
        <v>1111</v>
      </c>
      <c r="D115" t="s">
        <v>1112</v>
      </c>
      <c r="E115" t="s">
        <v>765</v>
      </c>
      <c r="F115" t="s">
        <v>867</v>
      </c>
      <c r="I115" t="s">
        <v>500</v>
      </c>
    </row>
    <row r="116" spans="1:9">
      <c r="A116" t="s">
        <v>1113</v>
      </c>
      <c r="B116" s="18">
        <v>2054037865</v>
      </c>
      <c r="C116" t="s">
        <v>1114</v>
      </c>
      <c r="D116" t="s">
        <v>1115</v>
      </c>
      <c r="E116" t="s">
        <v>765</v>
      </c>
      <c r="F116" t="s">
        <v>1116</v>
      </c>
      <c r="I116" t="s">
        <v>500</v>
      </c>
    </row>
    <row r="117" spans="1:9">
      <c r="A117" t="s">
        <v>1117</v>
      </c>
      <c r="B117" s="18">
        <v>2054027866</v>
      </c>
      <c r="C117" t="s">
        <v>1118</v>
      </c>
      <c r="D117" t="s">
        <v>1119</v>
      </c>
      <c r="E117" t="s">
        <v>765</v>
      </c>
      <c r="F117" t="s">
        <v>909</v>
      </c>
      <c r="I117" t="s">
        <v>500</v>
      </c>
    </row>
    <row r="118" spans="1:9">
      <c r="A118" t="s">
        <v>1120</v>
      </c>
      <c r="B118" s="18">
        <v>2051137867</v>
      </c>
      <c r="C118" t="s">
        <v>1121</v>
      </c>
      <c r="D118" t="s">
        <v>1122</v>
      </c>
      <c r="E118" t="s">
        <v>760</v>
      </c>
      <c r="F118" t="s">
        <v>892</v>
      </c>
      <c r="I118" t="s">
        <v>500</v>
      </c>
    </row>
    <row r="119" spans="1:9">
      <c r="A119" t="s">
        <v>1123</v>
      </c>
      <c r="B119" s="18">
        <v>2051067868</v>
      </c>
      <c r="C119" t="s">
        <v>1124</v>
      </c>
      <c r="D119" t="s">
        <v>1125</v>
      </c>
      <c r="E119" t="s">
        <v>765</v>
      </c>
      <c r="F119" t="s">
        <v>768</v>
      </c>
      <c r="I119" t="s">
        <v>500</v>
      </c>
    </row>
    <row r="120" spans="1:9">
      <c r="A120" t="s">
        <v>1126</v>
      </c>
      <c r="B120" s="18">
        <v>2054037869</v>
      </c>
      <c r="C120" t="s">
        <v>1127</v>
      </c>
      <c r="D120" t="s">
        <v>1128</v>
      </c>
      <c r="E120" t="s">
        <v>765</v>
      </c>
      <c r="F120" t="s">
        <v>892</v>
      </c>
      <c r="I120" t="s">
        <v>500</v>
      </c>
    </row>
    <row r="121" spans="1:9">
      <c r="A121" t="s">
        <v>1129</v>
      </c>
      <c r="B121" s="18">
        <v>2051047870</v>
      </c>
      <c r="C121" t="s">
        <v>1130</v>
      </c>
      <c r="D121" t="s">
        <v>1131</v>
      </c>
      <c r="E121" t="s">
        <v>760</v>
      </c>
      <c r="F121" t="s">
        <v>1132</v>
      </c>
      <c r="I121" t="s">
        <v>500</v>
      </c>
    </row>
    <row r="122" spans="1:9">
      <c r="A122" t="s">
        <v>1133</v>
      </c>
      <c r="B122" s="18">
        <v>2054027871</v>
      </c>
      <c r="C122" t="s">
        <v>1134</v>
      </c>
      <c r="D122" t="s">
        <v>898</v>
      </c>
      <c r="E122" t="s">
        <v>765</v>
      </c>
      <c r="F122" t="s">
        <v>784</v>
      </c>
      <c r="I122" t="s">
        <v>500</v>
      </c>
    </row>
    <row r="123" spans="1:9">
      <c r="A123" t="s">
        <v>1135</v>
      </c>
      <c r="B123" s="18">
        <v>2054027872</v>
      </c>
      <c r="C123" t="s">
        <v>1136</v>
      </c>
      <c r="D123" t="s">
        <v>1137</v>
      </c>
      <c r="E123" t="s">
        <v>765</v>
      </c>
      <c r="F123" t="s">
        <v>804</v>
      </c>
      <c r="I123" t="s">
        <v>500</v>
      </c>
    </row>
    <row r="124" spans="1:9">
      <c r="A124" t="s">
        <v>1138</v>
      </c>
      <c r="B124" s="18">
        <v>2054027873</v>
      </c>
      <c r="C124" t="s">
        <v>1139</v>
      </c>
      <c r="D124" t="s">
        <v>764</v>
      </c>
      <c r="E124" t="s">
        <v>760</v>
      </c>
      <c r="F124" t="s">
        <v>853</v>
      </c>
      <c r="I124" t="s">
        <v>500</v>
      </c>
    </row>
    <row r="125" spans="1:9">
      <c r="A125" t="s">
        <v>1140</v>
      </c>
      <c r="B125" s="18">
        <v>2051067874</v>
      </c>
      <c r="C125" t="s">
        <v>1141</v>
      </c>
      <c r="D125" t="s">
        <v>1142</v>
      </c>
      <c r="E125" t="s">
        <v>760</v>
      </c>
      <c r="F125" t="s">
        <v>882</v>
      </c>
      <c r="I125" t="s">
        <v>500</v>
      </c>
    </row>
    <row r="126" spans="1:9">
      <c r="A126" t="s">
        <v>1143</v>
      </c>
      <c r="B126" s="18">
        <v>2051017875</v>
      </c>
      <c r="C126" t="s">
        <v>1144</v>
      </c>
      <c r="D126" t="s">
        <v>1145</v>
      </c>
      <c r="E126" t="s">
        <v>760</v>
      </c>
      <c r="F126" t="s">
        <v>1146</v>
      </c>
      <c r="I126" t="s">
        <v>500</v>
      </c>
    </row>
    <row r="127" spans="1:9">
      <c r="A127" t="s">
        <v>1147</v>
      </c>
      <c r="B127" s="18">
        <v>2054027876</v>
      </c>
      <c r="C127" t="s">
        <v>881</v>
      </c>
      <c r="D127" t="s">
        <v>1052</v>
      </c>
      <c r="E127" t="s">
        <v>765</v>
      </c>
      <c r="F127" t="s">
        <v>998</v>
      </c>
      <c r="I127" t="s">
        <v>500</v>
      </c>
    </row>
    <row r="128" spans="1:9">
      <c r="A128" t="s">
        <v>1148</v>
      </c>
      <c r="B128" s="18">
        <v>2051047877</v>
      </c>
      <c r="C128" t="s">
        <v>1149</v>
      </c>
      <c r="D128" t="s">
        <v>1150</v>
      </c>
      <c r="E128" t="s">
        <v>760</v>
      </c>
      <c r="F128" t="s">
        <v>784</v>
      </c>
      <c r="I128" t="s">
        <v>500</v>
      </c>
    </row>
    <row r="129" spans="1:9">
      <c r="A129" t="s">
        <v>1151</v>
      </c>
      <c r="B129" s="18">
        <v>2051117878</v>
      </c>
      <c r="C129" t="s">
        <v>1152</v>
      </c>
      <c r="D129" t="s">
        <v>1090</v>
      </c>
      <c r="E129" t="s">
        <v>760</v>
      </c>
      <c r="F129" t="s">
        <v>1153</v>
      </c>
      <c r="I129" t="s">
        <v>500</v>
      </c>
    </row>
    <row r="130" spans="1:9">
      <c r="A130" t="s">
        <v>1154</v>
      </c>
      <c r="B130" s="18">
        <v>2051047879</v>
      </c>
      <c r="C130" t="s">
        <v>1155</v>
      </c>
      <c r="D130" t="s">
        <v>1156</v>
      </c>
      <c r="E130" t="s">
        <v>760</v>
      </c>
      <c r="F130" t="s">
        <v>784</v>
      </c>
      <c r="I130" t="s">
        <v>500</v>
      </c>
    </row>
    <row r="131" spans="1:9">
      <c r="A131" t="s">
        <v>1157</v>
      </c>
      <c r="B131" s="18">
        <v>2051067880</v>
      </c>
      <c r="C131" t="s">
        <v>1158</v>
      </c>
      <c r="D131" t="s">
        <v>1159</v>
      </c>
      <c r="E131" t="s">
        <v>765</v>
      </c>
      <c r="F131" t="s">
        <v>804</v>
      </c>
      <c r="I131" t="s">
        <v>500</v>
      </c>
    </row>
    <row r="132" spans="1:9">
      <c r="A132" t="s">
        <v>1160</v>
      </c>
      <c r="B132" s="18">
        <v>2054027881</v>
      </c>
      <c r="C132" t="s">
        <v>1161</v>
      </c>
      <c r="D132" t="s">
        <v>1162</v>
      </c>
      <c r="E132" t="s">
        <v>760</v>
      </c>
      <c r="F132" t="s">
        <v>1032</v>
      </c>
      <c r="I132" t="s">
        <v>500</v>
      </c>
    </row>
    <row r="133" spans="1:9">
      <c r="A133" t="s">
        <v>1163</v>
      </c>
      <c r="B133" s="18">
        <v>2054027882</v>
      </c>
      <c r="C133" t="s">
        <v>1164</v>
      </c>
      <c r="D133" t="s">
        <v>1165</v>
      </c>
      <c r="E133" t="s">
        <v>760</v>
      </c>
      <c r="F133" t="s">
        <v>958</v>
      </c>
      <c r="I133" t="s">
        <v>500</v>
      </c>
    </row>
    <row r="134" spans="1:9">
      <c r="A134" t="s">
        <v>1094</v>
      </c>
      <c r="B134" s="18">
        <v>2054037883</v>
      </c>
      <c r="C134" t="s">
        <v>1095</v>
      </c>
      <c r="D134" t="s">
        <v>1096</v>
      </c>
      <c r="E134" t="s">
        <v>765</v>
      </c>
      <c r="F134" t="s">
        <v>804</v>
      </c>
      <c r="I134" t="s">
        <v>500</v>
      </c>
    </row>
    <row r="135" spans="1:9">
      <c r="A135" t="s">
        <v>1166</v>
      </c>
      <c r="B135" s="18">
        <v>2051017463</v>
      </c>
      <c r="C135" t="s">
        <v>347</v>
      </c>
      <c r="D135" t="s">
        <v>1167</v>
      </c>
      <c r="E135" t="s">
        <v>760</v>
      </c>
      <c r="I135" t="s">
        <v>500</v>
      </c>
    </row>
    <row r="136" spans="1:9">
      <c r="A136" t="s">
        <v>1168</v>
      </c>
      <c r="B136" s="18">
        <v>2051017003</v>
      </c>
      <c r="C136" t="s">
        <v>1169</v>
      </c>
      <c r="D136" t="s">
        <v>1170</v>
      </c>
      <c r="E136" t="s">
        <v>760</v>
      </c>
      <c r="I136" t="s">
        <v>500</v>
      </c>
    </row>
    <row r="137" spans="1:9">
      <c r="A137" t="s">
        <v>1171</v>
      </c>
      <c r="B137" s="18">
        <v>2051017006</v>
      </c>
      <c r="C137" t="s">
        <v>1172</v>
      </c>
      <c r="D137" t="s">
        <v>1173</v>
      </c>
      <c r="E137" t="s">
        <v>760</v>
      </c>
      <c r="I137" t="s">
        <v>500</v>
      </c>
    </row>
    <row r="138" spans="1:9">
      <c r="A138" t="s">
        <v>1174</v>
      </c>
      <c r="B138" s="18">
        <v>2051017007</v>
      </c>
      <c r="C138" t="s">
        <v>1175</v>
      </c>
      <c r="D138" t="s">
        <v>1176</v>
      </c>
      <c r="E138" t="s">
        <v>760</v>
      </c>
      <c r="I138" t="s">
        <v>500</v>
      </c>
    </row>
    <row r="139" spans="1:9">
      <c r="A139" t="s">
        <v>1177</v>
      </c>
      <c r="B139" s="18">
        <v>2051017462</v>
      </c>
      <c r="C139" t="s">
        <v>1178</v>
      </c>
      <c r="D139" t="s">
        <v>1179</v>
      </c>
      <c r="E139" t="s">
        <v>760</v>
      </c>
      <c r="I139" t="s">
        <v>500</v>
      </c>
    </row>
    <row r="140" spans="1:9">
      <c r="A140" t="s">
        <v>1180</v>
      </c>
      <c r="B140" s="18">
        <v>2051017011</v>
      </c>
      <c r="C140" t="s">
        <v>1181</v>
      </c>
      <c r="D140" t="s">
        <v>1182</v>
      </c>
      <c r="E140" t="s">
        <v>760</v>
      </c>
      <c r="I140" t="s">
        <v>500</v>
      </c>
    </row>
    <row r="141" spans="1:9">
      <c r="A141" t="s">
        <v>1183</v>
      </c>
      <c r="B141" s="18">
        <v>2051017460</v>
      </c>
      <c r="C141" t="s">
        <v>355</v>
      </c>
      <c r="D141" t="s">
        <v>1018</v>
      </c>
      <c r="E141" t="s">
        <v>760</v>
      </c>
      <c r="I141" t="s">
        <v>500</v>
      </c>
    </row>
    <row r="142" spans="1:9">
      <c r="A142" t="s">
        <v>1184</v>
      </c>
      <c r="B142" s="18">
        <v>2051017015</v>
      </c>
      <c r="C142" t="s">
        <v>1185</v>
      </c>
      <c r="D142" t="s">
        <v>912</v>
      </c>
      <c r="E142" t="s">
        <v>760</v>
      </c>
      <c r="I142" t="s">
        <v>500</v>
      </c>
    </row>
    <row r="143" spans="1:9">
      <c r="A143" t="s">
        <v>1186</v>
      </c>
      <c r="B143" s="18">
        <v>2051017019</v>
      </c>
      <c r="C143" t="s">
        <v>1187</v>
      </c>
      <c r="D143" t="s">
        <v>1188</v>
      </c>
      <c r="E143" t="s">
        <v>765</v>
      </c>
      <c r="I143" t="s">
        <v>500</v>
      </c>
    </row>
    <row r="144" spans="1:9">
      <c r="A144" t="s">
        <v>1189</v>
      </c>
      <c r="B144" s="18">
        <v>2051017021</v>
      </c>
      <c r="C144" t="s">
        <v>1190</v>
      </c>
      <c r="D144" t="s">
        <v>1191</v>
      </c>
      <c r="E144" t="s">
        <v>765</v>
      </c>
      <c r="I144" t="s">
        <v>500</v>
      </c>
    </row>
    <row r="145" spans="1:9">
      <c r="A145" t="s">
        <v>1192</v>
      </c>
      <c r="B145" s="18">
        <v>2051017023</v>
      </c>
      <c r="C145" t="s">
        <v>1193</v>
      </c>
      <c r="D145" t="s">
        <v>1194</v>
      </c>
      <c r="E145" t="s">
        <v>760</v>
      </c>
      <c r="I145" t="s">
        <v>500</v>
      </c>
    </row>
    <row r="146" spans="1:9">
      <c r="A146" t="s">
        <v>1195</v>
      </c>
      <c r="B146" s="18">
        <v>2051017024</v>
      </c>
      <c r="C146" t="s">
        <v>1196</v>
      </c>
      <c r="D146" t="s">
        <v>1197</v>
      </c>
      <c r="E146" t="s">
        <v>760</v>
      </c>
      <c r="I146" t="s">
        <v>500</v>
      </c>
    </row>
    <row r="147" spans="1:9">
      <c r="A147" t="s">
        <v>1198</v>
      </c>
      <c r="B147" s="18">
        <v>2051017028</v>
      </c>
      <c r="C147" t="s">
        <v>1199</v>
      </c>
      <c r="D147" t="s">
        <v>1200</v>
      </c>
      <c r="E147" t="s">
        <v>760</v>
      </c>
      <c r="I147" t="s">
        <v>500</v>
      </c>
    </row>
    <row r="148" spans="1:9">
      <c r="A148" t="s">
        <v>1201</v>
      </c>
      <c r="B148" s="18">
        <v>2051017034</v>
      </c>
      <c r="C148" t="s">
        <v>1202</v>
      </c>
      <c r="D148" t="s">
        <v>939</v>
      </c>
      <c r="E148" t="s">
        <v>760</v>
      </c>
      <c r="I148" t="s">
        <v>500</v>
      </c>
    </row>
    <row r="149" spans="1:9">
      <c r="A149" t="s">
        <v>1203</v>
      </c>
      <c r="B149" s="18">
        <v>2051017041</v>
      </c>
      <c r="C149" t="s">
        <v>1204</v>
      </c>
      <c r="D149" t="s">
        <v>1205</v>
      </c>
      <c r="E149" t="s">
        <v>760</v>
      </c>
      <c r="I149" t="s">
        <v>500</v>
      </c>
    </row>
    <row r="150" spans="1:9">
      <c r="A150" t="s">
        <v>1206</v>
      </c>
      <c r="B150" s="18">
        <v>2051017452</v>
      </c>
      <c r="C150" t="s">
        <v>1207</v>
      </c>
      <c r="D150" t="s">
        <v>1208</v>
      </c>
      <c r="E150" t="s">
        <v>765</v>
      </c>
      <c r="I150" t="s">
        <v>500</v>
      </c>
    </row>
    <row r="151" spans="1:9">
      <c r="A151" t="s">
        <v>1209</v>
      </c>
      <c r="B151" s="18">
        <v>2051017450</v>
      </c>
      <c r="C151" t="s">
        <v>1210</v>
      </c>
      <c r="D151" t="s">
        <v>1211</v>
      </c>
      <c r="E151" t="s">
        <v>765</v>
      </c>
      <c r="I151" t="s">
        <v>500</v>
      </c>
    </row>
    <row r="152" spans="1:9">
      <c r="A152" t="s">
        <v>1212</v>
      </c>
      <c r="B152" s="18">
        <v>2051017451</v>
      </c>
      <c r="C152" t="s">
        <v>1213</v>
      </c>
      <c r="D152" t="s">
        <v>1214</v>
      </c>
      <c r="E152" t="s">
        <v>760</v>
      </c>
      <c r="I152" t="s">
        <v>500</v>
      </c>
    </row>
    <row r="153" spans="1:9">
      <c r="A153" t="s">
        <v>1215</v>
      </c>
      <c r="B153" s="18">
        <v>2051017453</v>
      </c>
      <c r="C153" t="s">
        <v>1216</v>
      </c>
      <c r="D153" t="s">
        <v>1217</v>
      </c>
      <c r="E153" t="s">
        <v>760</v>
      </c>
      <c r="I153" t="s">
        <v>500</v>
      </c>
    </row>
    <row r="154" spans="1:9">
      <c r="A154" t="s">
        <v>1218</v>
      </c>
      <c r="B154" s="18">
        <v>2051017454</v>
      </c>
      <c r="C154" t="s">
        <v>1219</v>
      </c>
      <c r="D154" t="s">
        <v>1220</v>
      </c>
      <c r="E154" t="s">
        <v>760</v>
      </c>
      <c r="I154" t="s">
        <v>500</v>
      </c>
    </row>
    <row r="155" spans="1:9">
      <c r="A155" t="s">
        <v>1221</v>
      </c>
      <c r="B155" s="18">
        <v>2051017455</v>
      </c>
      <c r="C155" t="s">
        <v>1222</v>
      </c>
      <c r="D155" t="s">
        <v>902</v>
      </c>
      <c r="E155" t="s">
        <v>760</v>
      </c>
      <c r="I155" t="s">
        <v>500</v>
      </c>
    </row>
    <row r="156" spans="1:9">
      <c r="A156" t="s">
        <v>1223</v>
      </c>
      <c r="B156" s="18">
        <v>2051017456</v>
      </c>
      <c r="C156" t="s">
        <v>344</v>
      </c>
      <c r="D156" t="s">
        <v>1224</v>
      </c>
      <c r="E156" t="s">
        <v>760</v>
      </c>
      <c r="I156" t="s">
        <v>500</v>
      </c>
    </row>
    <row r="157" spans="1:9">
      <c r="A157" t="s">
        <v>1225</v>
      </c>
      <c r="B157" s="18">
        <v>2051017457</v>
      </c>
      <c r="C157" t="s">
        <v>1226</v>
      </c>
      <c r="D157" t="s">
        <v>1128</v>
      </c>
      <c r="E157" t="s">
        <v>765</v>
      </c>
      <c r="I157" t="s">
        <v>500</v>
      </c>
    </row>
    <row r="158" spans="1:9">
      <c r="A158" t="s">
        <v>1227</v>
      </c>
      <c r="B158" s="18">
        <v>2051017459</v>
      </c>
      <c r="C158" t="s">
        <v>1228</v>
      </c>
      <c r="D158" t="s">
        <v>1229</v>
      </c>
      <c r="E158" t="s">
        <v>760</v>
      </c>
      <c r="I158" t="s">
        <v>500</v>
      </c>
    </row>
    <row r="159" spans="1:9">
      <c r="A159" t="s">
        <v>1230</v>
      </c>
      <c r="B159" s="18">
        <v>2051017464</v>
      </c>
      <c r="C159" t="s">
        <v>1231</v>
      </c>
      <c r="D159" t="s">
        <v>1232</v>
      </c>
      <c r="E159" t="s">
        <v>765</v>
      </c>
      <c r="I159" t="s">
        <v>500</v>
      </c>
    </row>
    <row r="160" spans="1:9">
      <c r="A160" t="s">
        <v>1233</v>
      </c>
      <c r="B160" s="18">
        <v>2051017466</v>
      </c>
      <c r="C160" t="s">
        <v>1234</v>
      </c>
      <c r="D160" t="s">
        <v>1067</v>
      </c>
      <c r="E160" t="s">
        <v>760</v>
      </c>
      <c r="I160" t="s">
        <v>500</v>
      </c>
    </row>
    <row r="161" spans="1:9">
      <c r="A161" t="s">
        <v>1235</v>
      </c>
      <c r="B161" s="18">
        <v>2051017467</v>
      </c>
      <c r="C161" t="s">
        <v>1236</v>
      </c>
      <c r="D161" t="s">
        <v>1237</v>
      </c>
      <c r="E161" t="s">
        <v>760</v>
      </c>
      <c r="I161" t="s">
        <v>500</v>
      </c>
    </row>
    <row r="162" spans="1:9">
      <c r="A162" t="s">
        <v>1238</v>
      </c>
      <c r="B162" s="18">
        <v>2051017469</v>
      </c>
      <c r="C162" t="s">
        <v>1239</v>
      </c>
      <c r="D162" t="s">
        <v>1240</v>
      </c>
      <c r="E162" t="s">
        <v>760</v>
      </c>
      <c r="I162" t="s">
        <v>500</v>
      </c>
    </row>
    <row r="163" spans="1:9">
      <c r="A163" t="s">
        <v>1241</v>
      </c>
      <c r="B163" s="18">
        <v>2051017470</v>
      </c>
      <c r="C163" t="s">
        <v>1242</v>
      </c>
      <c r="D163" t="s">
        <v>1243</v>
      </c>
      <c r="E163" t="s">
        <v>760</v>
      </c>
      <c r="I163" t="s">
        <v>500</v>
      </c>
    </row>
    <row r="164" spans="1:9">
      <c r="A164" t="s">
        <v>1244</v>
      </c>
      <c r="B164" s="18">
        <v>2051047101</v>
      </c>
      <c r="C164" t="s">
        <v>1245</v>
      </c>
      <c r="D164" t="s">
        <v>1246</v>
      </c>
      <c r="E164" t="s">
        <v>760</v>
      </c>
      <c r="I164" t="s">
        <v>500</v>
      </c>
    </row>
    <row r="165" spans="1:9">
      <c r="A165" t="s">
        <v>1247</v>
      </c>
      <c r="B165" s="18">
        <v>2051067554</v>
      </c>
      <c r="C165" t="s">
        <v>1248</v>
      </c>
      <c r="D165" t="s">
        <v>1249</v>
      </c>
      <c r="E165" t="s">
        <v>760</v>
      </c>
      <c r="I165" t="s">
        <v>500</v>
      </c>
    </row>
    <row r="166" spans="1:9">
      <c r="A166" t="s">
        <v>1250</v>
      </c>
      <c r="B166" s="18">
        <v>2051077588</v>
      </c>
      <c r="C166" t="s">
        <v>1251</v>
      </c>
      <c r="D166" t="s">
        <v>1252</v>
      </c>
      <c r="E166" t="s">
        <v>760</v>
      </c>
      <c r="I166" t="s">
        <v>500</v>
      </c>
    </row>
    <row r="167" spans="1:9">
      <c r="A167" t="s">
        <v>1253</v>
      </c>
      <c r="B167" s="18">
        <v>2051027046</v>
      </c>
      <c r="C167" t="s">
        <v>1254</v>
      </c>
      <c r="D167" t="s">
        <v>1255</v>
      </c>
      <c r="E167" t="s">
        <v>765</v>
      </c>
      <c r="I167" t="s">
        <v>500</v>
      </c>
    </row>
    <row r="168" spans="1:9">
      <c r="A168" t="s">
        <v>1256</v>
      </c>
      <c r="B168" s="18">
        <v>2051027048</v>
      </c>
      <c r="C168" t="s">
        <v>1257</v>
      </c>
      <c r="D168" t="s">
        <v>1079</v>
      </c>
      <c r="E168" t="s">
        <v>760</v>
      </c>
      <c r="I168" t="s">
        <v>500</v>
      </c>
    </row>
    <row r="169" spans="1:9">
      <c r="A169" t="s">
        <v>1258</v>
      </c>
      <c r="B169" s="18">
        <v>2051027472</v>
      </c>
      <c r="C169" t="s">
        <v>1259</v>
      </c>
      <c r="D169" t="s">
        <v>1260</v>
      </c>
      <c r="E169" t="s">
        <v>765</v>
      </c>
      <c r="I169" t="s">
        <v>500</v>
      </c>
    </row>
    <row r="170" spans="1:9">
      <c r="A170" t="s">
        <v>1261</v>
      </c>
      <c r="B170" s="18">
        <v>2051027473</v>
      </c>
      <c r="C170" t="s">
        <v>308</v>
      </c>
      <c r="D170" t="s">
        <v>1262</v>
      </c>
      <c r="E170" t="s">
        <v>760</v>
      </c>
      <c r="I170" t="s">
        <v>500</v>
      </c>
    </row>
    <row r="171" spans="1:9">
      <c r="A171" t="s">
        <v>1263</v>
      </c>
      <c r="B171" s="18">
        <v>2051047060</v>
      </c>
      <c r="C171" t="s">
        <v>1264</v>
      </c>
      <c r="D171" t="s">
        <v>1265</v>
      </c>
      <c r="E171" t="s">
        <v>760</v>
      </c>
      <c r="I171" t="s">
        <v>500</v>
      </c>
    </row>
    <row r="172" spans="1:9">
      <c r="A172" t="s">
        <v>1266</v>
      </c>
      <c r="B172" s="18">
        <v>2051047062</v>
      </c>
      <c r="C172" t="s">
        <v>1267</v>
      </c>
      <c r="D172" t="s">
        <v>1205</v>
      </c>
      <c r="E172" t="s">
        <v>760</v>
      </c>
      <c r="I172" t="s">
        <v>500</v>
      </c>
    </row>
    <row r="173" spans="1:9">
      <c r="A173" t="s">
        <v>1268</v>
      </c>
      <c r="B173" s="18">
        <v>2051047063</v>
      </c>
      <c r="C173" t="s">
        <v>1269</v>
      </c>
      <c r="D173" t="s">
        <v>1270</v>
      </c>
      <c r="E173" t="s">
        <v>760</v>
      </c>
      <c r="I173" t="s">
        <v>500</v>
      </c>
    </row>
    <row r="174" spans="1:9">
      <c r="A174" t="s">
        <v>1271</v>
      </c>
      <c r="B174" s="18">
        <v>2051047068</v>
      </c>
      <c r="C174" t="s">
        <v>1272</v>
      </c>
      <c r="D174" t="s">
        <v>1273</v>
      </c>
      <c r="E174" t="s">
        <v>760</v>
      </c>
      <c r="I174" t="s">
        <v>500</v>
      </c>
    </row>
    <row r="175" spans="1:9">
      <c r="A175" t="s">
        <v>1274</v>
      </c>
      <c r="B175" s="18">
        <v>2051047070</v>
      </c>
      <c r="C175" t="s">
        <v>1275</v>
      </c>
      <c r="D175" t="s">
        <v>1276</v>
      </c>
      <c r="E175" t="s">
        <v>760</v>
      </c>
      <c r="I175" t="s">
        <v>500</v>
      </c>
    </row>
    <row r="176" spans="1:9">
      <c r="A176" t="s">
        <v>1277</v>
      </c>
      <c r="B176" s="18">
        <v>2051047081</v>
      </c>
      <c r="C176" t="s">
        <v>1278</v>
      </c>
      <c r="D176" t="s">
        <v>1279</v>
      </c>
      <c r="E176" t="s">
        <v>760</v>
      </c>
      <c r="I176" t="s">
        <v>500</v>
      </c>
    </row>
    <row r="177" spans="1:9">
      <c r="A177" t="s">
        <v>1280</v>
      </c>
      <c r="B177" s="18">
        <v>2051047090</v>
      </c>
      <c r="C177" t="s">
        <v>1281</v>
      </c>
      <c r="D177" t="s">
        <v>1282</v>
      </c>
      <c r="E177" t="s">
        <v>760</v>
      </c>
      <c r="I177" t="s">
        <v>500</v>
      </c>
    </row>
    <row r="178" spans="1:9">
      <c r="A178" t="s">
        <v>1283</v>
      </c>
      <c r="B178" s="18">
        <v>2051047092</v>
      </c>
      <c r="C178" t="s">
        <v>1284</v>
      </c>
      <c r="D178" t="s">
        <v>1285</v>
      </c>
      <c r="E178" t="s">
        <v>760</v>
      </c>
      <c r="I178" t="s">
        <v>500</v>
      </c>
    </row>
    <row r="179" spans="1:9">
      <c r="A179" t="s">
        <v>1286</v>
      </c>
      <c r="B179" s="18">
        <v>2051047095</v>
      </c>
      <c r="C179" t="s">
        <v>374</v>
      </c>
      <c r="D179" t="s">
        <v>1229</v>
      </c>
      <c r="E179" t="s">
        <v>760</v>
      </c>
      <c r="I179" t="s">
        <v>500</v>
      </c>
    </row>
    <row r="180" spans="1:9">
      <c r="A180" t="s">
        <v>1287</v>
      </c>
      <c r="B180" s="18">
        <v>2051047098</v>
      </c>
      <c r="C180" t="s">
        <v>1288</v>
      </c>
      <c r="D180" t="s">
        <v>1289</v>
      </c>
      <c r="E180" t="s">
        <v>760</v>
      </c>
      <c r="I180" t="s">
        <v>500</v>
      </c>
    </row>
    <row r="181" spans="1:9">
      <c r="A181" t="s">
        <v>1290</v>
      </c>
      <c r="B181" s="18">
        <v>2051047106</v>
      </c>
      <c r="C181" t="s">
        <v>1291</v>
      </c>
      <c r="D181" t="s">
        <v>1292</v>
      </c>
      <c r="E181" t="s">
        <v>760</v>
      </c>
      <c r="I181" t="s">
        <v>500</v>
      </c>
    </row>
    <row r="182" spans="1:9">
      <c r="A182" t="s">
        <v>1293</v>
      </c>
      <c r="B182" s="18">
        <v>2051047497</v>
      </c>
      <c r="C182" t="s">
        <v>1294</v>
      </c>
      <c r="D182" t="s">
        <v>902</v>
      </c>
      <c r="E182" t="s">
        <v>760</v>
      </c>
      <c r="I182" t="s">
        <v>500</v>
      </c>
    </row>
    <row r="183" spans="1:9">
      <c r="A183" t="s">
        <v>1295</v>
      </c>
      <c r="B183" s="18">
        <v>2051047109</v>
      </c>
      <c r="C183" t="s">
        <v>381</v>
      </c>
      <c r="D183" t="s">
        <v>1296</v>
      </c>
      <c r="E183" t="s">
        <v>760</v>
      </c>
      <c r="I183" t="s">
        <v>500</v>
      </c>
    </row>
    <row r="184" spans="1:9">
      <c r="A184" t="s">
        <v>1297</v>
      </c>
      <c r="B184" s="18">
        <v>2051047113</v>
      </c>
      <c r="C184" t="s">
        <v>1298</v>
      </c>
      <c r="D184" t="s">
        <v>1299</v>
      </c>
      <c r="E184" t="s">
        <v>760</v>
      </c>
      <c r="I184" t="s">
        <v>500</v>
      </c>
    </row>
    <row r="185" spans="1:9">
      <c r="A185" t="s">
        <v>1300</v>
      </c>
      <c r="B185" s="18">
        <v>2051047120</v>
      </c>
      <c r="C185" t="s">
        <v>444</v>
      </c>
      <c r="D185" t="s">
        <v>1301</v>
      </c>
      <c r="E185" t="s">
        <v>760</v>
      </c>
      <c r="I185" t="s">
        <v>500</v>
      </c>
    </row>
    <row r="186" spans="1:9">
      <c r="A186" t="s">
        <v>1302</v>
      </c>
      <c r="B186" s="18">
        <v>2051047121</v>
      </c>
      <c r="C186" t="s">
        <v>1303</v>
      </c>
      <c r="D186" t="s">
        <v>1237</v>
      </c>
      <c r="E186" t="s">
        <v>760</v>
      </c>
      <c r="I186" t="s">
        <v>500</v>
      </c>
    </row>
    <row r="187" spans="1:9">
      <c r="A187" t="s">
        <v>1304</v>
      </c>
      <c r="B187" s="18">
        <v>2051047126</v>
      </c>
      <c r="C187" t="s">
        <v>1305</v>
      </c>
      <c r="D187" t="s">
        <v>1306</v>
      </c>
      <c r="E187" t="s">
        <v>760</v>
      </c>
      <c r="I187" t="s">
        <v>500</v>
      </c>
    </row>
    <row r="188" spans="1:9">
      <c r="A188" t="s">
        <v>1307</v>
      </c>
      <c r="B188" s="18">
        <v>2051047127</v>
      </c>
      <c r="C188" t="s">
        <v>1308</v>
      </c>
      <c r="D188" t="s">
        <v>870</v>
      </c>
      <c r="E188" t="s">
        <v>760</v>
      </c>
      <c r="I188" t="s">
        <v>500</v>
      </c>
    </row>
    <row r="189" spans="1:9">
      <c r="A189" t="s">
        <v>1309</v>
      </c>
      <c r="B189" s="18">
        <v>2051047133</v>
      </c>
      <c r="C189" t="s">
        <v>1310</v>
      </c>
      <c r="D189" t="s">
        <v>1311</v>
      </c>
      <c r="E189" t="s">
        <v>760</v>
      </c>
      <c r="I189" t="s">
        <v>500</v>
      </c>
    </row>
    <row r="190" spans="1:9">
      <c r="A190" t="s">
        <v>1312</v>
      </c>
      <c r="B190" s="18">
        <v>2051047134</v>
      </c>
      <c r="C190" t="s">
        <v>1313</v>
      </c>
      <c r="D190" t="s">
        <v>1314</v>
      </c>
      <c r="E190" t="s">
        <v>760</v>
      </c>
      <c r="I190" t="s">
        <v>500</v>
      </c>
    </row>
    <row r="191" spans="1:9">
      <c r="A191" t="s">
        <v>1315</v>
      </c>
      <c r="B191" s="18">
        <v>2051047475</v>
      </c>
      <c r="C191" t="s">
        <v>1316</v>
      </c>
      <c r="D191" t="s">
        <v>1317</v>
      </c>
      <c r="E191" t="s">
        <v>760</v>
      </c>
      <c r="I191" t="s">
        <v>500</v>
      </c>
    </row>
    <row r="192" spans="1:9">
      <c r="A192" t="s">
        <v>1318</v>
      </c>
      <c r="B192" s="18">
        <v>2051047477</v>
      </c>
      <c r="C192" t="s">
        <v>1319</v>
      </c>
      <c r="D192" t="s">
        <v>1320</v>
      </c>
      <c r="E192" t="s">
        <v>760</v>
      </c>
      <c r="I192" t="s">
        <v>500</v>
      </c>
    </row>
    <row r="193" spans="1:9">
      <c r="A193" t="s">
        <v>1321</v>
      </c>
      <c r="B193" s="18">
        <v>2051047478</v>
      </c>
      <c r="C193" t="s">
        <v>377</v>
      </c>
      <c r="D193" t="s">
        <v>1070</v>
      </c>
      <c r="E193" t="s">
        <v>760</v>
      </c>
      <c r="I193" t="s">
        <v>500</v>
      </c>
    </row>
    <row r="194" spans="1:9">
      <c r="A194" t="s">
        <v>1322</v>
      </c>
      <c r="B194" s="18">
        <v>2051047479</v>
      </c>
      <c r="C194" t="s">
        <v>1323</v>
      </c>
      <c r="D194" t="s">
        <v>1324</v>
      </c>
      <c r="E194" t="s">
        <v>760</v>
      </c>
      <c r="I194" t="s">
        <v>500</v>
      </c>
    </row>
    <row r="195" spans="1:9">
      <c r="A195" t="s">
        <v>1325</v>
      </c>
      <c r="B195" s="18">
        <v>2051047481</v>
      </c>
      <c r="C195" t="s">
        <v>383</v>
      </c>
      <c r="D195" t="s">
        <v>1326</v>
      </c>
      <c r="E195" t="s">
        <v>760</v>
      </c>
      <c r="I195" t="s">
        <v>500</v>
      </c>
    </row>
    <row r="196" spans="1:9">
      <c r="A196" t="s">
        <v>1327</v>
      </c>
      <c r="B196" s="18">
        <v>2051047482</v>
      </c>
      <c r="C196" t="s">
        <v>1328</v>
      </c>
      <c r="D196" t="s">
        <v>1329</v>
      </c>
      <c r="E196" t="s">
        <v>760</v>
      </c>
      <c r="I196" t="s">
        <v>500</v>
      </c>
    </row>
    <row r="197" spans="1:9">
      <c r="A197" t="s">
        <v>1330</v>
      </c>
      <c r="B197" s="18">
        <v>2051047483</v>
      </c>
      <c r="C197" t="s">
        <v>1331</v>
      </c>
      <c r="D197" t="s">
        <v>948</v>
      </c>
      <c r="E197" t="s">
        <v>760</v>
      </c>
      <c r="I197" t="s">
        <v>500</v>
      </c>
    </row>
    <row r="198" spans="1:9">
      <c r="A198" t="s">
        <v>1332</v>
      </c>
      <c r="B198" s="18">
        <v>2051047484</v>
      </c>
      <c r="C198" t="s">
        <v>1333</v>
      </c>
      <c r="D198" t="s">
        <v>891</v>
      </c>
      <c r="E198" t="s">
        <v>760</v>
      </c>
      <c r="I198" t="s">
        <v>500</v>
      </c>
    </row>
    <row r="199" spans="1:9">
      <c r="A199" t="s">
        <v>1334</v>
      </c>
      <c r="B199" s="18">
        <v>2051047488</v>
      </c>
      <c r="C199" t="s">
        <v>1335</v>
      </c>
      <c r="D199" t="s">
        <v>1336</v>
      </c>
      <c r="E199" t="s">
        <v>760</v>
      </c>
      <c r="I199" t="s">
        <v>500</v>
      </c>
    </row>
    <row r="200" spans="1:9">
      <c r="A200" t="s">
        <v>1337</v>
      </c>
      <c r="B200" s="18">
        <v>2051047490</v>
      </c>
      <c r="C200" t="s">
        <v>1338</v>
      </c>
      <c r="D200" t="s">
        <v>1262</v>
      </c>
      <c r="E200" t="s">
        <v>760</v>
      </c>
      <c r="I200" t="s">
        <v>500</v>
      </c>
    </row>
    <row r="201" spans="1:9">
      <c r="A201" t="s">
        <v>1339</v>
      </c>
      <c r="B201" s="18">
        <v>2051047492</v>
      </c>
      <c r="C201" t="s">
        <v>1340</v>
      </c>
      <c r="D201" t="s">
        <v>933</v>
      </c>
      <c r="E201" t="s">
        <v>760</v>
      </c>
      <c r="I201" t="s">
        <v>500</v>
      </c>
    </row>
    <row r="202" spans="1:9">
      <c r="A202" t="s">
        <v>1341</v>
      </c>
      <c r="B202" s="18">
        <v>2051047499</v>
      </c>
      <c r="C202" t="s">
        <v>1342</v>
      </c>
      <c r="D202" t="s">
        <v>1343</v>
      </c>
      <c r="E202" t="s">
        <v>760</v>
      </c>
      <c r="I202" t="s">
        <v>500</v>
      </c>
    </row>
    <row r="203" spans="1:9">
      <c r="A203" t="s">
        <v>1344</v>
      </c>
      <c r="B203" s="18">
        <v>2051047502</v>
      </c>
      <c r="C203" t="s">
        <v>1345</v>
      </c>
      <c r="D203" t="s">
        <v>1346</v>
      </c>
      <c r="E203" t="s">
        <v>760</v>
      </c>
      <c r="I203" t="s">
        <v>500</v>
      </c>
    </row>
    <row r="204" spans="1:9">
      <c r="A204" t="s">
        <v>1347</v>
      </c>
      <c r="B204" s="18">
        <v>2051047503</v>
      </c>
      <c r="C204" t="s">
        <v>1348</v>
      </c>
      <c r="D204" t="s">
        <v>1349</v>
      </c>
      <c r="E204" t="s">
        <v>760</v>
      </c>
      <c r="I204" t="s">
        <v>500</v>
      </c>
    </row>
    <row r="205" spans="1:9">
      <c r="A205" t="s">
        <v>1350</v>
      </c>
      <c r="B205" s="18">
        <v>2051047505</v>
      </c>
      <c r="C205" t="s">
        <v>1351</v>
      </c>
      <c r="D205" t="s">
        <v>1352</v>
      </c>
      <c r="E205" t="s">
        <v>760</v>
      </c>
      <c r="I205" t="s">
        <v>500</v>
      </c>
    </row>
    <row r="206" spans="1:9">
      <c r="A206" t="s">
        <v>1353</v>
      </c>
      <c r="B206" s="18">
        <v>2051047507</v>
      </c>
      <c r="C206" t="s">
        <v>1354</v>
      </c>
      <c r="D206" t="s">
        <v>1067</v>
      </c>
      <c r="E206" t="s">
        <v>760</v>
      </c>
      <c r="I206" t="s">
        <v>500</v>
      </c>
    </row>
    <row r="207" spans="1:9">
      <c r="A207" t="s">
        <v>1355</v>
      </c>
      <c r="B207" s="18">
        <v>2051047509</v>
      </c>
      <c r="C207" t="s">
        <v>1356</v>
      </c>
      <c r="D207" t="s">
        <v>1343</v>
      </c>
      <c r="E207" t="s">
        <v>760</v>
      </c>
      <c r="I207" t="s">
        <v>500</v>
      </c>
    </row>
    <row r="208" spans="1:9">
      <c r="A208" t="s">
        <v>1357</v>
      </c>
      <c r="B208" s="18">
        <v>2051047511</v>
      </c>
      <c r="C208" t="s">
        <v>1358</v>
      </c>
      <c r="D208" t="s">
        <v>1359</v>
      </c>
      <c r="E208" t="s">
        <v>760</v>
      </c>
      <c r="I208" t="s">
        <v>500</v>
      </c>
    </row>
    <row r="209" spans="1:9">
      <c r="A209" t="s">
        <v>1360</v>
      </c>
      <c r="B209" s="18">
        <v>2051047512</v>
      </c>
      <c r="C209" t="s">
        <v>1361</v>
      </c>
      <c r="D209" t="s">
        <v>964</v>
      </c>
      <c r="E209" t="s">
        <v>760</v>
      </c>
      <c r="I209" t="s">
        <v>500</v>
      </c>
    </row>
    <row r="210" spans="1:9">
      <c r="A210" t="s">
        <v>1362</v>
      </c>
      <c r="B210" s="18">
        <v>2051047514</v>
      </c>
      <c r="C210" t="s">
        <v>1363</v>
      </c>
      <c r="D210" t="s">
        <v>1364</v>
      </c>
      <c r="E210" t="s">
        <v>760</v>
      </c>
      <c r="I210" t="s">
        <v>500</v>
      </c>
    </row>
    <row r="211" spans="1:9">
      <c r="A211" t="s">
        <v>1365</v>
      </c>
      <c r="B211" s="18">
        <v>2051067140</v>
      </c>
      <c r="C211" t="s">
        <v>1366</v>
      </c>
      <c r="D211" t="s">
        <v>1260</v>
      </c>
      <c r="E211" t="s">
        <v>760</v>
      </c>
      <c r="I211" t="s">
        <v>500</v>
      </c>
    </row>
    <row r="212" spans="1:9">
      <c r="A212" t="s">
        <v>1367</v>
      </c>
      <c r="B212" s="18">
        <v>2051077590</v>
      </c>
      <c r="C212" t="s">
        <v>1368</v>
      </c>
      <c r="D212" t="s">
        <v>1369</v>
      </c>
      <c r="E212" t="s">
        <v>760</v>
      </c>
      <c r="I212" t="s">
        <v>500</v>
      </c>
    </row>
    <row r="213" spans="1:9">
      <c r="A213" t="s">
        <v>1370</v>
      </c>
      <c r="B213" s="18">
        <v>2051117601</v>
      </c>
      <c r="C213" t="s">
        <v>1371</v>
      </c>
      <c r="D213" t="s">
        <v>944</v>
      </c>
      <c r="E213" t="s">
        <v>760</v>
      </c>
      <c r="I213" t="s">
        <v>500</v>
      </c>
    </row>
    <row r="214" spans="1:9">
      <c r="A214" t="s">
        <v>1372</v>
      </c>
      <c r="B214" s="18">
        <v>2051067546</v>
      </c>
      <c r="C214" t="s">
        <v>1373</v>
      </c>
      <c r="D214" t="s">
        <v>1374</v>
      </c>
      <c r="E214" t="s">
        <v>760</v>
      </c>
      <c r="I214" t="s">
        <v>500</v>
      </c>
    </row>
    <row r="215" spans="1:9">
      <c r="A215" t="s">
        <v>1375</v>
      </c>
      <c r="B215" s="18">
        <v>2051067143</v>
      </c>
      <c r="C215" t="s">
        <v>1376</v>
      </c>
      <c r="D215" t="s">
        <v>888</v>
      </c>
      <c r="E215" t="s">
        <v>760</v>
      </c>
      <c r="I215" t="s">
        <v>500</v>
      </c>
    </row>
    <row r="216" spans="1:9">
      <c r="A216" t="s">
        <v>1377</v>
      </c>
      <c r="B216" s="18">
        <v>2051067144</v>
      </c>
      <c r="C216" t="s">
        <v>1378</v>
      </c>
      <c r="D216" t="s">
        <v>767</v>
      </c>
      <c r="E216" t="s">
        <v>760</v>
      </c>
      <c r="I216" t="s">
        <v>500</v>
      </c>
    </row>
    <row r="217" spans="1:9">
      <c r="A217" t="s">
        <v>1379</v>
      </c>
      <c r="B217" s="18">
        <v>2051067145</v>
      </c>
      <c r="C217" t="s">
        <v>1380</v>
      </c>
      <c r="D217" t="s">
        <v>1381</v>
      </c>
      <c r="E217" t="s">
        <v>760</v>
      </c>
      <c r="I217" t="s">
        <v>500</v>
      </c>
    </row>
    <row r="218" spans="1:9">
      <c r="A218" t="s">
        <v>1382</v>
      </c>
      <c r="B218" s="18">
        <v>2051067147</v>
      </c>
      <c r="C218" t="s">
        <v>1383</v>
      </c>
      <c r="D218" t="s">
        <v>1384</v>
      </c>
      <c r="E218" t="s">
        <v>760</v>
      </c>
      <c r="I218" t="s">
        <v>500</v>
      </c>
    </row>
    <row r="219" spans="1:9">
      <c r="A219" t="s">
        <v>1385</v>
      </c>
      <c r="B219" s="18">
        <v>2051067150</v>
      </c>
      <c r="C219" t="s">
        <v>1386</v>
      </c>
      <c r="D219" t="s">
        <v>831</v>
      </c>
      <c r="E219" t="s">
        <v>765</v>
      </c>
      <c r="I219" t="s">
        <v>500</v>
      </c>
    </row>
    <row r="220" spans="1:9">
      <c r="A220" t="s">
        <v>1387</v>
      </c>
      <c r="B220" s="18">
        <v>2051067555</v>
      </c>
      <c r="C220" t="s">
        <v>1388</v>
      </c>
      <c r="D220" t="s">
        <v>1324</v>
      </c>
      <c r="E220" t="s">
        <v>760</v>
      </c>
      <c r="I220" t="s">
        <v>500</v>
      </c>
    </row>
    <row r="221" spans="1:9">
      <c r="A221" t="s">
        <v>1389</v>
      </c>
      <c r="B221" s="18">
        <v>2051067158</v>
      </c>
      <c r="C221" t="s">
        <v>1390</v>
      </c>
      <c r="D221" t="s">
        <v>895</v>
      </c>
      <c r="E221" t="s">
        <v>760</v>
      </c>
      <c r="I221" t="s">
        <v>500</v>
      </c>
    </row>
    <row r="222" spans="1:9">
      <c r="A222" t="s">
        <v>1391</v>
      </c>
      <c r="B222" s="18">
        <v>2051067561</v>
      </c>
      <c r="C222" t="s">
        <v>1392</v>
      </c>
      <c r="D222" t="s">
        <v>1393</v>
      </c>
      <c r="E222" t="s">
        <v>760</v>
      </c>
      <c r="I222" t="s">
        <v>500</v>
      </c>
    </row>
    <row r="223" spans="1:9">
      <c r="A223" t="s">
        <v>1394</v>
      </c>
      <c r="B223" s="18">
        <v>2051067165</v>
      </c>
      <c r="C223" t="s">
        <v>1395</v>
      </c>
      <c r="D223" t="s">
        <v>1396</v>
      </c>
      <c r="E223" t="s">
        <v>765</v>
      </c>
      <c r="I223" t="s">
        <v>500</v>
      </c>
    </row>
    <row r="224" spans="1:9">
      <c r="A224" t="s">
        <v>1397</v>
      </c>
      <c r="B224" s="18">
        <v>2051067184</v>
      </c>
      <c r="C224" t="s">
        <v>1398</v>
      </c>
      <c r="D224" t="s">
        <v>1399</v>
      </c>
      <c r="E224" t="s">
        <v>760</v>
      </c>
      <c r="I224" t="s">
        <v>500</v>
      </c>
    </row>
    <row r="225" spans="1:9">
      <c r="A225" t="s">
        <v>1400</v>
      </c>
      <c r="B225" s="18">
        <v>2051067200</v>
      </c>
      <c r="C225" t="s">
        <v>1401</v>
      </c>
      <c r="D225" t="s">
        <v>1402</v>
      </c>
      <c r="E225" t="s">
        <v>760</v>
      </c>
      <c r="I225" t="s">
        <v>500</v>
      </c>
    </row>
    <row r="226" spans="1:9">
      <c r="A226" t="s">
        <v>1403</v>
      </c>
      <c r="B226" s="18">
        <v>2051067567</v>
      </c>
      <c r="C226" t="s">
        <v>1404</v>
      </c>
      <c r="D226" t="s">
        <v>1405</v>
      </c>
      <c r="E226" t="s">
        <v>760</v>
      </c>
      <c r="I226" t="s">
        <v>500</v>
      </c>
    </row>
    <row r="227" spans="1:9">
      <c r="A227" t="s">
        <v>1406</v>
      </c>
      <c r="B227" s="18">
        <v>2051067203</v>
      </c>
      <c r="C227" t="s">
        <v>1407</v>
      </c>
      <c r="D227" t="s">
        <v>974</v>
      </c>
      <c r="E227" t="s">
        <v>765</v>
      </c>
      <c r="I227" t="s">
        <v>500</v>
      </c>
    </row>
    <row r="228" spans="1:9">
      <c r="A228" t="s">
        <v>1408</v>
      </c>
      <c r="B228" s="18">
        <v>2051067541</v>
      </c>
      <c r="C228" t="s">
        <v>1409</v>
      </c>
      <c r="D228" t="s">
        <v>1410</v>
      </c>
      <c r="E228" t="s">
        <v>760</v>
      </c>
      <c r="I228" t="s">
        <v>500</v>
      </c>
    </row>
    <row r="229" spans="1:9">
      <c r="A229" t="s">
        <v>1411</v>
      </c>
      <c r="B229" s="18">
        <v>2051067214</v>
      </c>
      <c r="C229" t="s">
        <v>1412</v>
      </c>
      <c r="D229" t="s">
        <v>1413</v>
      </c>
      <c r="E229" t="s">
        <v>760</v>
      </c>
      <c r="I229" t="s">
        <v>500</v>
      </c>
    </row>
    <row r="230" spans="1:9">
      <c r="A230" t="s">
        <v>1414</v>
      </c>
      <c r="B230" s="18">
        <v>2051067217</v>
      </c>
      <c r="C230" t="s">
        <v>1415</v>
      </c>
      <c r="D230" t="s">
        <v>1416</v>
      </c>
      <c r="E230" t="s">
        <v>760</v>
      </c>
      <c r="I230" t="s">
        <v>500</v>
      </c>
    </row>
    <row r="231" spans="1:9">
      <c r="A231" t="s">
        <v>1417</v>
      </c>
      <c r="B231" s="18">
        <v>2051067228</v>
      </c>
      <c r="C231" t="s">
        <v>1418</v>
      </c>
      <c r="D231" t="s">
        <v>1279</v>
      </c>
      <c r="E231" t="s">
        <v>760</v>
      </c>
      <c r="I231" t="s">
        <v>500</v>
      </c>
    </row>
    <row r="232" spans="1:9">
      <c r="A232" t="s">
        <v>1419</v>
      </c>
      <c r="B232" s="18">
        <v>2051067230</v>
      </c>
      <c r="C232" t="s">
        <v>1420</v>
      </c>
      <c r="D232" t="s">
        <v>850</v>
      </c>
      <c r="E232" t="s">
        <v>760</v>
      </c>
      <c r="I232" t="s">
        <v>500</v>
      </c>
    </row>
    <row r="233" spans="1:9">
      <c r="A233" t="s">
        <v>1421</v>
      </c>
      <c r="B233" s="18">
        <v>2051067231</v>
      </c>
      <c r="C233" t="s">
        <v>205</v>
      </c>
      <c r="D233" t="s">
        <v>986</v>
      </c>
      <c r="E233" t="s">
        <v>760</v>
      </c>
      <c r="I233" t="s">
        <v>500</v>
      </c>
    </row>
    <row r="234" spans="1:9">
      <c r="A234" t="s">
        <v>1422</v>
      </c>
      <c r="B234" s="18">
        <v>2051067234</v>
      </c>
      <c r="C234" t="s">
        <v>1423</v>
      </c>
      <c r="D234" t="s">
        <v>1424</v>
      </c>
      <c r="E234" t="s">
        <v>765</v>
      </c>
      <c r="I234" t="s">
        <v>500</v>
      </c>
    </row>
    <row r="235" spans="1:9">
      <c r="A235" t="s">
        <v>1425</v>
      </c>
      <c r="B235" s="18">
        <v>2051067236</v>
      </c>
      <c r="C235" t="s">
        <v>1426</v>
      </c>
      <c r="D235" t="s">
        <v>1427</v>
      </c>
      <c r="E235" t="s">
        <v>760</v>
      </c>
      <c r="I235" t="s">
        <v>500</v>
      </c>
    </row>
    <row r="236" spans="1:9">
      <c r="A236" t="s">
        <v>1428</v>
      </c>
      <c r="B236" s="18">
        <v>2051067237</v>
      </c>
      <c r="C236" t="s">
        <v>1429</v>
      </c>
      <c r="D236" t="s">
        <v>1430</v>
      </c>
      <c r="E236" t="s">
        <v>760</v>
      </c>
      <c r="I236" t="s">
        <v>500</v>
      </c>
    </row>
    <row r="237" spans="1:9">
      <c r="A237" t="s">
        <v>1431</v>
      </c>
      <c r="B237" s="18">
        <v>2051067239</v>
      </c>
      <c r="C237" t="s">
        <v>1432</v>
      </c>
      <c r="D237" t="s">
        <v>1433</v>
      </c>
      <c r="E237" t="s">
        <v>765</v>
      </c>
      <c r="I237" t="s">
        <v>500</v>
      </c>
    </row>
    <row r="238" spans="1:9">
      <c r="A238" t="s">
        <v>1434</v>
      </c>
      <c r="B238" s="18">
        <v>2051067250</v>
      </c>
      <c r="C238" t="s">
        <v>1435</v>
      </c>
      <c r="D238" t="s">
        <v>1436</v>
      </c>
      <c r="E238" t="s">
        <v>760</v>
      </c>
      <c r="I238" t="s">
        <v>500</v>
      </c>
    </row>
    <row r="239" spans="1:9">
      <c r="A239" t="s">
        <v>1437</v>
      </c>
      <c r="B239" s="18">
        <v>2051067519</v>
      </c>
      <c r="C239" t="s">
        <v>1438</v>
      </c>
      <c r="D239" t="s">
        <v>1439</v>
      </c>
      <c r="E239" t="s">
        <v>760</v>
      </c>
      <c r="I239" t="s">
        <v>500</v>
      </c>
    </row>
    <row r="240" spans="1:9">
      <c r="A240" t="s">
        <v>1440</v>
      </c>
      <c r="B240" s="18">
        <v>2051067520</v>
      </c>
      <c r="C240" t="s">
        <v>1441</v>
      </c>
      <c r="D240" t="s">
        <v>1442</v>
      </c>
      <c r="E240" t="s">
        <v>760</v>
      </c>
      <c r="I240" t="s">
        <v>500</v>
      </c>
    </row>
    <row r="241" spans="1:9">
      <c r="A241" t="s">
        <v>1443</v>
      </c>
      <c r="B241" s="18">
        <v>2051067521</v>
      </c>
      <c r="C241" t="s">
        <v>197</v>
      </c>
      <c r="D241" t="s">
        <v>1444</v>
      </c>
      <c r="E241" t="s">
        <v>760</v>
      </c>
      <c r="I241" t="s">
        <v>500</v>
      </c>
    </row>
    <row r="242" spans="1:9">
      <c r="A242" t="s">
        <v>1445</v>
      </c>
      <c r="B242" s="18">
        <v>2051067522</v>
      </c>
      <c r="C242" t="s">
        <v>252</v>
      </c>
      <c r="D242" t="s">
        <v>873</v>
      </c>
      <c r="E242" t="s">
        <v>760</v>
      </c>
      <c r="I242" t="s">
        <v>500</v>
      </c>
    </row>
    <row r="243" spans="1:9">
      <c r="A243" t="s">
        <v>1446</v>
      </c>
      <c r="B243" s="18">
        <v>2051067523</v>
      </c>
      <c r="C243" t="s">
        <v>1447</v>
      </c>
      <c r="D243" t="s">
        <v>1040</v>
      </c>
      <c r="E243" t="s">
        <v>760</v>
      </c>
      <c r="I243" t="s">
        <v>500</v>
      </c>
    </row>
    <row r="244" spans="1:9">
      <c r="A244" t="s">
        <v>1448</v>
      </c>
      <c r="B244" s="18">
        <v>2051067524</v>
      </c>
      <c r="C244" t="s">
        <v>1449</v>
      </c>
      <c r="D244" t="s">
        <v>1450</v>
      </c>
      <c r="E244" t="s">
        <v>760</v>
      </c>
      <c r="I244" t="s">
        <v>500</v>
      </c>
    </row>
    <row r="245" spans="1:9">
      <c r="A245" t="s">
        <v>1451</v>
      </c>
      <c r="B245" s="18">
        <v>2051067525</v>
      </c>
      <c r="C245" t="s">
        <v>1452</v>
      </c>
      <c r="D245" t="s">
        <v>1453</v>
      </c>
      <c r="E245" t="s">
        <v>765</v>
      </c>
      <c r="I245" t="s">
        <v>500</v>
      </c>
    </row>
    <row r="246" spans="1:9">
      <c r="A246" t="s">
        <v>1454</v>
      </c>
      <c r="B246" s="18">
        <v>2051067526</v>
      </c>
      <c r="C246" t="s">
        <v>1455</v>
      </c>
      <c r="D246" t="s">
        <v>1456</v>
      </c>
      <c r="E246" t="s">
        <v>765</v>
      </c>
      <c r="I246" t="s">
        <v>500</v>
      </c>
    </row>
    <row r="247" spans="1:9">
      <c r="A247" t="s">
        <v>1457</v>
      </c>
      <c r="B247" s="18">
        <v>2051067527</v>
      </c>
      <c r="C247" t="s">
        <v>1458</v>
      </c>
      <c r="D247" t="s">
        <v>1099</v>
      </c>
      <c r="E247" t="s">
        <v>760</v>
      </c>
      <c r="I247" t="s">
        <v>500</v>
      </c>
    </row>
    <row r="248" spans="1:9">
      <c r="A248" t="s">
        <v>1459</v>
      </c>
      <c r="B248" s="18">
        <v>2051067528</v>
      </c>
      <c r="C248" t="s">
        <v>1460</v>
      </c>
      <c r="D248" t="s">
        <v>1461</v>
      </c>
      <c r="E248" t="s">
        <v>760</v>
      </c>
      <c r="I248" t="s">
        <v>500</v>
      </c>
    </row>
    <row r="249" spans="1:9">
      <c r="A249" t="s">
        <v>1462</v>
      </c>
      <c r="B249" s="18">
        <v>2051067529</v>
      </c>
      <c r="C249" t="s">
        <v>1463</v>
      </c>
      <c r="D249" t="s">
        <v>1464</v>
      </c>
      <c r="E249" t="s">
        <v>760</v>
      </c>
      <c r="I249" t="s">
        <v>500</v>
      </c>
    </row>
    <row r="250" spans="1:9">
      <c r="A250" t="s">
        <v>1465</v>
      </c>
      <c r="B250" s="18">
        <v>2051067532</v>
      </c>
      <c r="C250" t="s">
        <v>1466</v>
      </c>
      <c r="D250" t="s">
        <v>1320</v>
      </c>
      <c r="E250" t="s">
        <v>760</v>
      </c>
      <c r="I250" t="s">
        <v>500</v>
      </c>
    </row>
    <row r="251" spans="1:9">
      <c r="A251" t="s">
        <v>1467</v>
      </c>
      <c r="B251" s="18">
        <v>2051067533</v>
      </c>
      <c r="C251" t="s">
        <v>1468</v>
      </c>
      <c r="D251" t="s">
        <v>1469</v>
      </c>
      <c r="E251" t="s">
        <v>760</v>
      </c>
      <c r="I251" t="s">
        <v>500</v>
      </c>
    </row>
    <row r="252" spans="1:9">
      <c r="A252" t="s">
        <v>1470</v>
      </c>
      <c r="B252" s="18">
        <v>2051067534</v>
      </c>
      <c r="C252" t="s">
        <v>1471</v>
      </c>
      <c r="D252" t="s">
        <v>1472</v>
      </c>
      <c r="E252" t="s">
        <v>760</v>
      </c>
      <c r="I252" t="s">
        <v>500</v>
      </c>
    </row>
    <row r="253" spans="1:9">
      <c r="A253" t="s">
        <v>1473</v>
      </c>
      <c r="B253" s="18">
        <v>2051067535</v>
      </c>
      <c r="C253" t="s">
        <v>1474</v>
      </c>
      <c r="D253" t="s">
        <v>1475</v>
      </c>
      <c r="E253" t="s">
        <v>760</v>
      </c>
      <c r="I253" t="s">
        <v>500</v>
      </c>
    </row>
    <row r="254" spans="1:9">
      <c r="A254" t="s">
        <v>1476</v>
      </c>
      <c r="B254" s="18">
        <v>2051067536</v>
      </c>
      <c r="C254" t="s">
        <v>1477</v>
      </c>
      <c r="D254" t="s">
        <v>1478</v>
      </c>
      <c r="E254" t="s">
        <v>760</v>
      </c>
      <c r="I254" t="s">
        <v>500</v>
      </c>
    </row>
    <row r="255" spans="1:9">
      <c r="A255" t="s">
        <v>1479</v>
      </c>
      <c r="B255" s="18">
        <v>2051067538</v>
      </c>
      <c r="C255" t="s">
        <v>192</v>
      </c>
      <c r="D255" t="s">
        <v>1159</v>
      </c>
      <c r="E255" t="s">
        <v>760</v>
      </c>
      <c r="I255" t="s">
        <v>500</v>
      </c>
    </row>
    <row r="256" spans="1:9">
      <c r="A256" t="s">
        <v>1480</v>
      </c>
      <c r="B256" s="18">
        <v>2051067539</v>
      </c>
      <c r="C256" t="s">
        <v>1481</v>
      </c>
      <c r="D256" t="s">
        <v>1482</v>
      </c>
      <c r="E256" t="s">
        <v>760</v>
      </c>
      <c r="I256" t="s">
        <v>500</v>
      </c>
    </row>
    <row r="257" spans="1:9">
      <c r="A257" t="s">
        <v>1483</v>
      </c>
      <c r="B257" s="18">
        <v>2051067540</v>
      </c>
      <c r="C257" t="s">
        <v>1484</v>
      </c>
      <c r="D257" t="s">
        <v>983</v>
      </c>
      <c r="E257" t="s">
        <v>760</v>
      </c>
      <c r="I257" t="s">
        <v>500</v>
      </c>
    </row>
    <row r="258" spans="1:9">
      <c r="A258" t="s">
        <v>1485</v>
      </c>
      <c r="B258" s="18">
        <v>2051067542</v>
      </c>
      <c r="C258" t="s">
        <v>1486</v>
      </c>
      <c r="D258" t="s">
        <v>1456</v>
      </c>
      <c r="E258" t="s">
        <v>760</v>
      </c>
      <c r="I258" t="s">
        <v>500</v>
      </c>
    </row>
    <row r="259" spans="1:9">
      <c r="A259" t="s">
        <v>1487</v>
      </c>
      <c r="B259" s="18">
        <v>2051067547</v>
      </c>
      <c r="C259" t="s">
        <v>1488</v>
      </c>
      <c r="D259" t="s">
        <v>1220</v>
      </c>
      <c r="E259" t="s">
        <v>760</v>
      </c>
      <c r="I259" t="s">
        <v>500</v>
      </c>
    </row>
    <row r="260" spans="1:9">
      <c r="A260" t="s">
        <v>1489</v>
      </c>
      <c r="B260" s="18">
        <v>2051067548</v>
      </c>
      <c r="C260" t="s">
        <v>1490</v>
      </c>
      <c r="D260" t="s">
        <v>1491</v>
      </c>
      <c r="E260" t="s">
        <v>760</v>
      </c>
      <c r="I260" t="s">
        <v>500</v>
      </c>
    </row>
    <row r="261" spans="1:9">
      <c r="A261" t="s">
        <v>1492</v>
      </c>
      <c r="B261" s="18">
        <v>2051067550</v>
      </c>
      <c r="C261" t="s">
        <v>1493</v>
      </c>
      <c r="D261" t="s">
        <v>1494</v>
      </c>
      <c r="E261" t="s">
        <v>760</v>
      </c>
      <c r="I261" t="s">
        <v>500</v>
      </c>
    </row>
    <row r="262" spans="1:9">
      <c r="A262" t="s">
        <v>1495</v>
      </c>
      <c r="B262" s="18">
        <v>2051067551</v>
      </c>
      <c r="C262" t="s">
        <v>1496</v>
      </c>
      <c r="D262" t="s">
        <v>1497</v>
      </c>
      <c r="E262" t="s">
        <v>760</v>
      </c>
      <c r="I262" t="s">
        <v>500</v>
      </c>
    </row>
    <row r="263" spans="1:9">
      <c r="A263" t="s">
        <v>1498</v>
      </c>
      <c r="B263" s="18">
        <v>2051067552</v>
      </c>
      <c r="C263" t="s">
        <v>1499</v>
      </c>
      <c r="D263" t="s">
        <v>1500</v>
      </c>
      <c r="E263" t="s">
        <v>760</v>
      </c>
      <c r="I263" t="s">
        <v>500</v>
      </c>
    </row>
    <row r="264" spans="1:9">
      <c r="A264" t="s">
        <v>1501</v>
      </c>
      <c r="B264" s="18">
        <v>2051067556</v>
      </c>
      <c r="C264" t="s">
        <v>1502</v>
      </c>
      <c r="D264" t="s">
        <v>1503</v>
      </c>
      <c r="E264" t="s">
        <v>760</v>
      </c>
      <c r="I264" t="s">
        <v>500</v>
      </c>
    </row>
    <row r="265" spans="1:9">
      <c r="A265" t="s">
        <v>1504</v>
      </c>
      <c r="B265" s="18">
        <v>2051067557</v>
      </c>
      <c r="C265" t="s">
        <v>1505</v>
      </c>
      <c r="D265" t="s">
        <v>933</v>
      </c>
      <c r="E265" t="s">
        <v>760</v>
      </c>
      <c r="I265" t="s">
        <v>500</v>
      </c>
    </row>
    <row r="266" spans="1:9">
      <c r="A266" t="s">
        <v>1506</v>
      </c>
      <c r="B266" s="18">
        <v>2051067559</v>
      </c>
      <c r="C266" t="s">
        <v>1507</v>
      </c>
      <c r="D266" t="s">
        <v>1352</v>
      </c>
      <c r="E266" t="s">
        <v>760</v>
      </c>
      <c r="I266" t="s">
        <v>500</v>
      </c>
    </row>
    <row r="267" spans="1:9">
      <c r="A267" t="s">
        <v>1508</v>
      </c>
      <c r="B267" s="18">
        <v>2051067560</v>
      </c>
      <c r="C267" t="s">
        <v>1509</v>
      </c>
      <c r="D267" t="s">
        <v>1279</v>
      </c>
      <c r="E267" t="s">
        <v>760</v>
      </c>
      <c r="I267" t="s">
        <v>500</v>
      </c>
    </row>
    <row r="268" spans="1:9">
      <c r="A268" t="s">
        <v>1510</v>
      </c>
      <c r="B268" s="18">
        <v>2051067563</v>
      </c>
      <c r="C268" t="s">
        <v>1511</v>
      </c>
      <c r="D268" t="s">
        <v>1512</v>
      </c>
      <c r="E268" t="s">
        <v>760</v>
      </c>
      <c r="I268" t="s">
        <v>500</v>
      </c>
    </row>
    <row r="269" spans="1:9">
      <c r="A269" t="s">
        <v>1513</v>
      </c>
      <c r="B269" s="18">
        <v>2051067569</v>
      </c>
      <c r="C269" t="s">
        <v>1514</v>
      </c>
      <c r="D269" t="s">
        <v>1369</v>
      </c>
      <c r="E269" t="s">
        <v>760</v>
      </c>
      <c r="I269" t="s">
        <v>500</v>
      </c>
    </row>
    <row r="270" spans="1:9">
      <c r="A270" t="s">
        <v>1515</v>
      </c>
      <c r="B270" s="18">
        <v>2051067570</v>
      </c>
      <c r="C270" t="s">
        <v>1516</v>
      </c>
      <c r="D270" t="s">
        <v>1517</v>
      </c>
      <c r="E270" t="s">
        <v>760</v>
      </c>
      <c r="I270" t="s">
        <v>500</v>
      </c>
    </row>
    <row r="271" spans="1:9">
      <c r="A271" t="s">
        <v>1518</v>
      </c>
      <c r="B271" s="18">
        <v>2051067571</v>
      </c>
      <c r="C271" t="s">
        <v>254</v>
      </c>
      <c r="D271" t="s">
        <v>1070</v>
      </c>
      <c r="E271" t="s">
        <v>760</v>
      </c>
      <c r="I271" t="s">
        <v>500</v>
      </c>
    </row>
    <row r="272" spans="1:9">
      <c r="A272" t="s">
        <v>1519</v>
      </c>
      <c r="B272" s="18">
        <v>2051067572</v>
      </c>
      <c r="C272" t="s">
        <v>1520</v>
      </c>
      <c r="D272" t="s">
        <v>1521</v>
      </c>
      <c r="E272" t="s">
        <v>760</v>
      </c>
      <c r="I272" t="s">
        <v>500</v>
      </c>
    </row>
    <row r="273" spans="1:9">
      <c r="A273" t="s">
        <v>1522</v>
      </c>
      <c r="B273" s="18">
        <v>2051067574</v>
      </c>
      <c r="C273" t="s">
        <v>1523</v>
      </c>
      <c r="D273" t="s">
        <v>1524</v>
      </c>
      <c r="E273" t="s">
        <v>765</v>
      </c>
      <c r="I273" t="s">
        <v>500</v>
      </c>
    </row>
    <row r="274" spans="1:9">
      <c r="A274" t="s">
        <v>1525</v>
      </c>
      <c r="B274" s="18">
        <v>2051067575</v>
      </c>
      <c r="C274" t="s">
        <v>1526</v>
      </c>
      <c r="D274" t="s">
        <v>1527</v>
      </c>
      <c r="E274" t="s">
        <v>760</v>
      </c>
      <c r="I274" t="s">
        <v>500</v>
      </c>
    </row>
    <row r="275" spans="1:9">
      <c r="A275" t="s">
        <v>1528</v>
      </c>
      <c r="B275" s="18">
        <v>2051067576</v>
      </c>
      <c r="C275" t="s">
        <v>1529</v>
      </c>
      <c r="D275" t="s">
        <v>1530</v>
      </c>
      <c r="E275" t="s">
        <v>760</v>
      </c>
      <c r="I275" t="s">
        <v>500</v>
      </c>
    </row>
    <row r="276" spans="1:9">
      <c r="A276" t="s">
        <v>1531</v>
      </c>
      <c r="B276" s="18">
        <v>2051067582</v>
      </c>
      <c r="C276" t="s">
        <v>1532</v>
      </c>
      <c r="D276" t="s">
        <v>1533</v>
      </c>
      <c r="E276" t="s">
        <v>760</v>
      </c>
      <c r="I276" t="s">
        <v>500</v>
      </c>
    </row>
    <row r="277" spans="1:9">
      <c r="A277" t="s">
        <v>1534</v>
      </c>
      <c r="B277" s="18">
        <v>2051067583</v>
      </c>
      <c r="C277" t="s">
        <v>1535</v>
      </c>
      <c r="D277" t="s">
        <v>1536</v>
      </c>
      <c r="E277" t="s">
        <v>760</v>
      </c>
      <c r="I277" t="s">
        <v>500</v>
      </c>
    </row>
    <row r="278" spans="1:9">
      <c r="A278" t="s">
        <v>1537</v>
      </c>
      <c r="B278" s="18">
        <v>2054027642</v>
      </c>
      <c r="C278" t="s">
        <v>1538</v>
      </c>
      <c r="D278" t="s">
        <v>1478</v>
      </c>
      <c r="E278" t="s">
        <v>765</v>
      </c>
      <c r="I278" t="s">
        <v>500</v>
      </c>
    </row>
    <row r="279" spans="1:9">
      <c r="A279" t="s">
        <v>1539</v>
      </c>
      <c r="B279" s="18">
        <v>2054037481</v>
      </c>
      <c r="C279" t="s">
        <v>1540</v>
      </c>
      <c r="D279" t="s">
        <v>1384</v>
      </c>
      <c r="E279" t="s">
        <v>765</v>
      </c>
      <c r="I279" t="s">
        <v>500</v>
      </c>
    </row>
    <row r="280" spans="1:9">
      <c r="A280" t="s">
        <v>1541</v>
      </c>
      <c r="B280" s="18">
        <v>2051077594</v>
      </c>
      <c r="C280" t="s">
        <v>1542</v>
      </c>
      <c r="D280" t="s">
        <v>1543</v>
      </c>
      <c r="E280" t="s">
        <v>760</v>
      </c>
      <c r="I280" t="s">
        <v>500</v>
      </c>
    </row>
    <row r="281" spans="1:9">
      <c r="A281" t="s">
        <v>1544</v>
      </c>
      <c r="B281" s="18">
        <v>2051077262</v>
      </c>
      <c r="C281" t="s">
        <v>1545</v>
      </c>
      <c r="D281" t="s">
        <v>1546</v>
      </c>
      <c r="E281" t="s">
        <v>760</v>
      </c>
      <c r="I281" t="s">
        <v>500</v>
      </c>
    </row>
    <row r="282" spans="1:9">
      <c r="A282" t="s">
        <v>1547</v>
      </c>
      <c r="B282" s="18">
        <v>2051077263</v>
      </c>
      <c r="C282" t="s">
        <v>1548</v>
      </c>
      <c r="D282" t="s">
        <v>986</v>
      </c>
      <c r="E282" t="s">
        <v>760</v>
      </c>
      <c r="I282" t="s">
        <v>500</v>
      </c>
    </row>
    <row r="283" spans="1:9">
      <c r="A283" t="s">
        <v>1549</v>
      </c>
      <c r="B283" s="18">
        <v>2051077264</v>
      </c>
      <c r="C283" t="s">
        <v>1550</v>
      </c>
      <c r="D283" t="s">
        <v>1551</v>
      </c>
      <c r="E283" t="s">
        <v>760</v>
      </c>
      <c r="I283" t="s">
        <v>500</v>
      </c>
    </row>
    <row r="284" spans="1:9">
      <c r="A284" t="s">
        <v>1552</v>
      </c>
      <c r="B284" s="18">
        <v>2051077265</v>
      </c>
      <c r="C284" t="s">
        <v>1553</v>
      </c>
      <c r="D284" t="s">
        <v>834</v>
      </c>
      <c r="E284" t="s">
        <v>760</v>
      </c>
      <c r="I284" t="s">
        <v>500</v>
      </c>
    </row>
    <row r="285" spans="1:9">
      <c r="A285" t="s">
        <v>1554</v>
      </c>
      <c r="B285" s="18">
        <v>2051077267</v>
      </c>
      <c r="C285" t="s">
        <v>1555</v>
      </c>
      <c r="D285" t="s">
        <v>1556</v>
      </c>
      <c r="E285" t="s">
        <v>760</v>
      </c>
      <c r="I285" t="s">
        <v>500</v>
      </c>
    </row>
    <row r="286" spans="1:9">
      <c r="A286" t="s">
        <v>1557</v>
      </c>
      <c r="B286" s="18">
        <v>2051077268</v>
      </c>
      <c r="C286" t="s">
        <v>1558</v>
      </c>
      <c r="D286" t="s">
        <v>1559</v>
      </c>
      <c r="E286" t="s">
        <v>765</v>
      </c>
      <c r="I286" t="s">
        <v>500</v>
      </c>
    </row>
    <row r="287" spans="1:9">
      <c r="A287" t="s">
        <v>1560</v>
      </c>
      <c r="B287" s="18">
        <v>2051077269</v>
      </c>
      <c r="C287" t="s">
        <v>1561</v>
      </c>
      <c r="D287" t="s">
        <v>1311</v>
      </c>
      <c r="E287" t="s">
        <v>760</v>
      </c>
      <c r="I287" t="s">
        <v>500</v>
      </c>
    </row>
    <row r="288" spans="1:9">
      <c r="A288" t="s">
        <v>1562</v>
      </c>
      <c r="B288" s="18">
        <v>2051077270</v>
      </c>
      <c r="C288" t="s">
        <v>1563</v>
      </c>
      <c r="D288" t="s">
        <v>1564</v>
      </c>
      <c r="E288" t="s">
        <v>765</v>
      </c>
      <c r="I288" t="s">
        <v>500</v>
      </c>
    </row>
    <row r="289" spans="1:9">
      <c r="A289" t="s">
        <v>1565</v>
      </c>
      <c r="B289" s="18">
        <v>2051077271</v>
      </c>
      <c r="C289" t="s">
        <v>1566</v>
      </c>
      <c r="D289" t="s">
        <v>779</v>
      </c>
      <c r="E289" t="s">
        <v>765</v>
      </c>
      <c r="I289" t="s">
        <v>500</v>
      </c>
    </row>
    <row r="290" spans="1:9">
      <c r="A290" t="s">
        <v>1567</v>
      </c>
      <c r="B290" s="18">
        <v>2051077272</v>
      </c>
      <c r="C290" t="s">
        <v>1568</v>
      </c>
      <c r="D290" t="s">
        <v>1569</v>
      </c>
      <c r="E290" t="s">
        <v>765</v>
      </c>
      <c r="I290" t="s">
        <v>500</v>
      </c>
    </row>
    <row r="291" spans="1:9">
      <c r="A291" t="s">
        <v>1570</v>
      </c>
      <c r="B291" s="18">
        <v>2051077273</v>
      </c>
      <c r="C291" t="s">
        <v>1571</v>
      </c>
      <c r="D291" t="s">
        <v>1572</v>
      </c>
      <c r="E291" t="s">
        <v>760</v>
      </c>
      <c r="I291" t="s">
        <v>500</v>
      </c>
    </row>
    <row r="292" spans="1:9">
      <c r="A292" t="s">
        <v>1573</v>
      </c>
      <c r="B292" s="18">
        <v>2051077584</v>
      </c>
      <c r="C292" t="s">
        <v>1574</v>
      </c>
      <c r="D292" t="s">
        <v>1575</v>
      </c>
      <c r="E292" t="s">
        <v>765</v>
      </c>
      <c r="I292" t="s">
        <v>500</v>
      </c>
    </row>
    <row r="293" spans="1:9">
      <c r="A293" t="s">
        <v>1576</v>
      </c>
      <c r="B293" s="18">
        <v>2051077589</v>
      </c>
      <c r="C293" t="s">
        <v>1577</v>
      </c>
      <c r="D293" t="s">
        <v>1578</v>
      </c>
      <c r="E293" t="s">
        <v>760</v>
      </c>
      <c r="I293" t="s">
        <v>500</v>
      </c>
    </row>
    <row r="294" spans="1:9">
      <c r="A294" t="s">
        <v>1579</v>
      </c>
      <c r="B294" s="18">
        <v>2051077591</v>
      </c>
      <c r="C294" t="s">
        <v>1580</v>
      </c>
      <c r="D294" t="s">
        <v>1581</v>
      </c>
      <c r="E294" t="s">
        <v>765</v>
      </c>
      <c r="I294" t="s">
        <v>500</v>
      </c>
    </row>
    <row r="295" spans="1:9">
      <c r="A295" t="s">
        <v>1582</v>
      </c>
      <c r="B295" s="18">
        <v>2051077592</v>
      </c>
      <c r="C295" t="s">
        <v>284</v>
      </c>
      <c r="D295" t="s">
        <v>876</v>
      </c>
      <c r="E295" t="s">
        <v>760</v>
      </c>
      <c r="I295" t="s">
        <v>500</v>
      </c>
    </row>
    <row r="296" spans="1:9">
      <c r="A296" t="s">
        <v>1583</v>
      </c>
      <c r="B296" s="18">
        <v>2051077595</v>
      </c>
      <c r="C296" t="s">
        <v>1172</v>
      </c>
      <c r="D296" t="s">
        <v>974</v>
      </c>
      <c r="E296" t="s">
        <v>760</v>
      </c>
      <c r="I296" t="s">
        <v>500</v>
      </c>
    </row>
    <row r="297" spans="1:9">
      <c r="A297" t="s">
        <v>1584</v>
      </c>
      <c r="B297" s="18">
        <v>2051117277</v>
      </c>
      <c r="C297" t="s">
        <v>324</v>
      </c>
      <c r="D297" t="s">
        <v>1585</v>
      </c>
      <c r="E297" t="s">
        <v>760</v>
      </c>
      <c r="I297" t="s">
        <v>500</v>
      </c>
    </row>
    <row r="298" spans="1:9">
      <c r="A298" t="s">
        <v>1586</v>
      </c>
      <c r="B298" s="18">
        <v>2051117286</v>
      </c>
      <c r="C298" t="s">
        <v>1587</v>
      </c>
      <c r="D298" t="s">
        <v>1500</v>
      </c>
      <c r="E298" t="s">
        <v>760</v>
      </c>
      <c r="I298" t="s">
        <v>500</v>
      </c>
    </row>
    <row r="299" spans="1:9">
      <c r="A299" t="s">
        <v>1588</v>
      </c>
      <c r="B299" s="18">
        <v>2051117597</v>
      </c>
      <c r="C299" t="s">
        <v>1589</v>
      </c>
      <c r="D299" t="s">
        <v>1590</v>
      </c>
      <c r="E299" t="s">
        <v>760</v>
      </c>
      <c r="I299" t="s">
        <v>500</v>
      </c>
    </row>
    <row r="300" spans="1:9">
      <c r="A300" t="s">
        <v>1591</v>
      </c>
      <c r="B300" s="18">
        <v>2051117598</v>
      </c>
      <c r="C300" t="s">
        <v>1592</v>
      </c>
      <c r="D300" t="s">
        <v>1115</v>
      </c>
      <c r="E300" t="s">
        <v>765</v>
      </c>
      <c r="I300" t="s">
        <v>500</v>
      </c>
    </row>
    <row r="301" spans="1:9">
      <c r="A301" t="s">
        <v>1593</v>
      </c>
      <c r="B301" s="18">
        <v>2051117600</v>
      </c>
      <c r="C301" t="s">
        <v>1594</v>
      </c>
      <c r="D301" t="s">
        <v>1112</v>
      </c>
      <c r="E301" t="s">
        <v>760</v>
      </c>
      <c r="I301" t="s">
        <v>500</v>
      </c>
    </row>
    <row r="302" spans="1:9">
      <c r="A302" t="s">
        <v>1595</v>
      </c>
      <c r="B302" s="18">
        <v>2051117603</v>
      </c>
      <c r="C302" t="s">
        <v>462</v>
      </c>
      <c r="D302" t="s">
        <v>870</v>
      </c>
      <c r="E302" t="s">
        <v>760</v>
      </c>
      <c r="I302" t="s">
        <v>500</v>
      </c>
    </row>
    <row r="303" spans="1:9">
      <c r="A303" t="s">
        <v>1596</v>
      </c>
      <c r="B303" s="18">
        <v>2054037455</v>
      </c>
      <c r="C303" t="s">
        <v>1597</v>
      </c>
      <c r="D303" t="s">
        <v>1598</v>
      </c>
      <c r="E303" t="s">
        <v>760</v>
      </c>
      <c r="I303" t="s">
        <v>500</v>
      </c>
    </row>
    <row r="304" spans="1:9">
      <c r="A304" t="s">
        <v>1599</v>
      </c>
      <c r="B304" s="18">
        <v>2051137290</v>
      </c>
      <c r="C304" t="s">
        <v>1600</v>
      </c>
      <c r="D304" t="s">
        <v>1601</v>
      </c>
      <c r="E304" t="s">
        <v>760</v>
      </c>
      <c r="I304" t="s">
        <v>500</v>
      </c>
    </row>
    <row r="305" spans="1:9">
      <c r="A305" t="s">
        <v>1602</v>
      </c>
      <c r="B305" s="18">
        <v>2051137294</v>
      </c>
      <c r="C305" t="s">
        <v>112</v>
      </c>
      <c r="D305" t="s">
        <v>1603</v>
      </c>
      <c r="E305" t="s">
        <v>760</v>
      </c>
      <c r="I305" t="s">
        <v>500</v>
      </c>
    </row>
    <row r="306" spans="1:9">
      <c r="A306" t="s">
        <v>1604</v>
      </c>
      <c r="B306" s="18">
        <v>2051137295</v>
      </c>
      <c r="C306" t="s">
        <v>1605</v>
      </c>
      <c r="D306" t="s">
        <v>1464</v>
      </c>
      <c r="E306" t="s">
        <v>760</v>
      </c>
      <c r="I306" t="s">
        <v>500</v>
      </c>
    </row>
    <row r="307" spans="1:9">
      <c r="A307" t="s">
        <v>1606</v>
      </c>
      <c r="B307" s="18">
        <v>2051137299</v>
      </c>
      <c r="C307" t="s">
        <v>1607</v>
      </c>
      <c r="D307" t="s">
        <v>1608</v>
      </c>
      <c r="E307" t="s">
        <v>760</v>
      </c>
      <c r="I307" t="s">
        <v>500</v>
      </c>
    </row>
    <row r="308" spans="1:9">
      <c r="A308" t="s">
        <v>1609</v>
      </c>
      <c r="B308" s="18">
        <v>2051017468</v>
      </c>
      <c r="C308" t="s">
        <v>1610</v>
      </c>
      <c r="D308" t="s">
        <v>1442</v>
      </c>
      <c r="E308" t="s">
        <v>765</v>
      </c>
      <c r="I308" t="s">
        <v>500</v>
      </c>
    </row>
    <row r="309" spans="1:9">
      <c r="A309" t="s">
        <v>1611</v>
      </c>
      <c r="B309" s="18">
        <v>2054021830</v>
      </c>
      <c r="C309" t="s">
        <v>1612</v>
      </c>
      <c r="D309" t="s">
        <v>1613</v>
      </c>
      <c r="E309" t="s">
        <v>765</v>
      </c>
      <c r="I309" t="s">
        <v>500</v>
      </c>
    </row>
    <row r="310" spans="1:9">
      <c r="A310" t="s">
        <v>1614</v>
      </c>
      <c r="B310" s="18">
        <v>2054027302</v>
      </c>
      <c r="C310" t="s">
        <v>1615</v>
      </c>
      <c r="D310" t="s">
        <v>1616</v>
      </c>
      <c r="E310" t="s">
        <v>760</v>
      </c>
      <c r="I310" t="s">
        <v>500</v>
      </c>
    </row>
    <row r="311" spans="1:9">
      <c r="A311" t="s">
        <v>1617</v>
      </c>
      <c r="B311" s="18">
        <v>2054027307</v>
      </c>
      <c r="C311" t="s">
        <v>1618</v>
      </c>
      <c r="D311" t="s">
        <v>1276</v>
      </c>
      <c r="E311" t="s">
        <v>765</v>
      </c>
      <c r="I311" t="s">
        <v>500</v>
      </c>
    </row>
    <row r="312" spans="1:9">
      <c r="A312" t="s">
        <v>1619</v>
      </c>
      <c r="B312" s="18">
        <v>2054027328</v>
      </c>
      <c r="C312" t="s">
        <v>1620</v>
      </c>
      <c r="D312" t="s">
        <v>1497</v>
      </c>
      <c r="E312" t="s">
        <v>760</v>
      </c>
      <c r="I312" t="s">
        <v>500</v>
      </c>
    </row>
    <row r="313" spans="1:9">
      <c r="A313" t="s">
        <v>1621</v>
      </c>
      <c r="B313" s="18">
        <v>2054027331</v>
      </c>
      <c r="C313" t="s">
        <v>1622</v>
      </c>
      <c r="D313" t="s">
        <v>1623</v>
      </c>
      <c r="E313" t="s">
        <v>765</v>
      </c>
      <c r="I313" t="s">
        <v>500</v>
      </c>
    </row>
    <row r="314" spans="1:9">
      <c r="A314" t="s">
        <v>1624</v>
      </c>
      <c r="B314" s="18">
        <v>2054027340</v>
      </c>
      <c r="C314" t="s">
        <v>1625</v>
      </c>
      <c r="D314" t="s">
        <v>1626</v>
      </c>
      <c r="E314" t="s">
        <v>760</v>
      </c>
      <c r="I314" t="s">
        <v>500</v>
      </c>
    </row>
    <row r="315" spans="1:9">
      <c r="A315" t="s">
        <v>1627</v>
      </c>
      <c r="B315" s="18">
        <v>2054027342</v>
      </c>
      <c r="C315" t="s">
        <v>99</v>
      </c>
      <c r="D315" t="s">
        <v>1436</v>
      </c>
      <c r="E315" t="s">
        <v>760</v>
      </c>
      <c r="I315" t="s">
        <v>500</v>
      </c>
    </row>
    <row r="316" spans="1:9">
      <c r="A316" t="s">
        <v>1628</v>
      </c>
      <c r="B316" s="18">
        <v>2054027358</v>
      </c>
      <c r="C316" t="s">
        <v>1629</v>
      </c>
      <c r="D316" t="s">
        <v>1517</v>
      </c>
      <c r="E316" t="s">
        <v>760</v>
      </c>
      <c r="I316" t="s">
        <v>500</v>
      </c>
    </row>
    <row r="317" spans="1:9">
      <c r="A317" t="s">
        <v>1630</v>
      </c>
      <c r="B317" s="18">
        <v>2054027373</v>
      </c>
      <c r="C317" t="s">
        <v>1631</v>
      </c>
      <c r="D317" t="s">
        <v>1632</v>
      </c>
      <c r="E317" t="s">
        <v>760</v>
      </c>
      <c r="I317" t="s">
        <v>500</v>
      </c>
    </row>
    <row r="318" spans="1:9">
      <c r="A318" t="s">
        <v>1633</v>
      </c>
      <c r="B318" s="18">
        <v>2054027374</v>
      </c>
      <c r="C318" t="s">
        <v>1634</v>
      </c>
      <c r="D318" t="s">
        <v>1635</v>
      </c>
      <c r="E318" t="s">
        <v>765</v>
      </c>
      <c r="I318" t="s">
        <v>500</v>
      </c>
    </row>
    <row r="319" spans="1:9">
      <c r="A319" t="s">
        <v>1636</v>
      </c>
      <c r="B319" s="18">
        <v>2054027375</v>
      </c>
      <c r="C319" t="s">
        <v>1637</v>
      </c>
      <c r="D319" t="s">
        <v>1638</v>
      </c>
      <c r="E319" t="s">
        <v>765</v>
      </c>
      <c r="I319" t="s">
        <v>500</v>
      </c>
    </row>
    <row r="320" spans="1:9">
      <c r="A320" t="s">
        <v>1639</v>
      </c>
      <c r="B320" s="18">
        <v>2054027377</v>
      </c>
      <c r="C320" t="s">
        <v>1640</v>
      </c>
      <c r="D320" t="s">
        <v>1491</v>
      </c>
      <c r="E320" t="s">
        <v>765</v>
      </c>
      <c r="I320" t="s">
        <v>500</v>
      </c>
    </row>
    <row r="321" spans="1:9">
      <c r="A321" t="s">
        <v>1641</v>
      </c>
      <c r="B321" s="18">
        <v>2054027393</v>
      </c>
      <c r="C321" t="s">
        <v>1642</v>
      </c>
      <c r="D321" t="s">
        <v>1643</v>
      </c>
      <c r="E321" t="s">
        <v>760</v>
      </c>
      <c r="I321" t="s">
        <v>500</v>
      </c>
    </row>
    <row r="322" spans="1:9">
      <c r="A322" t="s">
        <v>1644</v>
      </c>
      <c r="B322" s="18">
        <v>2054027395</v>
      </c>
      <c r="C322" t="s">
        <v>1645</v>
      </c>
      <c r="D322" t="s">
        <v>1142</v>
      </c>
      <c r="E322" t="s">
        <v>760</v>
      </c>
      <c r="I322" t="s">
        <v>500</v>
      </c>
    </row>
    <row r="323" spans="1:9">
      <c r="A323" t="s">
        <v>1646</v>
      </c>
      <c r="B323" s="18">
        <v>2054027396</v>
      </c>
      <c r="C323" t="s">
        <v>1647</v>
      </c>
      <c r="D323" t="s">
        <v>941</v>
      </c>
      <c r="E323" t="s">
        <v>760</v>
      </c>
      <c r="I323" t="s">
        <v>500</v>
      </c>
    </row>
    <row r="324" spans="1:9">
      <c r="A324" t="s">
        <v>1648</v>
      </c>
      <c r="B324" s="18">
        <v>2054027409</v>
      </c>
      <c r="C324" t="s">
        <v>1649</v>
      </c>
      <c r="D324" t="s">
        <v>1650</v>
      </c>
      <c r="E324" t="s">
        <v>760</v>
      </c>
      <c r="I324" t="s">
        <v>500</v>
      </c>
    </row>
    <row r="325" spans="1:9">
      <c r="A325" t="s">
        <v>1651</v>
      </c>
      <c r="B325" s="18">
        <v>2054027411</v>
      </c>
      <c r="C325" t="s">
        <v>1652</v>
      </c>
      <c r="D325" t="s">
        <v>1653</v>
      </c>
      <c r="E325" t="s">
        <v>760</v>
      </c>
      <c r="I325" t="s">
        <v>500</v>
      </c>
    </row>
    <row r="326" spans="1:9">
      <c r="A326" t="s">
        <v>1654</v>
      </c>
      <c r="B326" s="18">
        <v>2054027420</v>
      </c>
      <c r="C326" t="s">
        <v>1655</v>
      </c>
      <c r="D326" t="s">
        <v>1656</v>
      </c>
      <c r="E326" t="s">
        <v>765</v>
      </c>
      <c r="I326" t="s">
        <v>500</v>
      </c>
    </row>
    <row r="327" spans="1:9">
      <c r="A327" t="s">
        <v>1657</v>
      </c>
      <c r="B327" s="18">
        <v>2054027423</v>
      </c>
      <c r="C327" t="s">
        <v>1658</v>
      </c>
      <c r="D327" t="s">
        <v>1659</v>
      </c>
      <c r="E327" t="s">
        <v>765</v>
      </c>
      <c r="I327" t="s">
        <v>500</v>
      </c>
    </row>
    <row r="328" spans="1:9">
      <c r="A328" t="s">
        <v>1660</v>
      </c>
      <c r="B328" s="18">
        <v>2054027428</v>
      </c>
      <c r="C328" t="s">
        <v>93</v>
      </c>
      <c r="D328" t="s">
        <v>1661</v>
      </c>
      <c r="E328" t="s">
        <v>765</v>
      </c>
      <c r="I328" t="s">
        <v>500</v>
      </c>
    </row>
    <row r="329" spans="1:9">
      <c r="A329" t="s">
        <v>1662</v>
      </c>
      <c r="B329" s="18">
        <v>2054027429</v>
      </c>
      <c r="C329" t="s">
        <v>1663</v>
      </c>
      <c r="D329" t="s">
        <v>1012</v>
      </c>
      <c r="E329" t="s">
        <v>765</v>
      </c>
      <c r="I329" t="s">
        <v>500</v>
      </c>
    </row>
    <row r="330" spans="1:9">
      <c r="A330" t="s">
        <v>1664</v>
      </c>
      <c r="B330" s="18">
        <v>2054027432</v>
      </c>
      <c r="C330" t="s">
        <v>1665</v>
      </c>
      <c r="D330" t="s">
        <v>1666</v>
      </c>
      <c r="E330" t="s">
        <v>760</v>
      </c>
      <c r="I330" t="s">
        <v>500</v>
      </c>
    </row>
    <row r="331" spans="1:9">
      <c r="A331" t="s">
        <v>1667</v>
      </c>
      <c r="B331" s="18">
        <v>2054027435</v>
      </c>
      <c r="C331" t="s">
        <v>1668</v>
      </c>
      <c r="D331" t="s">
        <v>1669</v>
      </c>
      <c r="E331" t="s">
        <v>760</v>
      </c>
      <c r="I331" t="s">
        <v>500</v>
      </c>
    </row>
    <row r="332" spans="1:9">
      <c r="A332" t="s">
        <v>1670</v>
      </c>
      <c r="B332" s="18">
        <v>2054027440</v>
      </c>
      <c r="C332" t="s">
        <v>1671</v>
      </c>
      <c r="D332" t="s">
        <v>1672</v>
      </c>
      <c r="E332" t="s">
        <v>765</v>
      </c>
      <c r="I332" t="s">
        <v>500</v>
      </c>
    </row>
    <row r="333" spans="1:9">
      <c r="A333" t="s">
        <v>1673</v>
      </c>
      <c r="B333" s="18">
        <v>2054027441</v>
      </c>
      <c r="C333" t="s">
        <v>53</v>
      </c>
      <c r="D333" t="s">
        <v>1472</v>
      </c>
      <c r="E333" t="s">
        <v>765</v>
      </c>
      <c r="I333" t="s">
        <v>500</v>
      </c>
    </row>
    <row r="334" spans="1:9">
      <c r="A334" t="s">
        <v>1674</v>
      </c>
      <c r="B334" s="18">
        <v>2054027442</v>
      </c>
      <c r="C334" t="s">
        <v>1675</v>
      </c>
      <c r="D334" t="s">
        <v>1676</v>
      </c>
      <c r="E334" t="s">
        <v>760</v>
      </c>
      <c r="I334" t="s">
        <v>500</v>
      </c>
    </row>
    <row r="335" spans="1:9">
      <c r="A335" t="s">
        <v>1677</v>
      </c>
      <c r="B335" s="18">
        <v>2054027607</v>
      </c>
      <c r="C335" t="s">
        <v>1678</v>
      </c>
      <c r="D335" t="s">
        <v>1079</v>
      </c>
      <c r="E335" t="s">
        <v>765</v>
      </c>
      <c r="I335" t="s">
        <v>500</v>
      </c>
    </row>
    <row r="336" spans="1:9">
      <c r="A336" t="s">
        <v>1679</v>
      </c>
      <c r="B336" s="18">
        <v>2054027608</v>
      </c>
      <c r="C336" t="s">
        <v>1680</v>
      </c>
      <c r="D336" t="s">
        <v>951</v>
      </c>
      <c r="E336" t="s">
        <v>765</v>
      </c>
      <c r="I336" t="s">
        <v>500</v>
      </c>
    </row>
    <row r="337" spans="1:9">
      <c r="A337" t="s">
        <v>1681</v>
      </c>
      <c r="B337" s="18">
        <v>2054027610</v>
      </c>
      <c r="C337" t="s">
        <v>1682</v>
      </c>
      <c r="D337" t="s">
        <v>1683</v>
      </c>
      <c r="E337" t="s">
        <v>765</v>
      </c>
      <c r="I337" t="s">
        <v>500</v>
      </c>
    </row>
    <row r="338" spans="1:9">
      <c r="A338" t="s">
        <v>1684</v>
      </c>
      <c r="B338" s="18">
        <v>2054027611</v>
      </c>
      <c r="C338" t="s">
        <v>1685</v>
      </c>
      <c r="D338" t="s">
        <v>1349</v>
      </c>
      <c r="E338" t="s">
        <v>765</v>
      </c>
      <c r="I338" t="s">
        <v>500</v>
      </c>
    </row>
    <row r="339" spans="1:9">
      <c r="A339" t="s">
        <v>1686</v>
      </c>
      <c r="B339" s="18">
        <v>2054027612</v>
      </c>
      <c r="C339" t="s">
        <v>1687</v>
      </c>
      <c r="D339" t="s">
        <v>1249</v>
      </c>
      <c r="E339" t="s">
        <v>760</v>
      </c>
      <c r="I339" t="s">
        <v>500</v>
      </c>
    </row>
    <row r="340" spans="1:9">
      <c r="A340" t="s">
        <v>1688</v>
      </c>
      <c r="B340" s="18">
        <v>2054027613</v>
      </c>
      <c r="C340" t="s">
        <v>1689</v>
      </c>
      <c r="D340" t="s">
        <v>1524</v>
      </c>
      <c r="E340" t="s">
        <v>760</v>
      </c>
      <c r="I340" t="s">
        <v>500</v>
      </c>
    </row>
    <row r="341" spans="1:9">
      <c r="A341" t="s">
        <v>1690</v>
      </c>
      <c r="B341" s="18">
        <v>2054027615</v>
      </c>
      <c r="C341" t="s">
        <v>1691</v>
      </c>
      <c r="D341" t="s">
        <v>1692</v>
      </c>
      <c r="E341" t="s">
        <v>765</v>
      </c>
      <c r="I341" t="s">
        <v>500</v>
      </c>
    </row>
    <row r="342" spans="1:9">
      <c r="A342" t="s">
        <v>1693</v>
      </c>
      <c r="B342" s="18">
        <v>2054027616</v>
      </c>
      <c r="C342" t="s">
        <v>1694</v>
      </c>
      <c r="D342" t="s">
        <v>1695</v>
      </c>
      <c r="E342" t="s">
        <v>765</v>
      </c>
      <c r="I342" t="s">
        <v>500</v>
      </c>
    </row>
    <row r="343" spans="1:9">
      <c r="A343" t="s">
        <v>1696</v>
      </c>
      <c r="B343" s="18">
        <v>2054027617</v>
      </c>
      <c r="C343" t="s">
        <v>1697</v>
      </c>
      <c r="D343" t="s">
        <v>1698</v>
      </c>
      <c r="E343" t="s">
        <v>765</v>
      </c>
      <c r="I343" t="s">
        <v>500</v>
      </c>
    </row>
    <row r="344" spans="1:9">
      <c r="A344" t="s">
        <v>1699</v>
      </c>
      <c r="B344" s="18">
        <v>2054027618</v>
      </c>
      <c r="C344" t="s">
        <v>1700</v>
      </c>
      <c r="D344" t="s">
        <v>970</v>
      </c>
      <c r="E344" t="s">
        <v>765</v>
      </c>
      <c r="I344" t="s">
        <v>500</v>
      </c>
    </row>
    <row r="345" spans="1:9">
      <c r="A345" t="s">
        <v>1701</v>
      </c>
      <c r="B345" s="18">
        <v>2054027621</v>
      </c>
      <c r="C345" t="s">
        <v>1702</v>
      </c>
      <c r="D345" t="s">
        <v>927</v>
      </c>
      <c r="E345" t="s">
        <v>765</v>
      </c>
      <c r="I345" t="s">
        <v>500</v>
      </c>
    </row>
    <row r="346" spans="1:9">
      <c r="A346" t="s">
        <v>1703</v>
      </c>
      <c r="B346" s="18">
        <v>2054027623</v>
      </c>
      <c r="C346" t="s">
        <v>1704</v>
      </c>
      <c r="D346" t="s">
        <v>974</v>
      </c>
      <c r="E346" t="s">
        <v>765</v>
      </c>
      <c r="I346" t="s">
        <v>500</v>
      </c>
    </row>
    <row r="347" spans="1:9">
      <c r="A347" t="s">
        <v>1705</v>
      </c>
      <c r="B347" s="18">
        <v>2054027624</v>
      </c>
      <c r="C347" t="s">
        <v>1706</v>
      </c>
      <c r="D347" t="s">
        <v>1707</v>
      </c>
      <c r="E347" t="s">
        <v>765</v>
      </c>
      <c r="I347" t="s">
        <v>500</v>
      </c>
    </row>
    <row r="348" spans="1:9">
      <c r="A348" t="s">
        <v>1708</v>
      </c>
      <c r="B348" s="18">
        <v>2054027625</v>
      </c>
      <c r="C348" t="s">
        <v>1709</v>
      </c>
      <c r="D348" t="s">
        <v>810</v>
      </c>
      <c r="E348" t="s">
        <v>765</v>
      </c>
      <c r="I348" t="s">
        <v>500</v>
      </c>
    </row>
    <row r="349" spans="1:9">
      <c r="A349" t="s">
        <v>1710</v>
      </c>
      <c r="B349" s="18">
        <v>2054027626</v>
      </c>
      <c r="C349" t="s">
        <v>1711</v>
      </c>
      <c r="D349" t="s">
        <v>1712</v>
      </c>
      <c r="E349" t="s">
        <v>765</v>
      </c>
      <c r="I349" t="s">
        <v>500</v>
      </c>
    </row>
    <row r="350" spans="1:9">
      <c r="A350" t="s">
        <v>1713</v>
      </c>
      <c r="B350" s="18">
        <v>2054027627</v>
      </c>
      <c r="C350" t="s">
        <v>1714</v>
      </c>
      <c r="D350" t="s">
        <v>1715</v>
      </c>
      <c r="E350" t="s">
        <v>765</v>
      </c>
      <c r="I350" t="s">
        <v>500</v>
      </c>
    </row>
    <row r="351" spans="1:9">
      <c r="A351" t="s">
        <v>1716</v>
      </c>
      <c r="B351" s="18">
        <v>2054027628</v>
      </c>
      <c r="C351" t="s">
        <v>1717</v>
      </c>
      <c r="D351" t="s">
        <v>1369</v>
      </c>
      <c r="E351" t="s">
        <v>765</v>
      </c>
      <c r="I351" t="s">
        <v>500</v>
      </c>
    </row>
    <row r="352" spans="1:9">
      <c r="A352" t="s">
        <v>1718</v>
      </c>
      <c r="B352" s="18">
        <v>2054027629</v>
      </c>
      <c r="C352" t="s">
        <v>1719</v>
      </c>
      <c r="D352" t="s">
        <v>1720</v>
      </c>
      <c r="E352" t="s">
        <v>760</v>
      </c>
      <c r="I352" t="s">
        <v>500</v>
      </c>
    </row>
    <row r="353" spans="1:9">
      <c r="A353" t="s">
        <v>1721</v>
      </c>
      <c r="B353" s="18">
        <v>2054027631</v>
      </c>
      <c r="C353" t="s">
        <v>1722</v>
      </c>
      <c r="D353" t="s">
        <v>1009</v>
      </c>
      <c r="E353" t="s">
        <v>765</v>
      </c>
      <c r="I353" t="s">
        <v>500</v>
      </c>
    </row>
    <row r="354" spans="1:9">
      <c r="A354" t="s">
        <v>1723</v>
      </c>
      <c r="B354" s="18">
        <v>2054027632</v>
      </c>
      <c r="C354" t="s">
        <v>1724</v>
      </c>
      <c r="D354" t="s">
        <v>1082</v>
      </c>
      <c r="E354" t="s">
        <v>765</v>
      </c>
      <c r="I354" t="s">
        <v>500</v>
      </c>
    </row>
    <row r="355" spans="1:9">
      <c r="A355" t="s">
        <v>1725</v>
      </c>
      <c r="B355" s="18">
        <v>2054027634</v>
      </c>
      <c r="C355" t="s">
        <v>1726</v>
      </c>
      <c r="D355" t="s">
        <v>1217</v>
      </c>
      <c r="E355" t="s">
        <v>765</v>
      </c>
      <c r="I355" t="s">
        <v>500</v>
      </c>
    </row>
    <row r="356" spans="1:9">
      <c r="A356" t="s">
        <v>1727</v>
      </c>
      <c r="B356" s="18">
        <v>2054027636</v>
      </c>
      <c r="C356" t="s">
        <v>1728</v>
      </c>
      <c r="D356" t="s">
        <v>1220</v>
      </c>
      <c r="E356" t="s">
        <v>765</v>
      </c>
      <c r="I356" t="s">
        <v>500</v>
      </c>
    </row>
    <row r="357" spans="1:9">
      <c r="A357" t="s">
        <v>1729</v>
      </c>
      <c r="B357" s="18">
        <v>2054027643</v>
      </c>
      <c r="C357" t="s">
        <v>1730</v>
      </c>
      <c r="D357" t="s">
        <v>961</v>
      </c>
      <c r="E357" t="s">
        <v>760</v>
      </c>
      <c r="I357" t="s">
        <v>500</v>
      </c>
    </row>
    <row r="358" spans="1:9">
      <c r="A358" t="s">
        <v>1731</v>
      </c>
      <c r="B358" s="18">
        <v>2054027645</v>
      </c>
      <c r="C358" t="s">
        <v>1732</v>
      </c>
      <c r="D358" t="s">
        <v>1733</v>
      </c>
      <c r="E358" t="s">
        <v>765</v>
      </c>
      <c r="I358" t="s">
        <v>500</v>
      </c>
    </row>
    <row r="359" spans="1:9">
      <c r="A359" t="s">
        <v>1734</v>
      </c>
      <c r="B359" s="18">
        <v>2054027646</v>
      </c>
      <c r="C359" t="s">
        <v>1735</v>
      </c>
      <c r="D359" t="s">
        <v>1736</v>
      </c>
      <c r="E359" t="s">
        <v>765</v>
      </c>
      <c r="I359" t="s">
        <v>500</v>
      </c>
    </row>
    <row r="360" spans="1:9">
      <c r="A360" t="s">
        <v>1737</v>
      </c>
      <c r="B360" s="18">
        <v>2054027647</v>
      </c>
      <c r="C360" t="s">
        <v>1738</v>
      </c>
      <c r="D360" t="s">
        <v>1079</v>
      </c>
      <c r="E360" t="s">
        <v>765</v>
      </c>
      <c r="I360" t="s">
        <v>500</v>
      </c>
    </row>
    <row r="361" spans="1:9">
      <c r="A361" t="s">
        <v>1739</v>
      </c>
      <c r="B361" s="18">
        <v>2054027648</v>
      </c>
      <c r="C361" t="s">
        <v>1740</v>
      </c>
      <c r="D361" t="s">
        <v>1741</v>
      </c>
      <c r="E361" t="s">
        <v>765</v>
      </c>
      <c r="I361" t="s">
        <v>500</v>
      </c>
    </row>
    <row r="362" spans="1:9">
      <c r="A362" t="s">
        <v>1742</v>
      </c>
      <c r="B362" s="18">
        <v>2054027649</v>
      </c>
      <c r="C362" t="s">
        <v>1743</v>
      </c>
      <c r="D362" t="s">
        <v>994</v>
      </c>
      <c r="E362" t="s">
        <v>765</v>
      </c>
      <c r="I362" t="s">
        <v>500</v>
      </c>
    </row>
    <row r="363" spans="1:9">
      <c r="A363" t="s">
        <v>1744</v>
      </c>
      <c r="B363" s="18">
        <v>2054027650</v>
      </c>
      <c r="C363" t="s">
        <v>1745</v>
      </c>
      <c r="D363" t="s">
        <v>1364</v>
      </c>
      <c r="E363" t="s">
        <v>765</v>
      </c>
      <c r="I363" t="s">
        <v>500</v>
      </c>
    </row>
    <row r="364" spans="1:9">
      <c r="A364" t="s">
        <v>1746</v>
      </c>
      <c r="B364" s="18">
        <v>2054027651</v>
      </c>
      <c r="C364" t="s">
        <v>1747</v>
      </c>
      <c r="D364" t="s">
        <v>1748</v>
      </c>
      <c r="E364" t="s">
        <v>765</v>
      </c>
      <c r="I364" t="s">
        <v>500</v>
      </c>
    </row>
    <row r="365" spans="1:9">
      <c r="A365" t="s">
        <v>1749</v>
      </c>
      <c r="B365" s="18">
        <v>2054027653</v>
      </c>
      <c r="C365" t="s">
        <v>50</v>
      </c>
      <c r="D365" t="s">
        <v>850</v>
      </c>
      <c r="E365" t="s">
        <v>765</v>
      </c>
      <c r="I365" t="s">
        <v>500</v>
      </c>
    </row>
    <row r="366" spans="1:9">
      <c r="A366" t="s">
        <v>1750</v>
      </c>
      <c r="B366" s="18">
        <v>2054027654</v>
      </c>
      <c r="C366" t="s">
        <v>1751</v>
      </c>
      <c r="D366" t="s">
        <v>1752</v>
      </c>
      <c r="E366" t="s">
        <v>760</v>
      </c>
      <c r="I366" t="s">
        <v>500</v>
      </c>
    </row>
    <row r="367" spans="1:9">
      <c r="A367" t="s">
        <v>1753</v>
      </c>
      <c r="B367" s="18">
        <v>2054027656</v>
      </c>
      <c r="C367" t="s">
        <v>1754</v>
      </c>
      <c r="D367" t="s">
        <v>1343</v>
      </c>
      <c r="E367" t="s">
        <v>760</v>
      </c>
      <c r="I367" t="s">
        <v>500</v>
      </c>
    </row>
    <row r="368" spans="1:9">
      <c r="A368" t="s">
        <v>1755</v>
      </c>
      <c r="B368" s="18">
        <v>2054027658</v>
      </c>
      <c r="C368" t="s">
        <v>1756</v>
      </c>
      <c r="D368" t="s">
        <v>1757</v>
      </c>
      <c r="E368" t="s">
        <v>765</v>
      </c>
      <c r="I368" t="s">
        <v>500</v>
      </c>
    </row>
    <row r="369" spans="1:9">
      <c r="A369" t="s">
        <v>1758</v>
      </c>
      <c r="B369" s="18">
        <v>2054027661</v>
      </c>
      <c r="C369" t="s">
        <v>1759</v>
      </c>
      <c r="D369" t="s">
        <v>1760</v>
      </c>
      <c r="E369" t="s">
        <v>760</v>
      </c>
      <c r="I369" t="s">
        <v>500</v>
      </c>
    </row>
    <row r="370" spans="1:9">
      <c r="A370" t="s">
        <v>1761</v>
      </c>
      <c r="B370" s="18">
        <v>2054027664</v>
      </c>
      <c r="C370" t="s">
        <v>1762</v>
      </c>
      <c r="D370" t="s">
        <v>1530</v>
      </c>
      <c r="E370" t="s">
        <v>760</v>
      </c>
      <c r="I370" t="s">
        <v>500</v>
      </c>
    </row>
    <row r="371" spans="1:9">
      <c r="A371" t="s">
        <v>1763</v>
      </c>
      <c r="B371" s="18">
        <v>2054027669</v>
      </c>
      <c r="C371" t="s">
        <v>1764</v>
      </c>
      <c r="D371" t="s">
        <v>1733</v>
      </c>
      <c r="E371" t="s">
        <v>765</v>
      </c>
      <c r="I371" t="s">
        <v>500</v>
      </c>
    </row>
    <row r="372" spans="1:9">
      <c r="A372" t="s">
        <v>1765</v>
      </c>
      <c r="B372" s="18">
        <v>2054027670</v>
      </c>
      <c r="C372" t="s">
        <v>1766</v>
      </c>
      <c r="D372" t="s">
        <v>864</v>
      </c>
      <c r="E372" t="s">
        <v>760</v>
      </c>
      <c r="I372" t="s">
        <v>500</v>
      </c>
    </row>
    <row r="373" spans="1:9">
      <c r="A373" t="s">
        <v>1767</v>
      </c>
      <c r="B373" s="18">
        <v>2054027671</v>
      </c>
      <c r="C373" t="s">
        <v>1768</v>
      </c>
      <c r="D373" t="s">
        <v>1769</v>
      </c>
      <c r="E373" t="s">
        <v>760</v>
      </c>
      <c r="I373" t="s">
        <v>500</v>
      </c>
    </row>
    <row r="374" spans="1:9">
      <c r="A374" t="s">
        <v>1770</v>
      </c>
      <c r="B374" s="18">
        <v>2054027674</v>
      </c>
      <c r="C374" t="s">
        <v>1771</v>
      </c>
      <c r="D374" t="s">
        <v>1009</v>
      </c>
      <c r="E374" t="s">
        <v>765</v>
      </c>
      <c r="I374" t="s">
        <v>500</v>
      </c>
    </row>
    <row r="375" spans="1:9">
      <c r="A375" t="s">
        <v>1772</v>
      </c>
      <c r="B375" s="18">
        <v>2054027677</v>
      </c>
      <c r="C375" t="s">
        <v>1773</v>
      </c>
      <c r="D375" t="s">
        <v>1104</v>
      </c>
      <c r="E375" t="s">
        <v>760</v>
      </c>
      <c r="I375" t="s">
        <v>500</v>
      </c>
    </row>
    <row r="376" spans="1:9">
      <c r="A376" t="s">
        <v>1774</v>
      </c>
      <c r="B376" s="18">
        <v>2054027678</v>
      </c>
      <c r="C376" t="s">
        <v>1775</v>
      </c>
      <c r="D376" t="s">
        <v>1776</v>
      </c>
      <c r="E376" t="s">
        <v>765</v>
      </c>
      <c r="I376" t="s">
        <v>500</v>
      </c>
    </row>
    <row r="377" spans="1:9">
      <c r="A377" t="s">
        <v>1777</v>
      </c>
      <c r="B377" s="18">
        <v>2054027680</v>
      </c>
      <c r="C377" t="s">
        <v>1778</v>
      </c>
      <c r="D377" t="s">
        <v>1494</v>
      </c>
      <c r="E377" t="s">
        <v>760</v>
      </c>
      <c r="I377" t="s">
        <v>500</v>
      </c>
    </row>
    <row r="378" spans="1:9">
      <c r="A378" t="s">
        <v>1779</v>
      </c>
      <c r="B378" s="18">
        <v>2054027689</v>
      </c>
      <c r="C378" t="s">
        <v>1780</v>
      </c>
      <c r="D378" t="s">
        <v>1262</v>
      </c>
      <c r="E378" t="s">
        <v>765</v>
      </c>
      <c r="I378" t="s">
        <v>500</v>
      </c>
    </row>
    <row r="379" spans="1:9">
      <c r="A379" t="s">
        <v>1781</v>
      </c>
      <c r="B379" s="18">
        <v>2054027691</v>
      </c>
      <c r="C379" t="s">
        <v>1782</v>
      </c>
      <c r="D379" t="s">
        <v>912</v>
      </c>
      <c r="E379" t="s">
        <v>760</v>
      </c>
      <c r="I379" t="s">
        <v>500</v>
      </c>
    </row>
    <row r="380" spans="1:9">
      <c r="A380" t="s">
        <v>1783</v>
      </c>
      <c r="B380" s="18">
        <v>2054027694</v>
      </c>
      <c r="C380" t="s">
        <v>1784</v>
      </c>
      <c r="D380" t="s">
        <v>870</v>
      </c>
      <c r="E380" t="s">
        <v>765</v>
      </c>
      <c r="I380" t="s">
        <v>500</v>
      </c>
    </row>
    <row r="381" spans="1:9">
      <c r="A381" t="s">
        <v>1785</v>
      </c>
      <c r="B381" s="18">
        <v>2054027695</v>
      </c>
      <c r="C381" t="s">
        <v>1786</v>
      </c>
      <c r="D381" t="s">
        <v>1096</v>
      </c>
      <c r="E381" t="s">
        <v>765</v>
      </c>
      <c r="I381" t="s">
        <v>500</v>
      </c>
    </row>
    <row r="382" spans="1:9">
      <c r="A382" t="s">
        <v>1787</v>
      </c>
      <c r="B382" s="18">
        <v>2054027702</v>
      </c>
      <c r="C382" t="s">
        <v>1788</v>
      </c>
      <c r="D382" t="s">
        <v>1789</v>
      </c>
      <c r="E382" t="s">
        <v>760</v>
      </c>
      <c r="I382" t="s">
        <v>500</v>
      </c>
    </row>
    <row r="383" spans="1:9">
      <c r="A383" t="s">
        <v>1790</v>
      </c>
      <c r="B383" s="18">
        <v>2054027706</v>
      </c>
      <c r="C383" t="s">
        <v>1791</v>
      </c>
      <c r="D383" t="s">
        <v>1792</v>
      </c>
      <c r="E383" t="s">
        <v>760</v>
      </c>
      <c r="I383" t="s">
        <v>500</v>
      </c>
    </row>
    <row r="384" spans="1:9">
      <c r="A384" t="s">
        <v>1793</v>
      </c>
      <c r="B384" s="18">
        <v>2054037472</v>
      </c>
      <c r="C384" t="s">
        <v>1794</v>
      </c>
      <c r="D384" t="s">
        <v>1795</v>
      </c>
      <c r="E384" t="s">
        <v>765</v>
      </c>
      <c r="I384" t="s">
        <v>500</v>
      </c>
    </row>
    <row r="385" spans="1:9">
      <c r="A385" t="s">
        <v>1796</v>
      </c>
      <c r="B385" s="18">
        <v>2054037498</v>
      </c>
      <c r="C385" t="s">
        <v>1797</v>
      </c>
      <c r="D385" t="s">
        <v>1798</v>
      </c>
      <c r="E385" t="s">
        <v>765</v>
      </c>
      <c r="I385" t="s">
        <v>500</v>
      </c>
    </row>
    <row r="386" spans="1:9">
      <c r="A386" t="s">
        <v>1799</v>
      </c>
      <c r="B386" s="18">
        <v>2054027427</v>
      </c>
      <c r="C386" t="s">
        <v>1800</v>
      </c>
      <c r="D386" t="s">
        <v>1384</v>
      </c>
      <c r="E386" t="s">
        <v>765</v>
      </c>
      <c r="I386" t="s">
        <v>500</v>
      </c>
    </row>
    <row r="387" spans="1:9">
      <c r="A387" t="s">
        <v>1801</v>
      </c>
      <c r="B387" s="18">
        <v>2054037451</v>
      </c>
      <c r="C387" t="s">
        <v>1802</v>
      </c>
      <c r="D387" t="s">
        <v>1803</v>
      </c>
      <c r="E387" t="s">
        <v>765</v>
      </c>
      <c r="I387" t="s">
        <v>500</v>
      </c>
    </row>
    <row r="388" spans="1:9">
      <c r="A388" t="s">
        <v>1804</v>
      </c>
      <c r="B388" s="18">
        <v>2054037452</v>
      </c>
      <c r="C388" t="s">
        <v>1805</v>
      </c>
      <c r="D388" t="s">
        <v>1806</v>
      </c>
      <c r="E388" t="s">
        <v>765</v>
      </c>
      <c r="I388" t="s">
        <v>500</v>
      </c>
    </row>
    <row r="389" spans="1:9">
      <c r="A389" t="s">
        <v>1807</v>
      </c>
      <c r="B389" s="18">
        <v>2054037458</v>
      </c>
      <c r="C389" t="s">
        <v>1808</v>
      </c>
      <c r="D389" t="s">
        <v>1809</v>
      </c>
      <c r="E389" t="s">
        <v>765</v>
      </c>
      <c r="I389" t="s">
        <v>500</v>
      </c>
    </row>
    <row r="390" spans="1:9">
      <c r="A390" t="s">
        <v>1810</v>
      </c>
      <c r="B390" s="18">
        <v>2054037461</v>
      </c>
      <c r="C390" t="s">
        <v>1811</v>
      </c>
      <c r="D390" t="s">
        <v>1517</v>
      </c>
      <c r="E390" t="s">
        <v>765</v>
      </c>
      <c r="I390" t="s">
        <v>500</v>
      </c>
    </row>
    <row r="391" spans="1:9">
      <c r="A391" t="s">
        <v>1812</v>
      </c>
      <c r="B391" s="18">
        <v>2054037463</v>
      </c>
      <c r="C391" t="s">
        <v>1813</v>
      </c>
      <c r="D391" t="s">
        <v>1814</v>
      </c>
      <c r="E391" t="s">
        <v>760</v>
      </c>
      <c r="I391" t="s">
        <v>500</v>
      </c>
    </row>
    <row r="392" spans="1:9">
      <c r="A392" t="s">
        <v>1815</v>
      </c>
      <c r="B392" s="18">
        <v>2054037476</v>
      </c>
      <c r="C392" t="s">
        <v>268</v>
      </c>
      <c r="D392" t="s">
        <v>1816</v>
      </c>
      <c r="E392" t="s">
        <v>765</v>
      </c>
      <c r="I392" t="s">
        <v>500</v>
      </c>
    </row>
    <row r="393" spans="1:9">
      <c r="A393" t="s">
        <v>1817</v>
      </c>
      <c r="B393" s="18">
        <v>2054037478</v>
      </c>
      <c r="C393" t="s">
        <v>1818</v>
      </c>
      <c r="D393" t="s">
        <v>1819</v>
      </c>
      <c r="E393" t="s">
        <v>765</v>
      </c>
      <c r="I393" t="s">
        <v>500</v>
      </c>
    </row>
    <row r="394" spans="1:9">
      <c r="A394" t="s">
        <v>1820</v>
      </c>
      <c r="B394" s="18">
        <v>2054037480</v>
      </c>
      <c r="C394" t="s">
        <v>1821</v>
      </c>
      <c r="D394" t="s">
        <v>1273</v>
      </c>
      <c r="E394" t="s">
        <v>765</v>
      </c>
      <c r="I394" t="s">
        <v>500</v>
      </c>
    </row>
    <row r="395" spans="1:9">
      <c r="A395" t="s">
        <v>1822</v>
      </c>
      <c r="B395" s="18">
        <v>2054037483</v>
      </c>
      <c r="C395" t="s">
        <v>1823</v>
      </c>
      <c r="D395" t="s">
        <v>1824</v>
      </c>
      <c r="E395" t="s">
        <v>765</v>
      </c>
      <c r="I395" t="s">
        <v>500</v>
      </c>
    </row>
    <row r="396" spans="1:9">
      <c r="A396" t="s">
        <v>1825</v>
      </c>
      <c r="B396" s="18">
        <v>2054037484</v>
      </c>
      <c r="C396" t="s">
        <v>1826</v>
      </c>
      <c r="D396" t="s">
        <v>1503</v>
      </c>
      <c r="E396" t="s">
        <v>765</v>
      </c>
      <c r="I396" t="s">
        <v>500</v>
      </c>
    </row>
    <row r="397" spans="1:9">
      <c r="A397" t="s">
        <v>1827</v>
      </c>
      <c r="B397" s="18">
        <v>2054037495</v>
      </c>
      <c r="C397" t="s">
        <v>1828</v>
      </c>
      <c r="D397" t="s">
        <v>1829</v>
      </c>
      <c r="E397" t="s">
        <v>765</v>
      </c>
      <c r="I397" t="s">
        <v>500</v>
      </c>
    </row>
    <row r="398" spans="1:9">
      <c r="A398" t="s">
        <v>1830</v>
      </c>
      <c r="B398" s="18">
        <v>2054037496</v>
      </c>
      <c r="C398" t="s">
        <v>1831</v>
      </c>
      <c r="D398" t="s">
        <v>1832</v>
      </c>
      <c r="E398" t="s">
        <v>765</v>
      </c>
      <c r="I398" t="s">
        <v>500</v>
      </c>
    </row>
    <row r="399" spans="1:9">
      <c r="A399" t="s">
        <v>1833</v>
      </c>
      <c r="B399" s="18">
        <v>2054037500</v>
      </c>
      <c r="C399" t="s">
        <v>1834</v>
      </c>
      <c r="D399" t="s">
        <v>983</v>
      </c>
      <c r="E399" t="s">
        <v>765</v>
      </c>
      <c r="I399" t="s">
        <v>500</v>
      </c>
    </row>
    <row r="400" spans="1:9">
      <c r="A400" t="s">
        <v>1835</v>
      </c>
      <c r="B400" s="18">
        <v>2054037502</v>
      </c>
      <c r="C400" t="s">
        <v>1836</v>
      </c>
      <c r="D400" t="s">
        <v>1837</v>
      </c>
      <c r="E400" t="s">
        <v>765</v>
      </c>
      <c r="I400" t="s">
        <v>500</v>
      </c>
    </row>
    <row r="401" spans="1:9">
      <c r="A401" t="s">
        <v>1838</v>
      </c>
      <c r="B401" s="18">
        <v>2054037507</v>
      </c>
      <c r="C401" t="s">
        <v>1839</v>
      </c>
      <c r="D401" t="s">
        <v>1276</v>
      </c>
      <c r="E401" t="s">
        <v>765</v>
      </c>
      <c r="I401" t="s">
        <v>500</v>
      </c>
    </row>
    <row r="402" spans="1:9">
      <c r="A402" t="s">
        <v>1840</v>
      </c>
      <c r="B402" s="18">
        <v>2054037709</v>
      </c>
      <c r="C402" t="s">
        <v>1841</v>
      </c>
      <c r="D402" t="s">
        <v>1062</v>
      </c>
      <c r="E402" t="s">
        <v>765</v>
      </c>
      <c r="I402" t="s">
        <v>500</v>
      </c>
    </row>
    <row r="403" spans="1:9">
      <c r="A403" t="s">
        <v>1842</v>
      </c>
      <c r="B403" s="18">
        <v>2054037712</v>
      </c>
      <c r="C403" t="s">
        <v>1843</v>
      </c>
      <c r="D403" t="s">
        <v>783</v>
      </c>
      <c r="E403" t="s">
        <v>760</v>
      </c>
      <c r="I403" t="s">
        <v>500</v>
      </c>
    </row>
    <row r="404" spans="1:9">
      <c r="A404" t="s">
        <v>1844</v>
      </c>
      <c r="B404" s="18">
        <v>2054037713</v>
      </c>
      <c r="C404" t="s">
        <v>1845</v>
      </c>
      <c r="D404" t="s">
        <v>1478</v>
      </c>
      <c r="E404" t="s">
        <v>765</v>
      </c>
      <c r="I404" t="s">
        <v>500</v>
      </c>
    </row>
    <row r="405" spans="1:9">
      <c r="A405" t="s">
        <v>1846</v>
      </c>
      <c r="B405" s="18">
        <v>2054037714</v>
      </c>
      <c r="C405" t="s">
        <v>1847</v>
      </c>
      <c r="D405" t="s">
        <v>1255</v>
      </c>
      <c r="E405" t="s">
        <v>765</v>
      </c>
      <c r="I405" t="s">
        <v>500</v>
      </c>
    </row>
    <row r="406" spans="1:9">
      <c r="A406" t="s">
        <v>1848</v>
      </c>
      <c r="B406" s="18">
        <v>2054037715</v>
      </c>
      <c r="C406" t="s">
        <v>1849</v>
      </c>
      <c r="D406" t="s">
        <v>1736</v>
      </c>
      <c r="E406" t="s">
        <v>765</v>
      </c>
      <c r="I406" t="s">
        <v>500</v>
      </c>
    </row>
    <row r="407" spans="1:9">
      <c r="A407" t="s">
        <v>1850</v>
      </c>
      <c r="B407" s="18">
        <v>2054037716</v>
      </c>
      <c r="C407" t="s">
        <v>1851</v>
      </c>
      <c r="D407" t="s">
        <v>1852</v>
      </c>
      <c r="E407" t="s">
        <v>765</v>
      </c>
      <c r="I407" t="s">
        <v>500</v>
      </c>
    </row>
    <row r="408" spans="1:9">
      <c r="A408" t="s">
        <v>1853</v>
      </c>
      <c r="B408" s="18">
        <v>2054037717</v>
      </c>
      <c r="C408" t="s">
        <v>1854</v>
      </c>
      <c r="D408" t="s">
        <v>864</v>
      </c>
      <c r="E408" t="s">
        <v>765</v>
      </c>
      <c r="I408" t="s">
        <v>500</v>
      </c>
    </row>
    <row r="409" spans="1:9">
      <c r="A409" t="s">
        <v>1855</v>
      </c>
      <c r="B409" s="18">
        <v>2054037719</v>
      </c>
      <c r="C409" t="s">
        <v>1856</v>
      </c>
      <c r="D409" t="s">
        <v>847</v>
      </c>
      <c r="E409" t="s">
        <v>765</v>
      </c>
      <c r="I409" t="s">
        <v>500</v>
      </c>
    </row>
    <row r="410" spans="1:9">
      <c r="A410" t="s">
        <v>1857</v>
      </c>
      <c r="B410" s="18">
        <v>2054037720</v>
      </c>
      <c r="C410" t="s">
        <v>1858</v>
      </c>
      <c r="D410" t="s">
        <v>1803</v>
      </c>
      <c r="E410" t="s">
        <v>765</v>
      </c>
      <c r="I410" t="s">
        <v>500</v>
      </c>
    </row>
    <row r="411" spans="1:9">
      <c r="A411" t="s">
        <v>1859</v>
      </c>
      <c r="B411" s="18">
        <v>2054037722</v>
      </c>
      <c r="C411" t="s">
        <v>1860</v>
      </c>
      <c r="D411" t="s">
        <v>1861</v>
      </c>
      <c r="E411" t="s">
        <v>765</v>
      </c>
      <c r="I411" t="s">
        <v>500</v>
      </c>
    </row>
    <row r="412" spans="1:9">
      <c r="A412" t="s">
        <v>1862</v>
      </c>
      <c r="B412" s="18">
        <v>2054037724</v>
      </c>
      <c r="C412" t="s">
        <v>1863</v>
      </c>
      <c r="D412" t="s">
        <v>864</v>
      </c>
      <c r="E412" t="s">
        <v>765</v>
      </c>
      <c r="I412" t="s">
        <v>500</v>
      </c>
    </row>
    <row r="413" spans="1:9">
      <c r="A413" t="s">
        <v>1864</v>
      </c>
      <c r="B413" s="18">
        <v>2054037725</v>
      </c>
      <c r="C413" t="s">
        <v>1865</v>
      </c>
      <c r="D413" t="s">
        <v>994</v>
      </c>
      <c r="E413" t="s">
        <v>765</v>
      </c>
      <c r="I413" t="s">
        <v>500</v>
      </c>
    </row>
    <row r="414" spans="1:9">
      <c r="A414" t="s">
        <v>1866</v>
      </c>
      <c r="B414" s="18">
        <v>2054037726</v>
      </c>
      <c r="C414" t="s">
        <v>1867</v>
      </c>
      <c r="D414" t="s">
        <v>1503</v>
      </c>
      <c r="E414" t="s">
        <v>765</v>
      </c>
      <c r="I414" t="s">
        <v>500</v>
      </c>
    </row>
    <row r="415" spans="1:9">
      <c r="A415" t="s">
        <v>1868</v>
      </c>
      <c r="B415" s="18">
        <v>2054037728</v>
      </c>
      <c r="C415" t="s">
        <v>1869</v>
      </c>
      <c r="D415" t="s">
        <v>1870</v>
      </c>
      <c r="E415" t="s">
        <v>765</v>
      </c>
      <c r="I415" t="s">
        <v>500</v>
      </c>
    </row>
    <row r="416" spans="1:9">
      <c r="A416" t="s">
        <v>1871</v>
      </c>
      <c r="B416" s="18">
        <v>2054037730</v>
      </c>
      <c r="C416" t="s">
        <v>1872</v>
      </c>
      <c r="D416" t="s">
        <v>1873</v>
      </c>
      <c r="E416" t="s">
        <v>765</v>
      </c>
      <c r="I416" t="s">
        <v>500</v>
      </c>
    </row>
    <row r="417" spans="1:9">
      <c r="A417" t="s">
        <v>1874</v>
      </c>
      <c r="B417" s="18">
        <v>2054037733</v>
      </c>
      <c r="C417" t="s">
        <v>1875</v>
      </c>
      <c r="D417" t="s">
        <v>1237</v>
      </c>
      <c r="E417" t="s">
        <v>760</v>
      </c>
      <c r="I417" t="s">
        <v>500</v>
      </c>
    </row>
    <row r="418" spans="1:9">
      <c r="A418" t="s">
        <v>1876</v>
      </c>
      <c r="B418" s="18">
        <v>2054037735</v>
      </c>
      <c r="C418" t="s">
        <v>1877</v>
      </c>
      <c r="D418" t="s">
        <v>1878</v>
      </c>
      <c r="E418" t="s">
        <v>765</v>
      </c>
      <c r="I418" t="s">
        <v>500</v>
      </c>
    </row>
    <row r="419" spans="1:9">
      <c r="A419" t="s">
        <v>1879</v>
      </c>
      <c r="B419" s="18">
        <v>2054037736</v>
      </c>
      <c r="C419" t="s">
        <v>1880</v>
      </c>
      <c r="D419" t="s">
        <v>1881</v>
      </c>
      <c r="E419" t="s">
        <v>765</v>
      </c>
      <c r="I419" t="s">
        <v>500</v>
      </c>
    </row>
    <row r="420" spans="1:9">
      <c r="A420" t="s">
        <v>1882</v>
      </c>
      <c r="B420" s="18">
        <v>2054037737</v>
      </c>
      <c r="C420" t="s">
        <v>146</v>
      </c>
      <c r="D420" t="s">
        <v>1444</v>
      </c>
      <c r="E420" t="s">
        <v>765</v>
      </c>
      <c r="I420" t="s">
        <v>500</v>
      </c>
    </row>
    <row r="421" spans="1:9">
      <c r="A421" t="s">
        <v>1883</v>
      </c>
      <c r="B421" s="18">
        <v>2054037738</v>
      </c>
      <c r="C421" t="s">
        <v>1884</v>
      </c>
      <c r="D421" t="s">
        <v>1885</v>
      </c>
      <c r="E421" t="s">
        <v>765</v>
      </c>
      <c r="I421" t="s">
        <v>500</v>
      </c>
    </row>
    <row r="422" spans="1:9">
      <c r="A422" t="s">
        <v>1886</v>
      </c>
      <c r="B422" s="18">
        <v>2054037741</v>
      </c>
      <c r="C422" t="s">
        <v>1887</v>
      </c>
      <c r="D422" t="s">
        <v>1436</v>
      </c>
      <c r="E422" t="s">
        <v>760</v>
      </c>
      <c r="I422" t="s">
        <v>500</v>
      </c>
    </row>
    <row r="423" spans="1:9">
      <c r="A423" t="s">
        <v>1888</v>
      </c>
      <c r="B423" s="18">
        <v>2054037742</v>
      </c>
      <c r="C423" t="s">
        <v>1889</v>
      </c>
      <c r="D423" t="s">
        <v>1603</v>
      </c>
      <c r="E423" t="s">
        <v>760</v>
      </c>
      <c r="I423" t="s">
        <v>500</v>
      </c>
    </row>
    <row r="424" spans="1:9">
      <c r="A424" t="s">
        <v>1890</v>
      </c>
      <c r="B424" s="18">
        <v>2054037743</v>
      </c>
      <c r="C424" t="s">
        <v>1891</v>
      </c>
      <c r="D424" t="s">
        <v>1104</v>
      </c>
      <c r="E424" t="s">
        <v>765</v>
      </c>
      <c r="I424" t="s">
        <v>500</v>
      </c>
    </row>
    <row r="425" spans="1:9">
      <c r="A425" t="s">
        <v>1892</v>
      </c>
      <c r="B425" s="18">
        <v>2251018004</v>
      </c>
      <c r="C425" t="s">
        <v>1893</v>
      </c>
      <c r="D425" t="s">
        <v>1894</v>
      </c>
      <c r="E425" t="s">
        <v>760</v>
      </c>
      <c r="G425" t="s">
        <v>1895</v>
      </c>
      <c r="H425" t="s">
        <v>1896</v>
      </c>
      <c r="I425" t="s">
        <v>1897</v>
      </c>
    </row>
    <row r="426" spans="1:9">
      <c r="A426" t="s">
        <v>1898</v>
      </c>
      <c r="B426" s="18">
        <v>2251018005</v>
      </c>
      <c r="C426" t="s">
        <v>1899</v>
      </c>
      <c r="D426" t="s">
        <v>1900</v>
      </c>
      <c r="E426" t="s">
        <v>760</v>
      </c>
      <c r="G426" t="s">
        <v>1895</v>
      </c>
      <c r="H426" t="s">
        <v>1901</v>
      </c>
      <c r="I426" t="s">
        <v>1897</v>
      </c>
    </row>
    <row r="427" spans="1:9">
      <c r="A427" t="s">
        <v>1902</v>
      </c>
      <c r="B427" s="18">
        <v>2251018011</v>
      </c>
      <c r="C427" t="s">
        <v>1903</v>
      </c>
      <c r="D427" t="s">
        <v>1904</v>
      </c>
      <c r="E427" t="s">
        <v>760</v>
      </c>
      <c r="G427" t="s">
        <v>1895</v>
      </c>
      <c r="H427" t="s">
        <v>1901</v>
      </c>
      <c r="I427" t="s">
        <v>1897</v>
      </c>
    </row>
    <row r="428" spans="1:9">
      <c r="A428" t="s">
        <v>1905</v>
      </c>
      <c r="B428" s="18">
        <v>2251018008</v>
      </c>
      <c r="C428" t="s">
        <v>1906</v>
      </c>
      <c r="D428" t="s">
        <v>1907</v>
      </c>
      <c r="E428" t="s">
        <v>760</v>
      </c>
      <c r="G428" t="s">
        <v>1895</v>
      </c>
      <c r="H428" t="s">
        <v>1908</v>
      </c>
      <c r="I428" t="s">
        <v>1897</v>
      </c>
    </row>
    <row r="429" spans="1:9">
      <c r="A429" t="s">
        <v>1909</v>
      </c>
      <c r="B429" s="18">
        <v>2251018013</v>
      </c>
      <c r="C429" t="s">
        <v>1910</v>
      </c>
      <c r="D429" t="s">
        <v>1911</v>
      </c>
      <c r="E429" t="s">
        <v>765</v>
      </c>
      <c r="G429" t="s">
        <v>1895</v>
      </c>
      <c r="H429" t="s">
        <v>1901</v>
      </c>
      <c r="I429" t="s">
        <v>1897</v>
      </c>
    </row>
    <row r="430" spans="1:9">
      <c r="A430" t="s">
        <v>1912</v>
      </c>
      <c r="B430" s="18">
        <v>2251018018</v>
      </c>
      <c r="C430" t="s">
        <v>1913</v>
      </c>
      <c r="D430" t="s">
        <v>1914</v>
      </c>
      <c r="E430" t="s">
        <v>760</v>
      </c>
      <c r="G430" t="s">
        <v>1895</v>
      </c>
      <c r="H430" t="s">
        <v>1901</v>
      </c>
      <c r="I430" t="s">
        <v>1897</v>
      </c>
    </row>
    <row r="431" spans="1:9">
      <c r="A431" t="s">
        <v>1915</v>
      </c>
      <c r="B431" s="18">
        <v>2251018021</v>
      </c>
      <c r="C431" t="s">
        <v>1916</v>
      </c>
      <c r="D431" t="s">
        <v>1917</v>
      </c>
      <c r="E431" t="s">
        <v>760</v>
      </c>
      <c r="G431" t="s">
        <v>1895</v>
      </c>
      <c r="H431" t="s">
        <v>1901</v>
      </c>
      <c r="I431" t="s">
        <v>1897</v>
      </c>
    </row>
    <row r="432" spans="1:9">
      <c r="A432" t="s">
        <v>1918</v>
      </c>
      <c r="B432" s="18">
        <v>2251018026</v>
      </c>
      <c r="C432" t="s">
        <v>1919</v>
      </c>
      <c r="D432" t="s">
        <v>1920</v>
      </c>
      <c r="E432" t="s">
        <v>760</v>
      </c>
      <c r="G432" t="s">
        <v>1895</v>
      </c>
      <c r="H432" t="s">
        <v>1901</v>
      </c>
      <c r="I432" t="s">
        <v>1897</v>
      </c>
    </row>
    <row r="433" spans="1:9">
      <c r="A433" t="s">
        <v>1921</v>
      </c>
      <c r="B433" s="18">
        <v>2251018028</v>
      </c>
      <c r="C433" t="s">
        <v>1922</v>
      </c>
      <c r="D433" t="s">
        <v>1923</v>
      </c>
      <c r="E433" t="s">
        <v>765</v>
      </c>
      <c r="G433" t="s">
        <v>1895</v>
      </c>
      <c r="H433" t="s">
        <v>1901</v>
      </c>
      <c r="I433" t="s">
        <v>1897</v>
      </c>
    </row>
    <row r="434" spans="1:9">
      <c r="A434" t="s">
        <v>1924</v>
      </c>
      <c r="B434" s="18">
        <v>2251018029</v>
      </c>
      <c r="C434" t="s">
        <v>1925</v>
      </c>
      <c r="D434" t="s">
        <v>1926</v>
      </c>
      <c r="E434" t="s">
        <v>760</v>
      </c>
      <c r="G434" t="s">
        <v>1895</v>
      </c>
      <c r="H434" t="s">
        <v>1901</v>
      </c>
      <c r="I434" t="s">
        <v>1897</v>
      </c>
    </row>
    <row r="435" spans="1:9">
      <c r="A435" t="s">
        <v>1927</v>
      </c>
      <c r="B435" s="18">
        <v>2251018030</v>
      </c>
      <c r="C435" t="s">
        <v>1928</v>
      </c>
      <c r="D435" t="s">
        <v>1929</v>
      </c>
      <c r="E435" t="s">
        <v>760</v>
      </c>
      <c r="G435" t="s">
        <v>1895</v>
      </c>
      <c r="H435" t="s">
        <v>1901</v>
      </c>
      <c r="I435" t="s">
        <v>1897</v>
      </c>
    </row>
    <row r="436" spans="1:9">
      <c r="A436" t="s">
        <v>1930</v>
      </c>
      <c r="B436" s="18">
        <v>2251018031</v>
      </c>
      <c r="C436" t="s">
        <v>1931</v>
      </c>
      <c r="D436" t="s">
        <v>1932</v>
      </c>
      <c r="E436" t="s">
        <v>760</v>
      </c>
      <c r="G436" t="s">
        <v>1895</v>
      </c>
      <c r="H436" t="s">
        <v>1901</v>
      </c>
      <c r="I436" t="s">
        <v>1897</v>
      </c>
    </row>
    <row r="437" spans="1:9">
      <c r="A437" t="s">
        <v>1933</v>
      </c>
      <c r="B437" s="18">
        <v>2251018034</v>
      </c>
      <c r="C437" t="s">
        <v>1934</v>
      </c>
      <c r="D437" t="s">
        <v>1935</v>
      </c>
      <c r="E437" t="s">
        <v>760</v>
      </c>
      <c r="G437" t="s">
        <v>1895</v>
      </c>
      <c r="H437" t="s">
        <v>1901</v>
      </c>
      <c r="I437" t="s">
        <v>1897</v>
      </c>
    </row>
    <row r="438" spans="1:9">
      <c r="A438" t="s">
        <v>1936</v>
      </c>
      <c r="B438" s="18">
        <v>2251018035</v>
      </c>
      <c r="C438" t="s">
        <v>1937</v>
      </c>
      <c r="D438" t="s">
        <v>1938</v>
      </c>
      <c r="E438" t="s">
        <v>765</v>
      </c>
      <c r="G438" t="s">
        <v>1895</v>
      </c>
      <c r="H438" t="s">
        <v>1901</v>
      </c>
      <c r="I438" t="s">
        <v>1897</v>
      </c>
    </row>
    <row r="439" spans="1:9">
      <c r="A439" t="s">
        <v>1939</v>
      </c>
      <c r="B439" s="18">
        <v>2251018038</v>
      </c>
      <c r="C439" t="s">
        <v>1940</v>
      </c>
      <c r="D439" t="s">
        <v>1941</v>
      </c>
      <c r="E439" t="s">
        <v>760</v>
      </c>
      <c r="G439" t="s">
        <v>1895</v>
      </c>
      <c r="H439" t="s">
        <v>1901</v>
      </c>
      <c r="I439" t="s">
        <v>1897</v>
      </c>
    </row>
    <row r="440" spans="1:9">
      <c r="A440" t="s">
        <v>1942</v>
      </c>
      <c r="B440" s="18">
        <v>2251018040</v>
      </c>
      <c r="C440" t="s">
        <v>1943</v>
      </c>
      <c r="D440" t="s">
        <v>1944</v>
      </c>
      <c r="E440" t="s">
        <v>760</v>
      </c>
      <c r="G440" t="s">
        <v>1895</v>
      </c>
      <c r="H440" t="s">
        <v>1901</v>
      </c>
      <c r="I440" t="s">
        <v>1897</v>
      </c>
    </row>
    <row r="441" spans="1:9">
      <c r="A441" t="s">
        <v>1945</v>
      </c>
      <c r="B441" s="18">
        <v>2251018041</v>
      </c>
      <c r="C441" t="s">
        <v>1946</v>
      </c>
      <c r="D441" t="s">
        <v>1947</v>
      </c>
      <c r="E441" t="s">
        <v>760</v>
      </c>
      <c r="G441" t="s">
        <v>1895</v>
      </c>
      <c r="H441" t="s">
        <v>1901</v>
      </c>
      <c r="I441" t="s">
        <v>1897</v>
      </c>
    </row>
    <row r="442" spans="1:9">
      <c r="A442" t="s">
        <v>1948</v>
      </c>
      <c r="B442" s="18">
        <v>2251018042</v>
      </c>
      <c r="C442" t="s">
        <v>1949</v>
      </c>
      <c r="D442" t="s">
        <v>1950</v>
      </c>
      <c r="E442" t="s">
        <v>760</v>
      </c>
      <c r="G442" t="s">
        <v>1951</v>
      </c>
      <c r="H442" t="s">
        <v>1901</v>
      </c>
      <c r="I442" t="s">
        <v>1897</v>
      </c>
    </row>
    <row r="443" spans="1:9">
      <c r="A443" t="s">
        <v>1952</v>
      </c>
      <c r="B443" s="18">
        <v>2251018045</v>
      </c>
      <c r="C443" t="s">
        <v>1953</v>
      </c>
      <c r="D443" t="s">
        <v>1954</v>
      </c>
      <c r="E443" t="s">
        <v>760</v>
      </c>
      <c r="G443" t="s">
        <v>1895</v>
      </c>
      <c r="H443" t="s">
        <v>1901</v>
      </c>
      <c r="I443" t="s">
        <v>1897</v>
      </c>
    </row>
    <row r="444" spans="1:9">
      <c r="A444" t="s">
        <v>1955</v>
      </c>
      <c r="B444" s="18">
        <v>2251018046</v>
      </c>
      <c r="C444" t="s">
        <v>1956</v>
      </c>
      <c r="D444" t="s">
        <v>1957</v>
      </c>
      <c r="E444" t="s">
        <v>760</v>
      </c>
      <c r="G444" t="s">
        <v>1895</v>
      </c>
      <c r="H444" t="s">
        <v>1908</v>
      </c>
      <c r="I444" t="s">
        <v>1897</v>
      </c>
    </row>
    <row r="445" spans="1:9">
      <c r="A445" t="s">
        <v>1958</v>
      </c>
      <c r="B445" s="18">
        <v>2251018049</v>
      </c>
      <c r="C445" t="s">
        <v>1959</v>
      </c>
      <c r="D445" t="s">
        <v>1960</v>
      </c>
      <c r="E445" t="s">
        <v>760</v>
      </c>
      <c r="G445" t="s">
        <v>1895</v>
      </c>
      <c r="H445" t="s">
        <v>1901</v>
      </c>
      <c r="I445" t="s">
        <v>1897</v>
      </c>
    </row>
    <row r="446" spans="1:9">
      <c r="A446" t="s">
        <v>1961</v>
      </c>
      <c r="B446" s="18">
        <v>2251018050</v>
      </c>
      <c r="C446" t="s">
        <v>1962</v>
      </c>
      <c r="D446" t="s">
        <v>1963</v>
      </c>
      <c r="E446" t="s">
        <v>760</v>
      </c>
      <c r="G446" t="s">
        <v>1895</v>
      </c>
      <c r="H446" t="s">
        <v>1908</v>
      </c>
      <c r="I446" t="s">
        <v>1897</v>
      </c>
    </row>
    <row r="447" spans="1:9">
      <c r="A447" t="s">
        <v>1964</v>
      </c>
      <c r="B447" s="18">
        <v>2251018053</v>
      </c>
      <c r="C447" t="s">
        <v>1965</v>
      </c>
      <c r="D447" t="s">
        <v>1966</v>
      </c>
      <c r="E447" t="s">
        <v>760</v>
      </c>
      <c r="H447" t="s">
        <v>1901</v>
      </c>
      <c r="I447" t="s">
        <v>1897</v>
      </c>
    </row>
    <row r="448" spans="1:9">
      <c r="A448" t="s">
        <v>1967</v>
      </c>
      <c r="B448" s="18">
        <v>2251018054</v>
      </c>
      <c r="C448" t="s">
        <v>1968</v>
      </c>
      <c r="D448" t="s">
        <v>1969</v>
      </c>
      <c r="E448" t="s">
        <v>760</v>
      </c>
      <c r="G448" t="s">
        <v>1895</v>
      </c>
      <c r="H448" t="s">
        <v>1901</v>
      </c>
      <c r="I448" t="s">
        <v>1897</v>
      </c>
    </row>
    <row r="449" spans="1:9">
      <c r="A449" t="s">
        <v>1970</v>
      </c>
      <c r="B449" s="18">
        <v>2251018058</v>
      </c>
      <c r="C449" t="s">
        <v>1971</v>
      </c>
      <c r="D449" t="s">
        <v>1972</v>
      </c>
      <c r="E449" t="s">
        <v>760</v>
      </c>
      <c r="G449" t="s">
        <v>1895</v>
      </c>
      <c r="H449" t="s">
        <v>1901</v>
      </c>
      <c r="I449" t="s">
        <v>1897</v>
      </c>
    </row>
    <row r="450" spans="1:9">
      <c r="A450" t="s">
        <v>1973</v>
      </c>
      <c r="B450" s="18">
        <v>2251018062</v>
      </c>
      <c r="C450" t="s">
        <v>1974</v>
      </c>
      <c r="D450" t="s">
        <v>1975</v>
      </c>
      <c r="E450" t="s">
        <v>760</v>
      </c>
      <c r="G450" t="s">
        <v>1895</v>
      </c>
      <c r="H450" t="s">
        <v>1901</v>
      </c>
      <c r="I450" t="s">
        <v>1897</v>
      </c>
    </row>
    <row r="451" spans="1:9">
      <c r="A451" t="s">
        <v>1976</v>
      </c>
      <c r="B451" s="18">
        <v>2251018063</v>
      </c>
      <c r="C451" t="s">
        <v>1977</v>
      </c>
      <c r="D451" t="s">
        <v>1978</v>
      </c>
      <c r="E451" t="s">
        <v>760</v>
      </c>
      <c r="G451" t="s">
        <v>1895</v>
      </c>
      <c r="H451" t="s">
        <v>1901</v>
      </c>
      <c r="I451" t="s">
        <v>1897</v>
      </c>
    </row>
    <row r="452" spans="1:9">
      <c r="A452" t="s">
        <v>1979</v>
      </c>
      <c r="B452" s="18">
        <v>2251018064</v>
      </c>
      <c r="C452" t="s">
        <v>1980</v>
      </c>
      <c r="D452" t="s">
        <v>1981</v>
      </c>
      <c r="E452" t="s">
        <v>760</v>
      </c>
      <c r="G452" t="s">
        <v>1895</v>
      </c>
      <c r="H452" t="s">
        <v>1901</v>
      </c>
      <c r="I452" t="s">
        <v>1897</v>
      </c>
    </row>
    <row r="453" spans="1:9">
      <c r="A453" t="s">
        <v>1982</v>
      </c>
      <c r="B453" s="18">
        <v>2251018065</v>
      </c>
      <c r="C453" t="s">
        <v>1983</v>
      </c>
      <c r="D453" t="s">
        <v>1984</v>
      </c>
      <c r="E453" t="s">
        <v>760</v>
      </c>
      <c r="G453" t="s">
        <v>1895</v>
      </c>
      <c r="H453" t="s">
        <v>1901</v>
      </c>
      <c r="I453" t="s">
        <v>1897</v>
      </c>
    </row>
    <row r="454" spans="1:9">
      <c r="A454" t="s">
        <v>1985</v>
      </c>
      <c r="B454" s="18">
        <v>2251018066</v>
      </c>
      <c r="C454" t="s">
        <v>1986</v>
      </c>
      <c r="D454" t="s">
        <v>1987</v>
      </c>
      <c r="E454" t="s">
        <v>760</v>
      </c>
      <c r="G454" t="s">
        <v>1895</v>
      </c>
      <c r="H454" t="s">
        <v>1901</v>
      </c>
      <c r="I454" t="s">
        <v>1897</v>
      </c>
    </row>
    <row r="455" spans="1:9">
      <c r="A455" t="s">
        <v>1988</v>
      </c>
      <c r="B455" s="18">
        <v>2251018067</v>
      </c>
      <c r="C455" t="s">
        <v>1989</v>
      </c>
      <c r="D455" t="s">
        <v>1911</v>
      </c>
      <c r="E455" t="s">
        <v>760</v>
      </c>
      <c r="G455" t="s">
        <v>1895</v>
      </c>
      <c r="H455" t="s">
        <v>1901</v>
      </c>
      <c r="I455" t="s">
        <v>1897</v>
      </c>
    </row>
    <row r="456" spans="1:9">
      <c r="A456" t="s">
        <v>1990</v>
      </c>
      <c r="B456" s="18">
        <v>2251018069</v>
      </c>
      <c r="C456" t="s">
        <v>1991</v>
      </c>
      <c r="D456" t="s">
        <v>1992</v>
      </c>
      <c r="E456" t="s">
        <v>760</v>
      </c>
      <c r="I456" t="s">
        <v>1897</v>
      </c>
    </row>
    <row r="457" spans="1:9">
      <c r="A457" t="s">
        <v>1993</v>
      </c>
      <c r="B457" s="18">
        <v>2251018071</v>
      </c>
      <c r="C457" t="s">
        <v>1994</v>
      </c>
      <c r="D457" t="s">
        <v>1995</v>
      </c>
      <c r="E457" t="s">
        <v>765</v>
      </c>
      <c r="G457" t="s">
        <v>1895</v>
      </c>
      <c r="H457" t="s">
        <v>1908</v>
      </c>
      <c r="I457" t="s">
        <v>1897</v>
      </c>
    </row>
    <row r="458" spans="1:9">
      <c r="A458" t="s">
        <v>1996</v>
      </c>
      <c r="B458" s="18">
        <v>2251018074</v>
      </c>
      <c r="C458" t="s">
        <v>1997</v>
      </c>
      <c r="D458" t="s">
        <v>1998</v>
      </c>
      <c r="E458" t="s">
        <v>760</v>
      </c>
      <c r="G458" t="s">
        <v>1895</v>
      </c>
      <c r="H458" t="s">
        <v>1908</v>
      </c>
      <c r="I458" t="s">
        <v>1897</v>
      </c>
    </row>
    <row r="459" spans="1:9">
      <c r="A459" t="s">
        <v>1999</v>
      </c>
      <c r="B459" s="18">
        <v>2251018075</v>
      </c>
      <c r="C459" t="s">
        <v>2000</v>
      </c>
      <c r="D459" t="s">
        <v>2001</v>
      </c>
      <c r="E459" t="s">
        <v>760</v>
      </c>
      <c r="G459" t="s">
        <v>1895</v>
      </c>
      <c r="H459" t="s">
        <v>1901</v>
      </c>
      <c r="I459" t="s">
        <v>1897</v>
      </c>
    </row>
    <row r="460" spans="1:9">
      <c r="A460" t="s">
        <v>2002</v>
      </c>
      <c r="B460" s="18">
        <v>2251018078</v>
      </c>
      <c r="C460" t="s">
        <v>2003</v>
      </c>
      <c r="D460" t="s">
        <v>2004</v>
      </c>
      <c r="E460" t="s">
        <v>760</v>
      </c>
      <c r="G460" t="s">
        <v>1895</v>
      </c>
      <c r="H460" t="s">
        <v>1901</v>
      </c>
      <c r="I460" t="s">
        <v>1897</v>
      </c>
    </row>
    <row r="461" spans="1:9">
      <c r="A461" t="s">
        <v>2005</v>
      </c>
      <c r="B461" s="18">
        <v>2251018079</v>
      </c>
      <c r="C461" t="s">
        <v>2006</v>
      </c>
      <c r="D461" t="s">
        <v>2007</v>
      </c>
      <c r="E461" t="s">
        <v>760</v>
      </c>
      <c r="G461" t="s">
        <v>1895</v>
      </c>
      <c r="H461" t="s">
        <v>1901</v>
      </c>
      <c r="I461" t="s">
        <v>1897</v>
      </c>
    </row>
    <row r="462" spans="1:9">
      <c r="A462" t="s">
        <v>2008</v>
      </c>
      <c r="B462" s="18">
        <v>2251018080</v>
      </c>
      <c r="C462" t="s">
        <v>2009</v>
      </c>
      <c r="D462" t="s">
        <v>2010</v>
      </c>
      <c r="E462" t="s">
        <v>760</v>
      </c>
      <c r="G462" t="s">
        <v>1895</v>
      </c>
      <c r="H462" t="s">
        <v>1901</v>
      </c>
      <c r="I462" t="s">
        <v>1897</v>
      </c>
    </row>
    <row r="463" spans="1:9">
      <c r="A463" t="s">
        <v>2011</v>
      </c>
      <c r="B463" s="18">
        <v>2251018082</v>
      </c>
      <c r="C463" t="s">
        <v>2012</v>
      </c>
      <c r="D463" t="s">
        <v>2013</v>
      </c>
      <c r="E463" t="s">
        <v>765</v>
      </c>
      <c r="G463" t="s">
        <v>1895</v>
      </c>
      <c r="H463" t="s">
        <v>1901</v>
      </c>
      <c r="I463" t="s">
        <v>1897</v>
      </c>
    </row>
    <row r="464" spans="1:9">
      <c r="A464" t="s">
        <v>2014</v>
      </c>
      <c r="B464" s="18">
        <v>2251068170</v>
      </c>
      <c r="C464" t="s">
        <v>2015</v>
      </c>
      <c r="D464" t="s">
        <v>2016</v>
      </c>
      <c r="E464" t="s">
        <v>760</v>
      </c>
      <c r="G464" t="s">
        <v>1895</v>
      </c>
      <c r="H464" t="s">
        <v>1901</v>
      </c>
      <c r="I464" t="s">
        <v>1897</v>
      </c>
    </row>
    <row r="465" spans="1:9">
      <c r="A465" t="s">
        <v>2017</v>
      </c>
      <c r="B465" s="18">
        <v>2251068174</v>
      </c>
      <c r="C465" t="s">
        <v>2018</v>
      </c>
      <c r="D465" t="s">
        <v>2019</v>
      </c>
      <c r="E465" t="s">
        <v>760</v>
      </c>
      <c r="G465" t="s">
        <v>1895</v>
      </c>
      <c r="H465" t="s">
        <v>1908</v>
      </c>
      <c r="I465" t="s">
        <v>1897</v>
      </c>
    </row>
    <row r="466" spans="1:9">
      <c r="A466" t="s">
        <v>2020</v>
      </c>
      <c r="B466" s="18">
        <v>2251068172</v>
      </c>
      <c r="C466" t="s">
        <v>2021</v>
      </c>
      <c r="D466" t="s">
        <v>2022</v>
      </c>
      <c r="E466" t="s">
        <v>760</v>
      </c>
      <c r="G466" t="s">
        <v>1895</v>
      </c>
      <c r="H466" t="s">
        <v>1901</v>
      </c>
      <c r="I466" t="s">
        <v>1897</v>
      </c>
    </row>
    <row r="467" spans="1:9">
      <c r="A467" t="s">
        <v>2023</v>
      </c>
      <c r="B467" s="18">
        <v>2251068173</v>
      </c>
      <c r="C467" t="s">
        <v>2024</v>
      </c>
      <c r="D467" t="s">
        <v>2025</v>
      </c>
      <c r="E467" t="s">
        <v>760</v>
      </c>
      <c r="G467" t="s">
        <v>1895</v>
      </c>
      <c r="H467" t="s">
        <v>1901</v>
      </c>
      <c r="I467" t="s">
        <v>1897</v>
      </c>
    </row>
    <row r="468" spans="1:9">
      <c r="A468" t="s">
        <v>2026</v>
      </c>
      <c r="B468" s="18">
        <v>2251068175</v>
      </c>
      <c r="C468" t="s">
        <v>2027</v>
      </c>
      <c r="D468" t="s">
        <v>2028</v>
      </c>
      <c r="E468" t="s">
        <v>760</v>
      </c>
      <c r="G468" t="s">
        <v>1895</v>
      </c>
      <c r="H468" t="s">
        <v>1908</v>
      </c>
      <c r="I468" t="s">
        <v>1897</v>
      </c>
    </row>
    <row r="469" spans="1:9">
      <c r="A469" t="s">
        <v>2029</v>
      </c>
      <c r="B469" s="18">
        <v>2251068176</v>
      </c>
      <c r="C469" t="s">
        <v>2030</v>
      </c>
      <c r="D469" t="s">
        <v>2031</v>
      </c>
      <c r="E469" t="s">
        <v>760</v>
      </c>
      <c r="G469" t="s">
        <v>1895</v>
      </c>
      <c r="H469" t="s">
        <v>1908</v>
      </c>
      <c r="I469" t="s">
        <v>1897</v>
      </c>
    </row>
    <row r="470" spans="1:9">
      <c r="A470" t="s">
        <v>2032</v>
      </c>
      <c r="B470" s="18">
        <v>2251068177</v>
      </c>
      <c r="C470" t="s">
        <v>2033</v>
      </c>
      <c r="D470" t="s">
        <v>2034</v>
      </c>
      <c r="E470" t="s">
        <v>760</v>
      </c>
      <c r="G470" t="s">
        <v>1895</v>
      </c>
      <c r="H470" t="s">
        <v>1901</v>
      </c>
      <c r="I470" t="s">
        <v>1897</v>
      </c>
    </row>
    <row r="471" spans="1:9">
      <c r="A471" t="s">
        <v>2035</v>
      </c>
      <c r="B471" s="18">
        <v>2251068178</v>
      </c>
      <c r="C471" t="s">
        <v>2036</v>
      </c>
      <c r="D471" t="s">
        <v>2037</v>
      </c>
      <c r="E471" t="s">
        <v>760</v>
      </c>
      <c r="G471" t="s">
        <v>1895</v>
      </c>
      <c r="H471" t="s">
        <v>1896</v>
      </c>
      <c r="I471" t="s">
        <v>1897</v>
      </c>
    </row>
    <row r="472" spans="1:9">
      <c r="A472" t="s">
        <v>2038</v>
      </c>
      <c r="B472" s="18">
        <v>2251068179</v>
      </c>
      <c r="C472" t="s">
        <v>2039</v>
      </c>
      <c r="D472" t="s">
        <v>2040</v>
      </c>
      <c r="E472" t="s">
        <v>760</v>
      </c>
      <c r="G472" t="s">
        <v>1895</v>
      </c>
      <c r="H472" t="s">
        <v>1901</v>
      </c>
      <c r="I472" t="s">
        <v>1897</v>
      </c>
    </row>
    <row r="473" spans="1:9">
      <c r="A473" t="s">
        <v>2041</v>
      </c>
      <c r="B473" s="18">
        <v>2251068184</v>
      </c>
      <c r="C473" t="s">
        <v>1768</v>
      </c>
      <c r="D473" t="s">
        <v>2042</v>
      </c>
      <c r="E473" t="s">
        <v>760</v>
      </c>
      <c r="G473" t="s">
        <v>1895</v>
      </c>
      <c r="H473" t="s">
        <v>1901</v>
      </c>
      <c r="I473" t="s">
        <v>1897</v>
      </c>
    </row>
    <row r="474" spans="1:9">
      <c r="A474" t="s">
        <v>2043</v>
      </c>
      <c r="B474" s="18">
        <v>2251068180</v>
      </c>
      <c r="C474" t="s">
        <v>2044</v>
      </c>
      <c r="D474" t="s">
        <v>2045</v>
      </c>
      <c r="E474" t="s">
        <v>765</v>
      </c>
      <c r="G474" t="s">
        <v>1895</v>
      </c>
      <c r="H474" t="s">
        <v>1901</v>
      </c>
      <c r="I474" t="s">
        <v>1897</v>
      </c>
    </row>
    <row r="475" spans="1:9">
      <c r="A475" t="s">
        <v>2046</v>
      </c>
      <c r="B475" s="18">
        <v>2251068186</v>
      </c>
      <c r="C475" t="s">
        <v>2047</v>
      </c>
      <c r="D475" t="s">
        <v>2048</v>
      </c>
      <c r="E475" t="s">
        <v>760</v>
      </c>
      <c r="G475" t="s">
        <v>1895</v>
      </c>
      <c r="H475" t="s">
        <v>1901</v>
      </c>
      <c r="I475" t="s">
        <v>1897</v>
      </c>
    </row>
    <row r="476" spans="1:9">
      <c r="A476" t="s">
        <v>2049</v>
      </c>
      <c r="B476" s="18">
        <v>2251068183</v>
      </c>
      <c r="C476" t="s">
        <v>2050</v>
      </c>
      <c r="D476" t="s">
        <v>2051</v>
      </c>
      <c r="E476" t="s">
        <v>760</v>
      </c>
      <c r="G476" t="s">
        <v>1895</v>
      </c>
      <c r="H476" t="s">
        <v>1901</v>
      </c>
      <c r="I476" t="s">
        <v>1897</v>
      </c>
    </row>
    <row r="477" spans="1:9">
      <c r="A477" t="s">
        <v>2052</v>
      </c>
      <c r="B477" s="18">
        <v>2251068181</v>
      </c>
      <c r="C477" t="s">
        <v>2053</v>
      </c>
      <c r="D477" t="s">
        <v>2054</v>
      </c>
      <c r="E477" t="s">
        <v>760</v>
      </c>
      <c r="G477" t="s">
        <v>1895</v>
      </c>
      <c r="H477" t="s">
        <v>1901</v>
      </c>
      <c r="I477" t="s">
        <v>1897</v>
      </c>
    </row>
    <row r="478" spans="1:9">
      <c r="A478" t="s">
        <v>2055</v>
      </c>
      <c r="B478" s="18">
        <v>2251068182</v>
      </c>
      <c r="C478" t="s">
        <v>2056</v>
      </c>
      <c r="D478" t="s">
        <v>1954</v>
      </c>
      <c r="E478" t="s">
        <v>760</v>
      </c>
      <c r="G478" t="s">
        <v>1895</v>
      </c>
      <c r="H478" t="s">
        <v>1908</v>
      </c>
      <c r="I478" t="s">
        <v>1897</v>
      </c>
    </row>
    <row r="479" spans="1:9">
      <c r="A479" t="s">
        <v>2057</v>
      </c>
      <c r="B479" s="18">
        <v>2251068188</v>
      </c>
      <c r="C479" t="s">
        <v>2058</v>
      </c>
      <c r="D479" t="s">
        <v>2059</v>
      </c>
      <c r="E479" t="s">
        <v>760</v>
      </c>
      <c r="G479" t="s">
        <v>1895</v>
      </c>
      <c r="H479" t="s">
        <v>1901</v>
      </c>
      <c r="I479" t="s">
        <v>1897</v>
      </c>
    </row>
    <row r="480" spans="1:9">
      <c r="A480" t="s">
        <v>2060</v>
      </c>
      <c r="B480" s="18">
        <v>2251068189</v>
      </c>
      <c r="C480" t="s">
        <v>2061</v>
      </c>
      <c r="D480" t="s">
        <v>2062</v>
      </c>
      <c r="E480" t="s">
        <v>760</v>
      </c>
      <c r="I480" t="s">
        <v>1897</v>
      </c>
    </row>
    <row r="481" spans="1:9">
      <c r="A481" t="s">
        <v>2063</v>
      </c>
      <c r="B481" s="18">
        <v>2251068190</v>
      </c>
      <c r="C481" t="s">
        <v>2064</v>
      </c>
      <c r="D481" t="s">
        <v>2065</v>
      </c>
      <c r="E481" t="s">
        <v>760</v>
      </c>
      <c r="I481" t="s">
        <v>1897</v>
      </c>
    </row>
    <row r="482" spans="1:9">
      <c r="A482" t="s">
        <v>2066</v>
      </c>
      <c r="B482" s="18">
        <v>2251068192</v>
      </c>
      <c r="C482" t="s">
        <v>2067</v>
      </c>
      <c r="D482" t="s">
        <v>2068</v>
      </c>
      <c r="E482" t="s">
        <v>760</v>
      </c>
      <c r="G482" t="s">
        <v>1895</v>
      </c>
      <c r="H482" t="s">
        <v>1901</v>
      </c>
      <c r="I482" t="s">
        <v>1897</v>
      </c>
    </row>
    <row r="483" spans="1:9">
      <c r="A483" t="s">
        <v>2069</v>
      </c>
      <c r="B483" s="18">
        <v>2251068191</v>
      </c>
      <c r="C483" t="s">
        <v>178</v>
      </c>
      <c r="D483" t="s">
        <v>2070</v>
      </c>
      <c r="E483" t="s">
        <v>765</v>
      </c>
      <c r="G483" t="s">
        <v>1895</v>
      </c>
      <c r="H483" t="s">
        <v>1901</v>
      </c>
      <c r="I483" t="s">
        <v>1897</v>
      </c>
    </row>
    <row r="484" spans="1:9">
      <c r="A484" t="s">
        <v>2071</v>
      </c>
      <c r="B484" s="18">
        <v>2251068193</v>
      </c>
      <c r="C484" t="s">
        <v>2072</v>
      </c>
      <c r="D484" t="s">
        <v>1960</v>
      </c>
      <c r="E484" t="s">
        <v>760</v>
      </c>
      <c r="G484" t="s">
        <v>1895</v>
      </c>
      <c r="H484" t="s">
        <v>1901</v>
      </c>
      <c r="I484" t="s">
        <v>1897</v>
      </c>
    </row>
    <row r="485" spans="1:9">
      <c r="A485" t="s">
        <v>2073</v>
      </c>
      <c r="B485" s="18">
        <v>2251068194</v>
      </c>
      <c r="C485" t="s">
        <v>2074</v>
      </c>
      <c r="D485" t="s">
        <v>2075</v>
      </c>
      <c r="E485" t="s">
        <v>760</v>
      </c>
      <c r="G485" t="s">
        <v>1895</v>
      </c>
      <c r="H485" t="s">
        <v>1901</v>
      </c>
      <c r="I485" t="s">
        <v>1897</v>
      </c>
    </row>
    <row r="486" spans="1:9">
      <c r="A486" t="s">
        <v>2076</v>
      </c>
      <c r="B486" s="18">
        <v>2251068197</v>
      </c>
      <c r="C486" t="s">
        <v>2077</v>
      </c>
      <c r="D486" t="s">
        <v>2078</v>
      </c>
      <c r="E486" t="s">
        <v>760</v>
      </c>
      <c r="G486" t="s">
        <v>1895</v>
      </c>
      <c r="H486" t="s">
        <v>1901</v>
      </c>
      <c r="I486" t="s">
        <v>1897</v>
      </c>
    </row>
    <row r="487" spans="1:9">
      <c r="A487" t="s">
        <v>2079</v>
      </c>
      <c r="B487" s="18">
        <v>2251068198</v>
      </c>
      <c r="C487" t="s">
        <v>2080</v>
      </c>
      <c r="D487" t="s">
        <v>2081</v>
      </c>
      <c r="E487" t="s">
        <v>760</v>
      </c>
      <c r="G487" t="s">
        <v>1895</v>
      </c>
      <c r="H487" t="s">
        <v>1901</v>
      </c>
      <c r="I487" t="s">
        <v>1897</v>
      </c>
    </row>
    <row r="488" spans="1:9">
      <c r="A488" t="s">
        <v>2082</v>
      </c>
      <c r="B488" s="18">
        <v>2251068199</v>
      </c>
      <c r="C488" t="s">
        <v>2083</v>
      </c>
      <c r="D488" t="s">
        <v>2084</v>
      </c>
      <c r="E488" t="s">
        <v>760</v>
      </c>
      <c r="H488" t="s">
        <v>1901</v>
      </c>
      <c r="I488" t="s">
        <v>1897</v>
      </c>
    </row>
    <row r="489" spans="1:9">
      <c r="A489" t="s">
        <v>2085</v>
      </c>
      <c r="B489" s="18">
        <v>2251068200</v>
      </c>
      <c r="C489" t="s">
        <v>2086</v>
      </c>
      <c r="D489" t="s">
        <v>2087</v>
      </c>
      <c r="E489" t="s">
        <v>760</v>
      </c>
      <c r="G489" t="s">
        <v>1895</v>
      </c>
      <c r="H489" t="s">
        <v>1901</v>
      </c>
      <c r="I489" t="s">
        <v>1897</v>
      </c>
    </row>
    <row r="490" spans="1:9">
      <c r="A490" t="s">
        <v>2088</v>
      </c>
      <c r="B490" s="18">
        <v>2251068201</v>
      </c>
      <c r="C490" t="s">
        <v>2089</v>
      </c>
      <c r="D490" t="s">
        <v>2090</v>
      </c>
      <c r="E490" t="s">
        <v>760</v>
      </c>
      <c r="G490" t="s">
        <v>1895</v>
      </c>
      <c r="H490" t="s">
        <v>1901</v>
      </c>
      <c r="I490" t="s">
        <v>1897</v>
      </c>
    </row>
    <row r="491" spans="1:9">
      <c r="A491" t="s">
        <v>2091</v>
      </c>
      <c r="B491" s="18">
        <v>2251068202</v>
      </c>
      <c r="C491" t="s">
        <v>1931</v>
      </c>
      <c r="D491" t="s">
        <v>2092</v>
      </c>
      <c r="E491" t="s">
        <v>760</v>
      </c>
      <c r="G491" t="s">
        <v>1895</v>
      </c>
      <c r="H491" t="s">
        <v>1901</v>
      </c>
      <c r="I491" t="s">
        <v>1897</v>
      </c>
    </row>
    <row r="492" spans="1:9">
      <c r="A492" t="s">
        <v>2093</v>
      </c>
      <c r="B492" s="18">
        <v>2251068203</v>
      </c>
      <c r="C492" t="s">
        <v>2094</v>
      </c>
      <c r="D492" t="s">
        <v>2095</v>
      </c>
      <c r="E492" t="s">
        <v>760</v>
      </c>
      <c r="G492" t="s">
        <v>1895</v>
      </c>
      <c r="H492" t="s">
        <v>1901</v>
      </c>
      <c r="I492" t="s">
        <v>1897</v>
      </c>
    </row>
    <row r="493" spans="1:9">
      <c r="A493" t="s">
        <v>2096</v>
      </c>
      <c r="B493" s="18">
        <v>2251068204</v>
      </c>
      <c r="C493" t="s">
        <v>2097</v>
      </c>
      <c r="D493" t="s">
        <v>2098</v>
      </c>
      <c r="E493" t="s">
        <v>765</v>
      </c>
      <c r="G493" t="s">
        <v>1895</v>
      </c>
      <c r="H493" t="s">
        <v>1901</v>
      </c>
      <c r="I493" t="s">
        <v>1897</v>
      </c>
    </row>
    <row r="494" spans="1:9">
      <c r="A494" t="s">
        <v>2099</v>
      </c>
      <c r="B494" s="18">
        <v>2251068205</v>
      </c>
      <c r="C494" t="s">
        <v>2100</v>
      </c>
      <c r="D494" t="s">
        <v>2101</v>
      </c>
      <c r="E494" t="s">
        <v>760</v>
      </c>
      <c r="H494" t="s">
        <v>1901</v>
      </c>
      <c r="I494" t="s">
        <v>1897</v>
      </c>
    </row>
    <row r="495" spans="1:9">
      <c r="A495" t="s">
        <v>2102</v>
      </c>
      <c r="B495" s="18">
        <v>2251068206</v>
      </c>
      <c r="C495" t="s">
        <v>2103</v>
      </c>
      <c r="D495" t="s">
        <v>2104</v>
      </c>
      <c r="E495" t="s">
        <v>760</v>
      </c>
      <c r="G495" t="s">
        <v>1895</v>
      </c>
      <c r="H495" t="s">
        <v>1896</v>
      </c>
      <c r="I495" t="s">
        <v>1897</v>
      </c>
    </row>
    <row r="496" spans="1:9">
      <c r="A496" t="s">
        <v>2105</v>
      </c>
      <c r="B496" s="18">
        <v>2251068207</v>
      </c>
      <c r="C496" t="s">
        <v>2106</v>
      </c>
      <c r="D496" t="s">
        <v>2107</v>
      </c>
      <c r="E496" t="s">
        <v>760</v>
      </c>
      <c r="G496" t="s">
        <v>1895</v>
      </c>
      <c r="H496" t="s">
        <v>1901</v>
      </c>
      <c r="I496" t="s">
        <v>1897</v>
      </c>
    </row>
    <row r="497" spans="1:9">
      <c r="A497" t="s">
        <v>2108</v>
      </c>
      <c r="B497" s="18">
        <v>2251068208</v>
      </c>
      <c r="C497" t="s">
        <v>2109</v>
      </c>
      <c r="D497" t="s">
        <v>2110</v>
      </c>
      <c r="E497" t="s">
        <v>760</v>
      </c>
      <c r="G497" t="s">
        <v>1895</v>
      </c>
      <c r="H497" t="s">
        <v>1901</v>
      </c>
      <c r="I497" t="s">
        <v>1897</v>
      </c>
    </row>
    <row r="498" spans="1:9">
      <c r="A498" t="s">
        <v>2111</v>
      </c>
      <c r="B498" s="18">
        <v>2251068209</v>
      </c>
      <c r="C498" t="s">
        <v>2112</v>
      </c>
      <c r="D498" t="s">
        <v>2113</v>
      </c>
      <c r="E498" t="s">
        <v>760</v>
      </c>
      <c r="G498" t="s">
        <v>1895</v>
      </c>
      <c r="H498" t="s">
        <v>1901</v>
      </c>
      <c r="I498" t="s">
        <v>1897</v>
      </c>
    </row>
    <row r="499" spans="1:9">
      <c r="A499" t="s">
        <v>2114</v>
      </c>
      <c r="B499" s="18">
        <v>2251068210</v>
      </c>
      <c r="C499" t="s">
        <v>2115</v>
      </c>
      <c r="D499" t="s">
        <v>2116</v>
      </c>
      <c r="E499" t="s">
        <v>760</v>
      </c>
      <c r="G499" t="s">
        <v>1895</v>
      </c>
      <c r="H499" t="s">
        <v>1901</v>
      </c>
      <c r="I499" t="s">
        <v>1897</v>
      </c>
    </row>
    <row r="500" spans="1:9">
      <c r="A500" t="s">
        <v>2117</v>
      </c>
      <c r="B500" s="18">
        <v>2251068211</v>
      </c>
      <c r="C500" t="s">
        <v>2118</v>
      </c>
      <c r="D500" t="s">
        <v>2119</v>
      </c>
      <c r="E500" t="s">
        <v>760</v>
      </c>
      <c r="G500" t="s">
        <v>1895</v>
      </c>
      <c r="H500" t="s">
        <v>1901</v>
      </c>
      <c r="I500" t="s">
        <v>1897</v>
      </c>
    </row>
    <row r="501" spans="1:9">
      <c r="A501" t="s">
        <v>2120</v>
      </c>
      <c r="B501" s="18">
        <v>2251068212</v>
      </c>
      <c r="C501" t="s">
        <v>2121</v>
      </c>
      <c r="D501" t="s">
        <v>2122</v>
      </c>
      <c r="E501" t="s">
        <v>760</v>
      </c>
      <c r="G501" t="s">
        <v>1895</v>
      </c>
      <c r="H501" t="s">
        <v>1896</v>
      </c>
      <c r="I501" t="s">
        <v>1897</v>
      </c>
    </row>
    <row r="502" spans="1:9">
      <c r="A502" t="s">
        <v>2123</v>
      </c>
      <c r="B502" s="18">
        <v>2251068213</v>
      </c>
      <c r="C502" t="s">
        <v>2124</v>
      </c>
      <c r="D502" t="s">
        <v>2125</v>
      </c>
      <c r="E502" t="s">
        <v>760</v>
      </c>
      <c r="G502" t="s">
        <v>1895</v>
      </c>
      <c r="H502" t="s">
        <v>1896</v>
      </c>
      <c r="I502" t="s">
        <v>1897</v>
      </c>
    </row>
    <row r="503" spans="1:9">
      <c r="A503" t="s">
        <v>2126</v>
      </c>
      <c r="B503" s="18">
        <v>2251068214</v>
      </c>
      <c r="C503" t="s">
        <v>2127</v>
      </c>
      <c r="D503" t="s">
        <v>2128</v>
      </c>
      <c r="E503" t="s">
        <v>760</v>
      </c>
      <c r="G503" t="s">
        <v>1895</v>
      </c>
      <c r="H503" t="s">
        <v>1901</v>
      </c>
      <c r="I503" t="s">
        <v>1897</v>
      </c>
    </row>
    <row r="504" spans="1:9">
      <c r="A504" t="s">
        <v>2129</v>
      </c>
      <c r="B504" s="18">
        <v>2251068215</v>
      </c>
      <c r="C504" t="s">
        <v>2130</v>
      </c>
      <c r="D504" t="s">
        <v>2131</v>
      </c>
      <c r="E504" t="s">
        <v>765</v>
      </c>
      <c r="G504" t="s">
        <v>1895</v>
      </c>
      <c r="H504" t="s">
        <v>1901</v>
      </c>
      <c r="I504" t="s">
        <v>1897</v>
      </c>
    </row>
    <row r="505" spans="1:9">
      <c r="A505" t="s">
        <v>2132</v>
      </c>
      <c r="B505" s="18">
        <v>2251068216</v>
      </c>
      <c r="C505" t="s">
        <v>2133</v>
      </c>
      <c r="D505" t="s">
        <v>2134</v>
      </c>
      <c r="E505" t="s">
        <v>760</v>
      </c>
      <c r="G505" t="s">
        <v>2135</v>
      </c>
      <c r="H505" t="s">
        <v>1901</v>
      </c>
      <c r="I505" t="s">
        <v>1897</v>
      </c>
    </row>
    <row r="506" spans="1:9">
      <c r="A506" t="s">
        <v>2136</v>
      </c>
      <c r="B506" s="18">
        <v>2251068217</v>
      </c>
      <c r="C506" t="s">
        <v>2137</v>
      </c>
      <c r="D506" t="s">
        <v>2138</v>
      </c>
      <c r="E506" t="s">
        <v>765</v>
      </c>
      <c r="G506" t="s">
        <v>1895</v>
      </c>
      <c r="H506" t="s">
        <v>1901</v>
      </c>
      <c r="I506" t="s">
        <v>1897</v>
      </c>
    </row>
    <row r="507" spans="1:9">
      <c r="A507" t="s">
        <v>2139</v>
      </c>
      <c r="B507" s="18">
        <v>2251068218</v>
      </c>
      <c r="C507" t="s">
        <v>2140</v>
      </c>
      <c r="D507" t="s">
        <v>2141</v>
      </c>
      <c r="E507" t="s">
        <v>760</v>
      </c>
      <c r="G507" t="s">
        <v>1895</v>
      </c>
      <c r="H507" t="s">
        <v>1901</v>
      </c>
      <c r="I507" t="s">
        <v>1897</v>
      </c>
    </row>
    <row r="508" spans="1:9">
      <c r="A508" t="s">
        <v>2142</v>
      </c>
      <c r="B508" s="18">
        <v>2251068219</v>
      </c>
      <c r="C508" t="s">
        <v>826</v>
      </c>
      <c r="D508" t="s">
        <v>2143</v>
      </c>
      <c r="E508" t="s">
        <v>760</v>
      </c>
      <c r="G508" t="s">
        <v>1895</v>
      </c>
      <c r="H508" t="s">
        <v>1908</v>
      </c>
      <c r="I508" t="s">
        <v>1897</v>
      </c>
    </row>
    <row r="509" spans="1:9">
      <c r="A509" t="s">
        <v>2144</v>
      </c>
      <c r="B509" s="18">
        <v>2251068221</v>
      </c>
      <c r="C509" t="s">
        <v>2145</v>
      </c>
      <c r="D509" t="s">
        <v>2146</v>
      </c>
      <c r="E509" t="s">
        <v>760</v>
      </c>
      <c r="G509" t="s">
        <v>1895</v>
      </c>
      <c r="H509" t="s">
        <v>1901</v>
      </c>
      <c r="I509" t="s">
        <v>1897</v>
      </c>
    </row>
    <row r="510" spans="1:9">
      <c r="A510" t="s">
        <v>2147</v>
      </c>
      <c r="B510" s="18">
        <v>2251068222</v>
      </c>
      <c r="C510" t="s">
        <v>2148</v>
      </c>
      <c r="D510" t="s">
        <v>2149</v>
      </c>
      <c r="E510" t="s">
        <v>760</v>
      </c>
      <c r="G510" t="s">
        <v>1895</v>
      </c>
      <c r="H510" t="s">
        <v>1901</v>
      </c>
      <c r="I510" t="s">
        <v>1897</v>
      </c>
    </row>
    <row r="511" spans="1:9">
      <c r="A511" t="s">
        <v>2150</v>
      </c>
      <c r="B511" s="18">
        <v>2251068223</v>
      </c>
      <c r="C511" t="s">
        <v>2151</v>
      </c>
      <c r="D511" t="s">
        <v>2152</v>
      </c>
      <c r="E511" t="s">
        <v>765</v>
      </c>
      <c r="G511" t="s">
        <v>1895</v>
      </c>
      <c r="H511" t="s">
        <v>1901</v>
      </c>
      <c r="I511" t="s">
        <v>1897</v>
      </c>
    </row>
    <row r="512" spans="1:9">
      <c r="A512" t="s">
        <v>2153</v>
      </c>
      <c r="B512" s="18">
        <v>2251068224</v>
      </c>
      <c r="C512" t="s">
        <v>2154</v>
      </c>
      <c r="D512" t="s">
        <v>2155</v>
      </c>
      <c r="E512" t="s">
        <v>765</v>
      </c>
      <c r="G512" t="s">
        <v>1895</v>
      </c>
      <c r="H512" t="s">
        <v>1901</v>
      </c>
      <c r="I512" t="s">
        <v>1897</v>
      </c>
    </row>
    <row r="513" spans="1:9">
      <c r="A513" t="s">
        <v>2156</v>
      </c>
      <c r="B513" s="18">
        <v>2251068225</v>
      </c>
      <c r="C513" t="s">
        <v>2157</v>
      </c>
      <c r="D513" t="s">
        <v>2158</v>
      </c>
      <c r="E513" t="s">
        <v>760</v>
      </c>
      <c r="G513" t="s">
        <v>1895</v>
      </c>
      <c r="H513" t="s">
        <v>1901</v>
      </c>
      <c r="I513" t="s">
        <v>1897</v>
      </c>
    </row>
    <row r="514" spans="1:9">
      <c r="A514" t="s">
        <v>2159</v>
      </c>
      <c r="B514" s="18">
        <v>2251068226</v>
      </c>
      <c r="C514" t="s">
        <v>2160</v>
      </c>
      <c r="D514" t="s">
        <v>2161</v>
      </c>
      <c r="E514" t="s">
        <v>760</v>
      </c>
      <c r="G514" t="s">
        <v>1895</v>
      </c>
      <c r="H514" t="s">
        <v>1896</v>
      </c>
      <c r="I514" t="s">
        <v>1897</v>
      </c>
    </row>
    <row r="515" spans="1:9">
      <c r="A515" t="s">
        <v>2162</v>
      </c>
      <c r="B515" s="18">
        <v>2251068227</v>
      </c>
      <c r="C515" t="s">
        <v>2163</v>
      </c>
      <c r="D515" t="s">
        <v>2164</v>
      </c>
      <c r="E515" t="s">
        <v>760</v>
      </c>
      <c r="G515" t="s">
        <v>1895</v>
      </c>
      <c r="H515" t="s">
        <v>1901</v>
      </c>
      <c r="I515" t="s">
        <v>1897</v>
      </c>
    </row>
    <row r="516" spans="1:9">
      <c r="A516" t="s">
        <v>2165</v>
      </c>
      <c r="B516" s="18">
        <v>2251068228</v>
      </c>
      <c r="C516" t="s">
        <v>2166</v>
      </c>
      <c r="D516" t="s">
        <v>2092</v>
      </c>
      <c r="E516" t="s">
        <v>760</v>
      </c>
      <c r="I516" t="s">
        <v>1897</v>
      </c>
    </row>
    <row r="517" spans="1:9">
      <c r="A517" t="s">
        <v>2167</v>
      </c>
      <c r="B517" s="18">
        <v>2251068229</v>
      </c>
      <c r="C517" t="s">
        <v>2168</v>
      </c>
      <c r="D517" t="s">
        <v>2138</v>
      </c>
      <c r="E517" t="s">
        <v>760</v>
      </c>
      <c r="G517" t="s">
        <v>1895</v>
      </c>
      <c r="H517" t="s">
        <v>1901</v>
      </c>
      <c r="I517" t="s">
        <v>1897</v>
      </c>
    </row>
    <row r="518" spans="1:9">
      <c r="A518" t="s">
        <v>2169</v>
      </c>
      <c r="B518" s="18">
        <v>2251068230</v>
      </c>
      <c r="C518" t="s">
        <v>2170</v>
      </c>
      <c r="D518" t="s">
        <v>2171</v>
      </c>
      <c r="E518" t="s">
        <v>760</v>
      </c>
      <c r="G518" t="s">
        <v>1895</v>
      </c>
      <c r="H518" t="s">
        <v>1908</v>
      </c>
      <c r="I518" t="s">
        <v>1897</v>
      </c>
    </row>
    <row r="519" spans="1:9">
      <c r="A519" t="s">
        <v>2172</v>
      </c>
      <c r="B519" s="18">
        <v>2251068231</v>
      </c>
      <c r="C519" t="s">
        <v>2173</v>
      </c>
      <c r="D519" t="s">
        <v>2174</v>
      </c>
      <c r="E519" t="s">
        <v>760</v>
      </c>
      <c r="G519" t="s">
        <v>1895</v>
      </c>
      <c r="H519" t="s">
        <v>1901</v>
      </c>
      <c r="I519" t="s">
        <v>1897</v>
      </c>
    </row>
    <row r="520" spans="1:9">
      <c r="A520" t="s">
        <v>2175</v>
      </c>
      <c r="B520" s="18">
        <v>2251068232</v>
      </c>
      <c r="C520" t="s">
        <v>2176</v>
      </c>
      <c r="D520" t="s">
        <v>2177</v>
      </c>
      <c r="E520" t="s">
        <v>760</v>
      </c>
      <c r="G520" t="s">
        <v>1895</v>
      </c>
      <c r="H520" t="s">
        <v>1901</v>
      </c>
      <c r="I520" t="s">
        <v>1897</v>
      </c>
    </row>
    <row r="521" spans="1:9">
      <c r="A521" t="s">
        <v>2178</v>
      </c>
      <c r="B521" s="18">
        <v>2251068233</v>
      </c>
      <c r="C521" t="s">
        <v>2179</v>
      </c>
      <c r="D521" t="s">
        <v>2180</v>
      </c>
      <c r="E521" t="s">
        <v>760</v>
      </c>
      <c r="G521" t="s">
        <v>1895</v>
      </c>
      <c r="H521" t="s">
        <v>1901</v>
      </c>
      <c r="I521" t="s">
        <v>1897</v>
      </c>
    </row>
    <row r="522" spans="1:9">
      <c r="A522" t="s">
        <v>2181</v>
      </c>
      <c r="B522" s="18">
        <v>2251068234</v>
      </c>
      <c r="C522" t="s">
        <v>2182</v>
      </c>
      <c r="D522" t="s">
        <v>2183</v>
      </c>
      <c r="E522" t="s">
        <v>760</v>
      </c>
      <c r="H522" t="s">
        <v>1901</v>
      </c>
      <c r="I522" t="s">
        <v>1897</v>
      </c>
    </row>
    <row r="523" spans="1:9">
      <c r="A523" t="s">
        <v>2184</v>
      </c>
      <c r="B523" s="18">
        <v>2251068237</v>
      </c>
      <c r="C523" t="s">
        <v>2185</v>
      </c>
      <c r="D523" t="s">
        <v>2186</v>
      </c>
      <c r="E523" t="s">
        <v>760</v>
      </c>
      <c r="G523" t="s">
        <v>1895</v>
      </c>
      <c r="H523" t="s">
        <v>1908</v>
      </c>
      <c r="I523" t="s">
        <v>1897</v>
      </c>
    </row>
    <row r="524" spans="1:9">
      <c r="A524" t="s">
        <v>2187</v>
      </c>
      <c r="B524" s="18">
        <v>2251068238</v>
      </c>
      <c r="C524" t="s">
        <v>2188</v>
      </c>
      <c r="D524" t="s">
        <v>2189</v>
      </c>
      <c r="E524" t="s">
        <v>760</v>
      </c>
      <c r="G524" t="s">
        <v>1895</v>
      </c>
      <c r="H524" t="s">
        <v>1901</v>
      </c>
      <c r="I524" t="s">
        <v>1897</v>
      </c>
    </row>
    <row r="525" spans="1:9">
      <c r="A525" t="s">
        <v>2190</v>
      </c>
      <c r="B525" s="18">
        <v>2251068239</v>
      </c>
      <c r="C525" t="s">
        <v>2191</v>
      </c>
      <c r="D525" t="s">
        <v>2192</v>
      </c>
      <c r="E525" t="s">
        <v>760</v>
      </c>
      <c r="G525" t="s">
        <v>1895</v>
      </c>
      <c r="H525" t="s">
        <v>1908</v>
      </c>
      <c r="I525" t="s">
        <v>1897</v>
      </c>
    </row>
    <row r="526" spans="1:9">
      <c r="A526" t="s">
        <v>2193</v>
      </c>
      <c r="B526" s="18">
        <v>2251068240</v>
      </c>
      <c r="C526" t="s">
        <v>2194</v>
      </c>
      <c r="D526" t="s">
        <v>2195</v>
      </c>
      <c r="E526" t="s">
        <v>760</v>
      </c>
      <c r="G526" t="s">
        <v>1895</v>
      </c>
      <c r="H526" t="s">
        <v>1901</v>
      </c>
      <c r="I526" t="s">
        <v>1897</v>
      </c>
    </row>
    <row r="527" spans="1:9">
      <c r="A527" t="s">
        <v>2196</v>
      </c>
      <c r="B527" s="18">
        <v>2251068241</v>
      </c>
      <c r="C527" t="s">
        <v>2197</v>
      </c>
      <c r="D527" t="s">
        <v>2192</v>
      </c>
      <c r="E527" t="s">
        <v>760</v>
      </c>
      <c r="G527" t="s">
        <v>2198</v>
      </c>
      <c r="H527" t="s">
        <v>1901</v>
      </c>
      <c r="I527" t="s">
        <v>1897</v>
      </c>
    </row>
    <row r="528" spans="1:9">
      <c r="A528" t="s">
        <v>2199</v>
      </c>
      <c r="B528" s="18">
        <v>2251068242</v>
      </c>
      <c r="C528" t="s">
        <v>2200</v>
      </c>
      <c r="D528" t="s">
        <v>2201</v>
      </c>
      <c r="E528" t="s">
        <v>760</v>
      </c>
      <c r="G528" t="s">
        <v>1895</v>
      </c>
      <c r="H528" t="s">
        <v>1896</v>
      </c>
      <c r="I528" t="s">
        <v>1897</v>
      </c>
    </row>
    <row r="529" spans="1:9">
      <c r="A529" t="s">
        <v>2202</v>
      </c>
      <c r="B529" s="18">
        <v>2251068243</v>
      </c>
      <c r="C529" t="s">
        <v>2203</v>
      </c>
      <c r="D529" t="s">
        <v>1006</v>
      </c>
      <c r="E529" t="s">
        <v>760</v>
      </c>
      <c r="H529" t="s">
        <v>1901</v>
      </c>
      <c r="I529" t="s">
        <v>1897</v>
      </c>
    </row>
    <row r="530" spans="1:9">
      <c r="A530" t="s">
        <v>2204</v>
      </c>
      <c r="B530" s="18">
        <v>2251068244</v>
      </c>
      <c r="C530" t="s">
        <v>2205</v>
      </c>
      <c r="D530" t="s">
        <v>2206</v>
      </c>
      <c r="E530" t="s">
        <v>760</v>
      </c>
      <c r="G530" t="s">
        <v>1895</v>
      </c>
      <c r="H530" t="s">
        <v>1901</v>
      </c>
      <c r="I530" t="s">
        <v>1897</v>
      </c>
    </row>
    <row r="531" spans="1:9">
      <c r="A531" t="s">
        <v>2207</v>
      </c>
      <c r="B531" s="18">
        <v>2251068245</v>
      </c>
      <c r="C531" t="s">
        <v>2208</v>
      </c>
      <c r="D531" t="s">
        <v>2209</v>
      </c>
      <c r="E531" t="s">
        <v>760</v>
      </c>
      <c r="G531" t="s">
        <v>1895</v>
      </c>
      <c r="H531" t="s">
        <v>1896</v>
      </c>
      <c r="I531" t="s">
        <v>1897</v>
      </c>
    </row>
    <row r="532" spans="1:9">
      <c r="A532" t="s">
        <v>2210</v>
      </c>
      <c r="B532" s="18">
        <v>2251068246</v>
      </c>
      <c r="C532" t="s">
        <v>2211</v>
      </c>
      <c r="D532" t="s">
        <v>2212</v>
      </c>
      <c r="E532" t="s">
        <v>760</v>
      </c>
      <c r="G532" t="s">
        <v>1895</v>
      </c>
      <c r="H532" t="s">
        <v>1896</v>
      </c>
      <c r="I532" t="s">
        <v>1897</v>
      </c>
    </row>
    <row r="533" spans="1:9">
      <c r="A533" t="s">
        <v>2213</v>
      </c>
      <c r="B533" s="18">
        <v>2251068247</v>
      </c>
      <c r="C533" t="s">
        <v>2214</v>
      </c>
      <c r="D533" t="s">
        <v>1935</v>
      </c>
      <c r="E533" t="s">
        <v>760</v>
      </c>
      <c r="G533" t="s">
        <v>1895</v>
      </c>
      <c r="H533" t="s">
        <v>1901</v>
      </c>
      <c r="I533" t="s">
        <v>1897</v>
      </c>
    </row>
    <row r="534" spans="1:9">
      <c r="A534" t="s">
        <v>2215</v>
      </c>
      <c r="B534" s="18">
        <v>2251068248</v>
      </c>
      <c r="C534" t="s">
        <v>2216</v>
      </c>
      <c r="D534" t="s">
        <v>2131</v>
      </c>
      <c r="E534" t="s">
        <v>760</v>
      </c>
      <c r="G534" t="s">
        <v>1895</v>
      </c>
      <c r="H534" t="s">
        <v>1901</v>
      </c>
      <c r="I534" t="s">
        <v>1897</v>
      </c>
    </row>
    <row r="535" spans="1:9">
      <c r="A535" t="s">
        <v>2217</v>
      </c>
      <c r="B535" s="18">
        <v>2251068249</v>
      </c>
      <c r="C535" t="s">
        <v>2218</v>
      </c>
      <c r="D535" t="s">
        <v>2219</v>
      </c>
      <c r="E535" t="s">
        <v>760</v>
      </c>
      <c r="I535" t="s">
        <v>1897</v>
      </c>
    </row>
    <row r="536" spans="1:9">
      <c r="A536" t="s">
        <v>2220</v>
      </c>
      <c r="B536" s="18">
        <v>2251068250</v>
      </c>
      <c r="C536" t="s">
        <v>2221</v>
      </c>
      <c r="D536" t="s">
        <v>2222</v>
      </c>
      <c r="E536" t="s">
        <v>760</v>
      </c>
      <c r="G536" t="s">
        <v>1895</v>
      </c>
      <c r="H536" t="s">
        <v>1896</v>
      </c>
      <c r="I536" t="s">
        <v>1897</v>
      </c>
    </row>
    <row r="537" spans="1:9">
      <c r="A537" t="s">
        <v>2223</v>
      </c>
      <c r="B537" s="18">
        <v>2251068251</v>
      </c>
      <c r="C537" t="s">
        <v>2224</v>
      </c>
      <c r="D537" t="s">
        <v>2034</v>
      </c>
      <c r="E537" t="s">
        <v>760</v>
      </c>
      <c r="G537" t="s">
        <v>1895</v>
      </c>
      <c r="H537" t="s">
        <v>1901</v>
      </c>
      <c r="I537" t="s">
        <v>1897</v>
      </c>
    </row>
    <row r="538" spans="1:9">
      <c r="A538" t="s">
        <v>2225</v>
      </c>
      <c r="B538" s="18">
        <v>2251068252</v>
      </c>
      <c r="C538" t="s">
        <v>2226</v>
      </c>
      <c r="D538" t="s">
        <v>2004</v>
      </c>
      <c r="E538" t="s">
        <v>760</v>
      </c>
      <c r="G538" t="s">
        <v>1895</v>
      </c>
      <c r="H538" t="s">
        <v>1901</v>
      </c>
      <c r="I538" t="s">
        <v>1897</v>
      </c>
    </row>
    <row r="539" spans="1:9">
      <c r="A539" t="s">
        <v>2227</v>
      </c>
      <c r="B539" s="18">
        <v>2251068253</v>
      </c>
      <c r="C539" t="s">
        <v>2228</v>
      </c>
      <c r="D539" t="s">
        <v>1960</v>
      </c>
      <c r="E539" t="s">
        <v>760</v>
      </c>
      <c r="G539" t="s">
        <v>1895</v>
      </c>
      <c r="H539" t="s">
        <v>1901</v>
      </c>
      <c r="I539" t="s">
        <v>1897</v>
      </c>
    </row>
    <row r="540" spans="1:9">
      <c r="A540" t="s">
        <v>2229</v>
      </c>
      <c r="B540" s="18">
        <v>2251068255</v>
      </c>
      <c r="C540" t="s">
        <v>2230</v>
      </c>
      <c r="D540" t="s">
        <v>2095</v>
      </c>
      <c r="E540" t="s">
        <v>760</v>
      </c>
      <c r="G540" t="s">
        <v>1895</v>
      </c>
      <c r="H540" t="s">
        <v>1901</v>
      </c>
      <c r="I540" t="s">
        <v>1897</v>
      </c>
    </row>
    <row r="541" spans="1:9">
      <c r="A541" t="s">
        <v>2231</v>
      </c>
      <c r="B541" s="18">
        <v>2251068256</v>
      </c>
      <c r="C541" t="s">
        <v>2232</v>
      </c>
      <c r="D541" t="s">
        <v>2233</v>
      </c>
      <c r="E541" t="s">
        <v>760</v>
      </c>
      <c r="I541" t="s">
        <v>1897</v>
      </c>
    </row>
    <row r="542" spans="1:9">
      <c r="A542" t="s">
        <v>2234</v>
      </c>
      <c r="B542" s="18">
        <v>2251068257</v>
      </c>
      <c r="C542" t="s">
        <v>2235</v>
      </c>
      <c r="D542" t="s">
        <v>2236</v>
      </c>
      <c r="E542" t="s">
        <v>760</v>
      </c>
      <c r="G542" t="s">
        <v>1895</v>
      </c>
      <c r="H542" t="s">
        <v>1901</v>
      </c>
      <c r="I542" t="s">
        <v>1897</v>
      </c>
    </row>
    <row r="543" spans="1:9">
      <c r="A543" t="s">
        <v>2237</v>
      </c>
      <c r="B543" s="18">
        <v>2251068258</v>
      </c>
      <c r="C543" t="s">
        <v>2238</v>
      </c>
      <c r="D543" t="s">
        <v>2239</v>
      </c>
      <c r="E543" t="s">
        <v>760</v>
      </c>
      <c r="G543" t="s">
        <v>1895</v>
      </c>
      <c r="H543" t="s">
        <v>1896</v>
      </c>
      <c r="I543" t="s">
        <v>1897</v>
      </c>
    </row>
    <row r="544" spans="1:9">
      <c r="A544" t="s">
        <v>2240</v>
      </c>
      <c r="B544" s="18">
        <v>2251068260</v>
      </c>
      <c r="C544" t="s">
        <v>2241</v>
      </c>
      <c r="D544" t="s">
        <v>2242</v>
      </c>
      <c r="E544" t="s">
        <v>765</v>
      </c>
      <c r="G544" t="s">
        <v>1895</v>
      </c>
      <c r="H544" t="s">
        <v>1901</v>
      </c>
      <c r="I544" t="s">
        <v>1897</v>
      </c>
    </row>
    <row r="545" spans="1:9">
      <c r="A545" t="s">
        <v>2243</v>
      </c>
      <c r="B545" s="18">
        <v>2251068259</v>
      </c>
      <c r="C545" t="s">
        <v>2244</v>
      </c>
      <c r="D545" t="s">
        <v>2245</v>
      </c>
      <c r="E545" t="s">
        <v>760</v>
      </c>
      <c r="G545" t="s">
        <v>1895</v>
      </c>
      <c r="H545" t="s">
        <v>1896</v>
      </c>
      <c r="I545" t="s">
        <v>1897</v>
      </c>
    </row>
    <row r="546" spans="1:9">
      <c r="A546" t="s">
        <v>2246</v>
      </c>
      <c r="B546" s="18">
        <v>2251068261</v>
      </c>
      <c r="C546" t="s">
        <v>2247</v>
      </c>
      <c r="D546" t="s">
        <v>2248</v>
      </c>
      <c r="E546" t="s">
        <v>765</v>
      </c>
      <c r="G546" t="s">
        <v>1895</v>
      </c>
      <c r="H546" t="s">
        <v>1901</v>
      </c>
      <c r="I546" t="s">
        <v>1897</v>
      </c>
    </row>
    <row r="547" spans="1:9">
      <c r="A547" t="s">
        <v>2249</v>
      </c>
      <c r="B547" s="18">
        <v>2251068262</v>
      </c>
      <c r="C547" t="s">
        <v>2250</v>
      </c>
      <c r="D547" t="s">
        <v>2251</v>
      </c>
      <c r="E547" t="s">
        <v>765</v>
      </c>
      <c r="G547" t="s">
        <v>1895</v>
      </c>
      <c r="H547" t="s">
        <v>1901</v>
      </c>
      <c r="I547" t="s">
        <v>1897</v>
      </c>
    </row>
    <row r="548" spans="1:9">
      <c r="A548" t="s">
        <v>2252</v>
      </c>
      <c r="B548" s="18">
        <v>2251068263</v>
      </c>
      <c r="C548" t="s">
        <v>2253</v>
      </c>
      <c r="D548" t="s">
        <v>2254</v>
      </c>
      <c r="E548" t="s">
        <v>760</v>
      </c>
      <c r="G548" t="s">
        <v>1895</v>
      </c>
      <c r="H548" t="s">
        <v>1901</v>
      </c>
      <c r="I548" t="s">
        <v>1897</v>
      </c>
    </row>
    <row r="549" spans="1:9">
      <c r="A549" t="s">
        <v>2255</v>
      </c>
      <c r="B549" s="18">
        <v>2251068264</v>
      </c>
      <c r="C549" t="s">
        <v>2256</v>
      </c>
      <c r="D549" t="s">
        <v>2098</v>
      </c>
      <c r="E549" t="s">
        <v>760</v>
      </c>
      <c r="G549" t="s">
        <v>1895</v>
      </c>
      <c r="H549" t="s">
        <v>1901</v>
      </c>
      <c r="I549" t="s">
        <v>1897</v>
      </c>
    </row>
    <row r="550" spans="1:9">
      <c r="A550" t="s">
        <v>2257</v>
      </c>
      <c r="B550" s="18">
        <v>2251068265</v>
      </c>
      <c r="C550" t="s">
        <v>2258</v>
      </c>
      <c r="D550" t="s">
        <v>2054</v>
      </c>
      <c r="E550" t="s">
        <v>760</v>
      </c>
      <c r="H550" t="s">
        <v>1908</v>
      </c>
      <c r="I550" t="s">
        <v>1897</v>
      </c>
    </row>
    <row r="551" spans="1:9">
      <c r="A551" t="s">
        <v>2259</v>
      </c>
      <c r="B551" s="18">
        <v>2251068266</v>
      </c>
      <c r="C551" t="s">
        <v>1051</v>
      </c>
      <c r="D551" t="s">
        <v>2260</v>
      </c>
      <c r="E551" t="s">
        <v>760</v>
      </c>
      <c r="G551" t="s">
        <v>1895</v>
      </c>
      <c r="H551" t="s">
        <v>1901</v>
      </c>
      <c r="I551" t="s">
        <v>1897</v>
      </c>
    </row>
    <row r="552" spans="1:9">
      <c r="A552" t="s">
        <v>2261</v>
      </c>
      <c r="B552" s="18">
        <v>2251068267</v>
      </c>
      <c r="C552" t="s">
        <v>2262</v>
      </c>
      <c r="D552" t="s">
        <v>2263</v>
      </c>
      <c r="E552" t="s">
        <v>765</v>
      </c>
      <c r="G552" t="s">
        <v>1895</v>
      </c>
      <c r="H552" t="s">
        <v>1896</v>
      </c>
      <c r="I552" t="s">
        <v>1897</v>
      </c>
    </row>
    <row r="553" spans="1:9">
      <c r="A553" t="s">
        <v>2264</v>
      </c>
      <c r="B553" s="18">
        <v>2251068268</v>
      </c>
      <c r="C553" t="s">
        <v>2265</v>
      </c>
      <c r="D553" t="s">
        <v>2266</v>
      </c>
      <c r="E553" t="s">
        <v>765</v>
      </c>
      <c r="H553" t="s">
        <v>1896</v>
      </c>
      <c r="I553" t="s">
        <v>1897</v>
      </c>
    </row>
    <row r="554" spans="1:9">
      <c r="A554" t="s">
        <v>2267</v>
      </c>
      <c r="B554" s="18">
        <v>2251068270</v>
      </c>
      <c r="C554" t="s">
        <v>2268</v>
      </c>
      <c r="D554" t="s">
        <v>2269</v>
      </c>
      <c r="E554" t="s">
        <v>760</v>
      </c>
      <c r="G554" t="s">
        <v>1895</v>
      </c>
      <c r="H554" t="s">
        <v>1901</v>
      </c>
      <c r="I554" t="s">
        <v>1897</v>
      </c>
    </row>
    <row r="555" spans="1:9">
      <c r="A555" t="s">
        <v>2270</v>
      </c>
      <c r="B555" s="18">
        <v>2251068269</v>
      </c>
      <c r="C555" t="s">
        <v>2268</v>
      </c>
      <c r="D555" t="s">
        <v>2271</v>
      </c>
      <c r="E555" t="s">
        <v>760</v>
      </c>
      <c r="G555" t="s">
        <v>1895</v>
      </c>
      <c r="H555" t="s">
        <v>1901</v>
      </c>
      <c r="I555" t="s">
        <v>1897</v>
      </c>
    </row>
    <row r="556" spans="1:9">
      <c r="A556" t="s">
        <v>2272</v>
      </c>
      <c r="B556" s="18">
        <v>2251068272</v>
      </c>
      <c r="C556" t="s">
        <v>2273</v>
      </c>
      <c r="D556" t="s">
        <v>2274</v>
      </c>
      <c r="E556" t="s">
        <v>760</v>
      </c>
      <c r="G556" t="s">
        <v>1895</v>
      </c>
      <c r="H556" t="s">
        <v>1901</v>
      </c>
      <c r="I556" t="s">
        <v>1897</v>
      </c>
    </row>
    <row r="557" spans="1:9">
      <c r="A557" t="s">
        <v>2275</v>
      </c>
      <c r="B557" s="18">
        <v>2251068274</v>
      </c>
      <c r="C557" t="s">
        <v>2276</v>
      </c>
      <c r="D557" t="s">
        <v>2277</v>
      </c>
      <c r="E557" t="s">
        <v>760</v>
      </c>
      <c r="G557" t="s">
        <v>1895</v>
      </c>
      <c r="H557" t="s">
        <v>1901</v>
      </c>
      <c r="I557" t="s">
        <v>1897</v>
      </c>
    </row>
    <row r="558" spans="1:9">
      <c r="A558" t="s">
        <v>2278</v>
      </c>
      <c r="B558" s="18">
        <v>2251068275</v>
      </c>
      <c r="C558" t="s">
        <v>2279</v>
      </c>
      <c r="D558" t="s">
        <v>2280</v>
      </c>
      <c r="E558" t="s">
        <v>765</v>
      </c>
      <c r="G558" t="s">
        <v>1895</v>
      </c>
      <c r="H558" t="s">
        <v>1901</v>
      </c>
      <c r="I558" t="s">
        <v>1897</v>
      </c>
    </row>
    <row r="559" spans="1:9">
      <c r="A559" t="s">
        <v>2281</v>
      </c>
      <c r="B559" s="18">
        <v>2251068276</v>
      </c>
      <c r="C559" t="s">
        <v>2282</v>
      </c>
      <c r="D559" t="s">
        <v>2283</v>
      </c>
      <c r="E559" t="s">
        <v>760</v>
      </c>
      <c r="G559" t="s">
        <v>1895</v>
      </c>
      <c r="H559" t="s">
        <v>1901</v>
      </c>
      <c r="I559" t="s">
        <v>1897</v>
      </c>
    </row>
    <row r="560" spans="1:9">
      <c r="A560" t="s">
        <v>2284</v>
      </c>
      <c r="B560" s="18">
        <v>2251068277</v>
      </c>
      <c r="C560" t="s">
        <v>2285</v>
      </c>
      <c r="D560" t="s">
        <v>2286</v>
      </c>
      <c r="E560" t="s">
        <v>760</v>
      </c>
      <c r="G560" t="s">
        <v>1895</v>
      </c>
      <c r="H560" t="s">
        <v>1908</v>
      </c>
      <c r="I560" t="s">
        <v>1897</v>
      </c>
    </row>
    <row r="561" spans="1:9">
      <c r="A561" t="s">
        <v>2287</v>
      </c>
      <c r="B561" s="18">
        <v>2251068278</v>
      </c>
      <c r="C561" t="s">
        <v>2288</v>
      </c>
      <c r="D561" t="s">
        <v>2233</v>
      </c>
      <c r="E561" t="s">
        <v>760</v>
      </c>
      <c r="G561" t="s">
        <v>1895</v>
      </c>
      <c r="H561" t="s">
        <v>1901</v>
      </c>
      <c r="I561" t="s">
        <v>1897</v>
      </c>
    </row>
    <row r="562" spans="1:9">
      <c r="A562" t="s">
        <v>2289</v>
      </c>
      <c r="B562" s="18">
        <v>2251068279</v>
      </c>
      <c r="C562" t="s">
        <v>2290</v>
      </c>
      <c r="D562" t="s">
        <v>2090</v>
      </c>
      <c r="E562" t="s">
        <v>765</v>
      </c>
      <c r="G562" t="s">
        <v>1895</v>
      </c>
      <c r="H562" t="s">
        <v>1908</v>
      </c>
      <c r="I562" t="s">
        <v>1897</v>
      </c>
    </row>
    <row r="563" spans="1:9">
      <c r="A563" t="s">
        <v>2291</v>
      </c>
      <c r="B563" s="18">
        <v>2251068280</v>
      </c>
      <c r="C563" t="s">
        <v>2292</v>
      </c>
      <c r="D563" t="s">
        <v>2293</v>
      </c>
      <c r="E563" t="s">
        <v>760</v>
      </c>
      <c r="G563" t="s">
        <v>1895</v>
      </c>
      <c r="H563" t="s">
        <v>1901</v>
      </c>
      <c r="I563" t="s">
        <v>1897</v>
      </c>
    </row>
    <row r="564" spans="1:9">
      <c r="A564" t="s">
        <v>2294</v>
      </c>
      <c r="B564" s="18">
        <v>2251068281</v>
      </c>
      <c r="C564" t="s">
        <v>2295</v>
      </c>
      <c r="D564" t="s">
        <v>2296</v>
      </c>
      <c r="E564" t="s">
        <v>760</v>
      </c>
      <c r="G564" t="s">
        <v>1895</v>
      </c>
      <c r="H564" t="s">
        <v>1908</v>
      </c>
      <c r="I564" t="s">
        <v>1897</v>
      </c>
    </row>
    <row r="565" spans="1:9">
      <c r="A565" t="s">
        <v>2297</v>
      </c>
      <c r="B565" s="18">
        <v>2251068282</v>
      </c>
      <c r="C565" t="s">
        <v>2298</v>
      </c>
      <c r="D565" t="s">
        <v>2299</v>
      </c>
      <c r="E565" t="s">
        <v>760</v>
      </c>
      <c r="G565" t="s">
        <v>1895</v>
      </c>
      <c r="H565" t="s">
        <v>1901</v>
      </c>
      <c r="I565" t="s">
        <v>1897</v>
      </c>
    </row>
    <row r="566" spans="1:9">
      <c r="A566" t="s">
        <v>2300</v>
      </c>
      <c r="B566" s="18">
        <v>2251068284</v>
      </c>
      <c r="C566" t="s">
        <v>2301</v>
      </c>
      <c r="D566" t="s">
        <v>2302</v>
      </c>
      <c r="E566" t="s">
        <v>765</v>
      </c>
      <c r="H566" t="s">
        <v>1901</v>
      </c>
      <c r="I566" t="s">
        <v>1897</v>
      </c>
    </row>
    <row r="567" spans="1:9">
      <c r="A567" t="s">
        <v>2303</v>
      </c>
      <c r="B567" s="18">
        <v>2251118285</v>
      </c>
      <c r="C567" t="s">
        <v>2304</v>
      </c>
      <c r="D567" t="s">
        <v>2305</v>
      </c>
      <c r="E567" t="s">
        <v>760</v>
      </c>
      <c r="G567" t="s">
        <v>1895</v>
      </c>
      <c r="H567" t="s">
        <v>1901</v>
      </c>
      <c r="I567" t="s">
        <v>1897</v>
      </c>
    </row>
    <row r="568" spans="1:9">
      <c r="A568" t="s">
        <v>2306</v>
      </c>
      <c r="B568" s="18">
        <v>2251118286</v>
      </c>
      <c r="C568" t="s">
        <v>2307</v>
      </c>
      <c r="D568" t="s">
        <v>2277</v>
      </c>
      <c r="E568" t="s">
        <v>760</v>
      </c>
      <c r="G568" t="s">
        <v>1895</v>
      </c>
      <c r="H568" t="s">
        <v>1901</v>
      </c>
      <c r="I568" t="s">
        <v>1897</v>
      </c>
    </row>
    <row r="569" spans="1:9">
      <c r="A569" t="s">
        <v>2308</v>
      </c>
      <c r="B569" s="18">
        <v>2251118288</v>
      </c>
      <c r="C569" t="s">
        <v>2309</v>
      </c>
      <c r="D569" t="s">
        <v>2310</v>
      </c>
      <c r="E569" t="s">
        <v>760</v>
      </c>
      <c r="G569" t="s">
        <v>1895</v>
      </c>
      <c r="H569" t="s">
        <v>1901</v>
      </c>
      <c r="I569" t="s">
        <v>1897</v>
      </c>
    </row>
    <row r="570" spans="1:9">
      <c r="A570" t="s">
        <v>2311</v>
      </c>
      <c r="B570" s="18">
        <v>2251118291</v>
      </c>
      <c r="C570" t="s">
        <v>2312</v>
      </c>
      <c r="D570" t="s">
        <v>2313</v>
      </c>
      <c r="E570" t="s">
        <v>760</v>
      </c>
      <c r="G570" t="s">
        <v>1895</v>
      </c>
      <c r="H570" t="s">
        <v>1901</v>
      </c>
      <c r="I570" t="s">
        <v>1897</v>
      </c>
    </row>
    <row r="571" spans="1:9">
      <c r="A571" t="s">
        <v>2314</v>
      </c>
      <c r="B571" s="18">
        <v>2251118292</v>
      </c>
      <c r="C571" t="s">
        <v>2315</v>
      </c>
      <c r="D571" t="s">
        <v>2138</v>
      </c>
      <c r="E571" t="s">
        <v>760</v>
      </c>
      <c r="G571" t="s">
        <v>2316</v>
      </c>
      <c r="H571" t="s">
        <v>1901</v>
      </c>
      <c r="I571" t="s">
        <v>1897</v>
      </c>
    </row>
    <row r="572" spans="1:9">
      <c r="A572" t="s">
        <v>2317</v>
      </c>
      <c r="B572" s="18">
        <v>2251118293</v>
      </c>
      <c r="C572" t="s">
        <v>2318</v>
      </c>
      <c r="D572" t="s">
        <v>2319</v>
      </c>
      <c r="E572" t="s">
        <v>760</v>
      </c>
      <c r="G572" t="s">
        <v>1895</v>
      </c>
      <c r="H572" t="s">
        <v>1901</v>
      </c>
      <c r="I572" t="s">
        <v>1897</v>
      </c>
    </row>
    <row r="573" spans="1:9">
      <c r="A573" t="s">
        <v>2320</v>
      </c>
      <c r="B573" s="18">
        <v>2251118296</v>
      </c>
      <c r="C573" t="s">
        <v>2321</v>
      </c>
      <c r="D573" t="s">
        <v>2322</v>
      </c>
      <c r="E573" t="s">
        <v>760</v>
      </c>
      <c r="H573" t="s">
        <v>1901</v>
      </c>
      <c r="I573" t="s">
        <v>1897</v>
      </c>
    </row>
    <row r="574" spans="1:9">
      <c r="A574" t="s">
        <v>2323</v>
      </c>
      <c r="B574" s="18">
        <v>2251118294</v>
      </c>
      <c r="C574" t="s">
        <v>2324</v>
      </c>
      <c r="D574" t="s">
        <v>2013</v>
      </c>
      <c r="E574" t="s">
        <v>760</v>
      </c>
      <c r="G574" t="s">
        <v>1895</v>
      </c>
      <c r="H574" t="s">
        <v>1901</v>
      </c>
      <c r="I574" t="s">
        <v>1897</v>
      </c>
    </row>
    <row r="575" spans="1:9">
      <c r="A575" t="s">
        <v>2325</v>
      </c>
      <c r="B575" s="18">
        <v>2251118298</v>
      </c>
      <c r="C575" t="s">
        <v>2326</v>
      </c>
      <c r="D575" t="s">
        <v>2062</v>
      </c>
      <c r="E575" t="s">
        <v>760</v>
      </c>
      <c r="H575" t="s">
        <v>1896</v>
      </c>
      <c r="I575" t="s">
        <v>1897</v>
      </c>
    </row>
    <row r="576" spans="1:9">
      <c r="A576" t="s">
        <v>2327</v>
      </c>
      <c r="B576" s="18">
        <v>2251118299</v>
      </c>
      <c r="C576" t="s">
        <v>2328</v>
      </c>
      <c r="D576" t="s">
        <v>2104</v>
      </c>
      <c r="E576" t="s">
        <v>760</v>
      </c>
      <c r="G576" t="s">
        <v>1895</v>
      </c>
      <c r="H576" t="s">
        <v>1901</v>
      </c>
      <c r="I576" t="s">
        <v>1897</v>
      </c>
    </row>
    <row r="577" spans="1:9">
      <c r="A577" t="s">
        <v>2329</v>
      </c>
      <c r="B577" s="18">
        <v>2251118301</v>
      </c>
      <c r="C577" t="s">
        <v>2330</v>
      </c>
      <c r="D577" t="s">
        <v>2331</v>
      </c>
      <c r="E577" t="s">
        <v>760</v>
      </c>
      <c r="G577" t="s">
        <v>1895</v>
      </c>
      <c r="H577" t="s">
        <v>1901</v>
      </c>
      <c r="I577" t="s">
        <v>1897</v>
      </c>
    </row>
    <row r="578" spans="1:9">
      <c r="A578" t="s">
        <v>2332</v>
      </c>
      <c r="B578" s="18">
        <v>2251118303</v>
      </c>
      <c r="C578" t="s">
        <v>2333</v>
      </c>
      <c r="D578" t="s">
        <v>2334</v>
      </c>
      <c r="E578" t="s">
        <v>760</v>
      </c>
      <c r="G578" t="s">
        <v>1895</v>
      </c>
      <c r="H578" t="s">
        <v>1901</v>
      </c>
      <c r="I578" t="s">
        <v>1897</v>
      </c>
    </row>
    <row r="579" spans="1:9">
      <c r="A579" t="s">
        <v>2335</v>
      </c>
      <c r="B579" s="18">
        <v>2251118304</v>
      </c>
      <c r="C579" t="s">
        <v>2336</v>
      </c>
      <c r="D579" t="s">
        <v>2007</v>
      </c>
      <c r="E579" t="s">
        <v>760</v>
      </c>
      <c r="G579" t="s">
        <v>1895</v>
      </c>
      <c r="H579" t="s">
        <v>1908</v>
      </c>
      <c r="I579" t="s">
        <v>1897</v>
      </c>
    </row>
    <row r="580" spans="1:9">
      <c r="A580" t="s">
        <v>2337</v>
      </c>
      <c r="B580" s="18">
        <v>2251118305</v>
      </c>
      <c r="C580" t="s">
        <v>2338</v>
      </c>
      <c r="D580" t="s">
        <v>2339</v>
      </c>
      <c r="E580" t="s">
        <v>760</v>
      </c>
      <c r="G580" t="s">
        <v>1895</v>
      </c>
      <c r="H580" t="s">
        <v>1896</v>
      </c>
      <c r="I580" t="s">
        <v>1897</v>
      </c>
    </row>
    <row r="581" spans="1:9">
      <c r="A581" t="s">
        <v>2340</v>
      </c>
      <c r="B581" s="18">
        <v>2251118310</v>
      </c>
      <c r="C581" t="s">
        <v>2341</v>
      </c>
      <c r="D581" t="s">
        <v>2342</v>
      </c>
      <c r="E581" t="s">
        <v>760</v>
      </c>
      <c r="H581" t="s">
        <v>1901</v>
      </c>
      <c r="I581" t="s">
        <v>1897</v>
      </c>
    </row>
    <row r="582" spans="1:9">
      <c r="A582" t="s">
        <v>2343</v>
      </c>
      <c r="B582" s="18">
        <v>2251118311</v>
      </c>
      <c r="C582" t="s">
        <v>2344</v>
      </c>
      <c r="D582" t="s">
        <v>2134</v>
      </c>
      <c r="E582" t="s">
        <v>760</v>
      </c>
      <c r="G582" t="s">
        <v>1895</v>
      </c>
      <c r="H582" t="s">
        <v>1901</v>
      </c>
      <c r="I582" t="s">
        <v>1897</v>
      </c>
    </row>
    <row r="583" spans="1:9">
      <c r="A583" t="s">
        <v>2345</v>
      </c>
      <c r="B583" s="18">
        <v>2251118312</v>
      </c>
      <c r="C583" t="s">
        <v>2346</v>
      </c>
      <c r="D583" t="s">
        <v>2347</v>
      </c>
      <c r="E583" t="s">
        <v>760</v>
      </c>
      <c r="G583" t="s">
        <v>1895</v>
      </c>
      <c r="H583" t="s">
        <v>1896</v>
      </c>
      <c r="I583" t="s">
        <v>1897</v>
      </c>
    </row>
    <row r="584" spans="1:9">
      <c r="A584" t="s">
        <v>2348</v>
      </c>
      <c r="B584" s="18">
        <v>2251118314</v>
      </c>
      <c r="C584" t="s">
        <v>477</v>
      </c>
      <c r="D584" t="s">
        <v>2349</v>
      </c>
      <c r="E584" t="s">
        <v>760</v>
      </c>
      <c r="G584" t="s">
        <v>1895</v>
      </c>
      <c r="H584" t="s">
        <v>1908</v>
      </c>
      <c r="I584" t="s">
        <v>1897</v>
      </c>
    </row>
    <row r="585" spans="1:9">
      <c r="A585" t="s">
        <v>2350</v>
      </c>
      <c r="B585" s="18">
        <v>2251118321</v>
      </c>
      <c r="C585" t="s">
        <v>2351</v>
      </c>
      <c r="D585" t="s">
        <v>2280</v>
      </c>
      <c r="E585" t="s">
        <v>760</v>
      </c>
      <c r="G585" t="s">
        <v>1895</v>
      </c>
      <c r="H585" t="s">
        <v>1896</v>
      </c>
      <c r="I585" t="s">
        <v>1897</v>
      </c>
    </row>
    <row r="586" spans="1:9">
      <c r="A586" t="s">
        <v>2352</v>
      </c>
      <c r="B586" s="18">
        <v>2251118323</v>
      </c>
      <c r="C586" t="s">
        <v>2353</v>
      </c>
      <c r="D586" t="s">
        <v>1978</v>
      </c>
      <c r="E586" t="s">
        <v>760</v>
      </c>
      <c r="G586" t="s">
        <v>1895</v>
      </c>
      <c r="H586" t="s">
        <v>1901</v>
      </c>
      <c r="I586" t="s">
        <v>1897</v>
      </c>
    </row>
    <row r="587" spans="1:9">
      <c r="A587" t="s">
        <v>2354</v>
      </c>
      <c r="B587" s="18">
        <v>2251118324</v>
      </c>
      <c r="C587" t="s">
        <v>2355</v>
      </c>
      <c r="D587" t="s">
        <v>2031</v>
      </c>
      <c r="E587" t="s">
        <v>760</v>
      </c>
      <c r="G587" t="s">
        <v>1895</v>
      </c>
      <c r="H587" t="s">
        <v>1901</v>
      </c>
      <c r="I587" t="s">
        <v>1897</v>
      </c>
    </row>
    <row r="588" spans="1:9">
      <c r="A588" t="s">
        <v>2356</v>
      </c>
      <c r="B588" s="18">
        <v>2251118326</v>
      </c>
      <c r="C588" t="s">
        <v>2357</v>
      </c>
      <c r="D588" t="s">
        <v>2358</v>
      </c>
      <c r="E588" t="s">
        <v>760</v>
      </c>
      <c r="G588" t="s">
        <v>1895</v>
      </c>
      <c r="H588" t="s">
        <v>1908</v>
      </c>
      <c r="I588" t="s">
        <v>1897</v>
      </c>
    </row>
    <row r="589" spans="1:9">
      <c r="A589" t="s">
        <v>2359</v>
      </c>
      <c r="B589" s="18">
        <v>2251118327</v>
      </c>
      <c r="C589" t="s">
        <v>2360</v>
      </c>
      <c r="D589" t="s">
        <v>2361</v>
      </c>
      <c r="E589" t="s">
        <v>760</v>
      </c>
      <c r="G589" t="s">
        <v>1895</v>
      </c>
      <c r="H589" t="s">
        <v>1901</v>
      </c>
      <c r="I589" t="s">
        <v>1897</v>
      </c>
    </row>
    <row r="590" spans="1:9">
      <c r="A590" t="s">
        <v>2362</v>
      </c>
      <c r="B590" s="18">
        <v>2251118330</v>
      </c>
      <c r="C590" t="s">
        <v>2363</v>
      </c>
      <c r="D590" t="s">
        <v>2364</v>
      </c>
      <c r="E590" t="s">
        <v>760</v>
      </c>
      <c r="G590" t="s">
        <v>1895</v>
      </c>
      <c r="H590" t="s">
        <v>1901</v>
      </c>
      <c r="I590" t="s">
        <v>1897</v>
      </c>
    </row>
    <row r="591" spans="1:9">
      <c r="A591" t="s">
        <v>2365</v>
      </c>
      <c r="B591" s="18">
        <v>2251118331</v>
      </c>
      <c r="C591" t="s">
        <v>2366</v>
      </c>
      <c r="D591" t="s">
        <v>2367</v>
      </c>
      <c r="E591" t="s">
        <v>765</v>
      </c>
      <c r="G591" t="s">
        <v>1895</v>
      </c>
      <c r="H591" t="s">
        <v>1901</v>
      </c>
      <c r="I591" t="s">
        <v>1897</v>
      </c>
    </row>
    <row r="592" spans="1:9">
      <c r="A592" t="s">
        <v>2368</v>
      </c>
      <c r="B592" s="18">
        <v>2251118335</v>
      </c>
      <c r="C592" t="s">
        <v>2369</v>
      </c>
      <c r="D592" t="s">
        <v>2370</v>
      </c>
      <c r="E592" t="s">
        <v>760</v>
      </c>
      <c r="G592" t="s">
        <v>1895</v>
      </c>
      <c r="H592" t="s">
        <v>1901</v>
      </c>
      <c r="I592" t="s">
        <v>1897</v>
      </c>
    </row>
    <row r="593" spans="1:9">
      <c r="A593" t="s">
        <v>2371</v>
      </c>
      <c r="B593" s="18">
        <v>2251118336</v>
      </c>
      <c r="C593" t="s">
        <v>2372</v>
      </c>
      <c r="D593" t="s">
        <v>2146</v>
      </c>
      <c r="E593" t="s">
        <v>760</v>
      </c>
      <c r="G593" t="s">
        <v>1895</v>
      </c>
      <c r="H593" t="s">
        <v>1901</v>
      </c>
      <c r="I593" t="s">
        <v>1897</v>
      </c>
    </row>
    <row r="594" spans="1:9">
      <c r="A594" t="s">
        <v>2373</v>
      </c>
      <c r="B594" s="18">
        <v>2251118339</v>
      </c>
      <c r="C594" t="s">
        <v>2374</v>
      </c>
      <c r="D594" t="s">
        <v>2375</v>
      </c>
      <c r="E594" t="s">
        <v>760</v>
      </c>
      <c r="G594" t="s">
        <v>1895</v>
      </c>
      <c r="H594" t="s">
        <v>1901</v>
      </c>
      <c r="I594" t="s">
        <v>1897</v>
      </c>
    </row>
    <row r="595" spans="1:9">
      <c r="A595" t="s">
        <v>2376</v>
      </c>
      <c r="B595" s="18">
        <v>2251018002</v>
      </c>
      <c r="C595" t="s">
        <v>2377</v>
      </c>
      <c r="D595" t="s">
        <v>1920</v>
      </c>
      <c r="E595" t="s">
        <v>760</v>
      </c>
      <c r="G595" t="s">
        <v>1895</v>
      </c>
      <c r="H595" t="s">
        <v>1901</v>
      </c>
      <c r="I595" t="s">
        <v>1897</v>
      </c>
    </row>
    <row r="596" spans="1:9">
      <c r="A596" t="s">
        <v>2378</v>
      </c>
      <c r="B596" s="18">
        <v>2251018003</v>
      </c>
      <c r="C596" t="s">
        <v>2379</v>
      </c>
      <c r="D596" t="s">
        <v>2195</v>
      </c>
      <c r="E596" t="s">
        <v>760</v>
      </c>
      <c r="G596" t="s">
        <v>1895</v>
      </c>
      <c r="H596" t="s">
        <v>1901</v>
      </c>
      <c r="I596" t="s">
        <v>1897</v>
      </c>
    </row>
    <row r="597" spans="1:9">
      <c r="A597" t="s">
        <v>2380</v>
      </c>
      <c r="B597" s="18">
        <v>2251018006</v>
      </c>
      <c r="C597" t="s">
        <v>2381</v>
      </c>
      <c r="D597" t="s">
        <v>1975</v>
      </c>
      <c r="E597" t="s">
        <v>760</v>
      </c>
      <c r="G597" t="s">
        <v>1895</v>
      </c>
      <c r="H597" t="s">
        <v>1901</v>
      </c>
      <c r="I597" t="s">
        <v>1897</v>
      </c>
    </row>
    <row r="598" spans="1:9">
      <c r="A598" t="s">
        <v>2382</v>
      </c>
      <c r="B598" s="18">
        <v>2251018010</v>
      </c>
      <c r="C598" t="s">
        <v>2383</v>
      </c>
      <c r="D598" t="s">
        <v>2384</v>
      </c>
      <c r="E598" t="s">
        <v>760</v>
      </c>
      <c r="G598" t="s">
        <v>1895</v>
      </c>
      <c r="H598" t="s">
        <v>1901</v>
      </c>
      <c r="I598" t="s">
        <v>1897</v>
      </c>
    </row>
    <row r="599" spans="1:9">
      <c r="A599" t="s">
        <v>2385</v>
      </c>
      <c r="B599" s="18">
        <v>2251018007</v>
      </c>
      <c r="C599" t="s">
        <v>2386</v>
      </c>
      <c r="D599" t="s">
        <v>2387</v>
      </c>
      <c r="E599" t="s">
        <v>760</v>
      </c>
      <c r="G599" t="s">
        <v>1895</v>
      </c>
      <c r="H599" t="s">
        <v>1901</v>
      </c>
      <c r="I599" t="s">
        <v>1897</v>
      </c>
    </row>
    <row r="600" spans="1:9">
      <c r="A600" t="s">
        <v>2388</v>
      </c>
      <c r="B600" s="18">
        <v>2251018014</v>
      </c>
      <c r="C600" t="s">
        <v>2389</v>
      </c>
      <c r="D600" t="s">
        <v>2390</v>
      </c>
      <c r="E600" t="s">
        <v>760</v>
      </c>
      <c r="G600" t="s">
        <v>1895</v>
      </c>
      <c r="H600" t="s">
        <v>1901</v>
      </c>
      <c r="I600" t="s">
        <v>1897</v>
      </c>
    </row>
    <row r="601" spans="1:9">
      <c r="A601" t="s">
        <v>2391</v>
      </c>
      <c r="B601" s="18">
        <v>2251018015</v>
      </c>
      <c r="C601" t="s">
        <v>2392</v>
      </c>
      <c r="D601" t="s">
        <v>2393</v>
      </c>
      <c r="E601" t="s">
        <v>760</v>
      </c>
      <c r="G601" t="s">
        <v>1895</v>
      </c>
      <c r="H601" t="s">
        <v>1901</v>
      </c>
      <c r="I601" t="s">
        <v>1897</v>
      </c>
    </row>
    <row r="602" spans="1:9">
      <c r="A602" t="s">
        <v>2394</v>
      </c>
      <c r="B602" s="18">
        <v>2251018016</v>
      </c>
      <c r="C602" t="s">
        <v>2395</v>
      </c>
      <c r="D602" t="s">
        <v>2313</v>
      </c>
      <c r="E602" t="s">
        <v>760</v>
      </c>
      <c r="H602" t="s">
        <v>1901</v>
      </c>
      <c r="I602" t="s">
        <v>1897</v>
      </c>
    </row>
    <row r="603" spans="1:9">
      <c r="A603" t="s">
        <v>2396</v>
      </c>
      <c r="B603" s="18">
        <v>2251018017</v>
      </c>
      <c r="C603" t="s">
        <v>2397</v>
      </c>
      <c r="D603" t="s">
        <v>2286</v>
      </c>
      <c r="E603" t="s">
        <v>760</v>
      </c>
      <c r="G603" t="s">
        <v>1895</v>
      </c>
      <c r="H603" t="s">
        <v>1901</v>
      </c>
      <c r="I603" t="s">
        <v>1897</v>
      </c>
    </row>
    <row r="604" spans="1:9">
      <c r="A604" t="s">
        <v>2398</v>
      </c>
      <c r="B604" s="18">
        <v>2251018023</v>
      </c>
      <c r="C604" t="s">
        <v>2399</v>
      </c>
      <c r="D604" t="s">
        <v>2400</v>
      </c>
      <c r="E604" t="s">
        <v>760</v>
      </c>
      <c r="G604" t="s">
        <v>1895</v>
      </c>
      <c r="H604" t="s">
        <v>1901</v>
      </c>
      <c r="I604" t="s">
        <v>1897</v>
      </c>
    </row>
    <row r="605" spans="1:9">
      <c r="A605" t="s">
        <v>2401</v>
      </c>
      <c r="B605" s="18">
        <v>2251018024</v>
      </c>
      <c r="C605" t="s">
        <v>2402</v>
      </c>
      <c r="D605" t="s">
        <v>1954</v>
      </c>
      <c r="E605" t="s">
        <v>760</v>
      </c>
      <c r="G605" t="s">
        <v>1895</v>
      </c>
      <c r="H605" t="s">
        <v>1901</v>
      </c>
      <c r="I605" t="s">
        <v>1897</v>
      </c>
    </row>
    <row r="606" spans="1:9">
      <c r="A606" t="s">
        <v>2403</v>
      </c>
      <c r="B606" s="18">
        <v>2251018019</v>
      </c>
      <c r="C606" t="s">
        <v>2404</v>
      </c>
      <c r="D606" t="s">
        <v>2405</v>
      </c>
      <c r="E606" t="s">
        <v>760</v>
      </c>
      <c r="G606" t="s">
        <v>1895</v>
      </c>
      <c r="H606" t="s">
        <v>1901</v>
      </c>
      <c r="I606" t="s">
        <v>1897</v>
      </c>
    </row>
    <row r="607" spans="1:9">
      <c r="A607" t="s">
        <v>2406</v>
      </c>
      <c r="B607" s="18">
        <v>2251018022</v>
      </c>
      <c r="C607" t="s">
        <v>2407</v>
      </c>
      <c r="D607" t="s">
        <v>2408</v>
      </c>
      <c r="E607" t="s">
        <v>765</v>
      </c>
      <c r="G607" t="s">
        <v>1895</v>
      </c>
      <c r="H607" t="s">
        <v>1901</v>
      </c>
      <c r="I607" t="s">
        <v>1897</v>
      </c>
    </row>
    <row r="608" spans="1:9">
      <c r="A608" t="s">
        <v>2409</v>
      </c>
      <c r="B608" s="18">
        <v>2251018037</v>
      </c>
      <c r="C608" t="s">
        <v>2410</v>
      </c>
      <c r="D608" t="s">
        <v>2286</v>
      </c>
      <c r="E608" t="s">
        <v>760</v>
      </c>
      <c r="G608" t="s">
        <v>1895</v>
      </c>
      <c r="H608" t="s">
        <v>1901</v>
      </c>
      <c r="I608" t="s">
        <v>1897</v>
      </c>
    </row>
    <row r="609" spans="1:9">
      <c r="A609" t="s">
        <v>2411</v>
      </c>
      <c r="B609" s="18">
        <v>2251018039</v>
      </c>
      <c r="C609" t="s">
        <v>2412</v>
      </c>
      <c r="D609" t="s">
        <v>2413</v>
      </c>
      <c r="E609" t="s">
        <v>760</v>
      </c>
      <c r="G609" t="s">
        <v>1895</v>
      </c>
      <c r="H609" t="s">
        <v>1901</v>
      </c>
      <c r="I609" t="s">
        <v>1897</v>
      </c>
    </row>
    <row r="610" spans="1:9">
      <c r="A610" t="s">
        <v>2414</v>
      </c>
      <c r="B610" s="18">
        <v>2251018043</v>
      </c>
      <c r="C610" t="s">
        <v>2415</v>
      </c>
      <c r="D610" t="s">
        <v>2416</v>
      </c>
      <c r="E610" t="s">
        <v>760</v>
      </c>
      <c r="G610" t="s">
        <v>1895</v>
      </c>
      <c r="H610" t="s">
        <v>1901</v>
      </c>
      <c r="I610" t="s">
        <v>1897</v>
      </c>
    </row>
    <row r="611" spans="1:9">
      <c r="A611" t="s">
        <v>2417</v>
      </c>
      <c r="B611" s="18">
        <v>2251018044</v>
      </c>
      <c r="C611" t="s">
        <v>2418</v>
      </c>
      <c r="D611" t="s">
        <v>2419</v>
      </c>
      <c r="E611" t="s">
        <v>765</v>
      </c>
      <c r="G611" t="s">
        <v>1895</v>
      </c>
      <c r="H611" t="s">
        <v>1901</v>
      </c>
      <c r="I611" t="s">
        <v>1897</v>
      </c>
    </row>
    <row r="612" spans="1:9">
      <c r="A612" t="s">
        <v>2420</v>
      </c>
      <c r="B612" s="18">
        <v>2251018048</v>
      </c>
      <c r="C612" t="s">
        <v>2421</v>
      </c>
      <c r="D612" t="s">
        <v>2422</v>
      </c>
      <c r="E612" t="s">
        <v>760</v>
      </c>
      <c r="G612" t="s">
        <v>1895</v>
      </c>
      <c r="H612" t="s">
        <v>1908</v>
      </c>
      <c r="I612" t="s">
        <v>1897</v>
      </c>
    </row>
    <row r="613" spans="1:9">
      <c r="A613" t="s">
        <v>2423</v>
      </c>
      <c r="B613" s="18">
        <v>2251018052</v>
      </c>
      <c r="C613" t="s">
        <v>2424</v>
      </c>
      <c r="D613" t="s">
        <v>2425</v>
      </c>
      <c r="E613" t="s">
        <v>760</v>
      </c>
      <c r="G613" t="s">
        <v>1895</v>
      </c>
      <c r="H613" t="s">
        <v>1901</v>
      </c>
      <c r="I613" t="s">
        <v>1897</v>
      </c>
    </row>
    <row r="614" spans="1:9">
      <c r="A614" t="s">
        <v>2426</v>
      </c>
      <c r="B614" s="18">
        <v>2251018056</v>
      </c>
      <c r="C614" t="s">
        <v>2427</v>
      </c>
      <c r="D614" t="s">
        <v>2428</v>
      </c>
      <c r="E614" t="s">
        <v>760</v>
      </c>
      <c r="G614" t="s">
        <v>1895</v>
      </c>
      <c r="H614" t="s">
        <v>1901</v>
      </c>
      <c r="I614" t="s">
        <v>1897</v>
      </c>
    </row>
    <row r="615" spans="1:9">
      <c r="A615" t="s">
        <v>2429</v>
      </c>
      <c r="B615" s="18">
        <v>2251018059</v>
      </c>
      <c r="C615" t="s">
        <v>2430</v>
      </c>
      <c r="D615" t="s">
        <v>2431</v>
      </c>
      <c r="E615" t="s">
        <v>760</v>
      </c>
      <c r="G615" t="s">
        <v>1895</v>
      </c>
      <c r="H615" t="s">
        <v>1901</v>
      </c>
      <c r="I615" t="s">
        <v>1897</v>
      </c>
    </row>
    <row r="616" spans="1:9">
      <c r="A616" t="s">
        <v>2432</v>
      </c>
      <c r="B616" s="18">
        <v>2251018061</v>
      </c>
      <c r="C616" t="s">
        <v>2433</v>
      </c>
      <c r="D616" t="s">
        <v>2434</v>
      </c>
      <c r="E616" t="s">
        <v>760</v>
      </c>
      <c r="G616" t="s">
        <v>1895</v>
      </c>
      <c r="H616" t="s">
        <v>1901</v>
      </c>
      <c r="I616" t="s">
        <v>1897</v>
      </c>
    </row>
    <row r="617" spans="1:9">
      <c r="A617" t="s">
        <v>2435</v>
      </c>
      <c r="B617" s="18">
        <v>2251018068</v>
      </c>
      <c r="C617" t="s">
        <v>1754</v>
      </c>
      <c r="D617" t="s">
        <v>2436</v>
      </c>
      <c r="E617" t="s">
        <v>760</v>
      </c>
      <c r="G617" t="s">
        <v>1895</v>
      </c>
      <c r="H617" t="s">
        <v>1901</v>
      </c>
      <c r="I617" t="s">
        <v>1897</v>
      </c>
    </row>
    <row r="618" spans="1:9">
      <c r="A618" t="s">
        <v>2437</v>
      </c>
      <c r="B618" s="18">
        <v>2251018070</v>
      </c>
      <c r="C618" t="s">
        <v>2438</v>
      </c>
      <c r="D618" t="s">
        <v>2439</v>
      </c>
      <c r="E618" t="s">
        <v>760</v>
      </c>
      <c r="G618" t="s">
        <v>1895</v>
      </c>
      <c r="H618" t="s">
        <v>1901</v>
      </c>
      <c r="I618" t="s">
        <v>1897</v>
      </c>
    </row>
    <row r="619" spans="1:9">
      <c r="A619" t="s">
        <v>2440</v>
      </c>
      <c r="B619" s="18">
        <v>2251018072</v>
      </c>
      <c r="C619" t="s">
        <v>2441</v>
      </c>
      <c r="D619" t="s">
        <v>2339</v>
      </c>
      <c r="E619" t="s">
        <v>760</v>
      </c>
      <c r="G619" t="s">
        <v>1895</v>
      </c>
      <c r="H619" t="s">
        <v>1901</v>
      </c>
      <c r="I619" t="s">
        <v>1897</v>
      </c>
    </row>
    <row r="620" spans="1:9">
      <c r="A620" t="s">
        <v>2442</v>
      </c>
      <c r="B620" s="18">
        <v>2251018073</v>
      </c>
      <c r="C620" t="s">
        <v>2443</v>
      </c>
      <c r="D620" t="s">
        <v>2444</v>
      </c>
      <c r="E620" t="s">
        <v>760</v>
      </c>
      <c r="I620" t="s">
        <v>1897</v>
      </c>
    </row>
    <row r="621" spans="1:9">
      <c r="A621" t="s">
        <v>2445</v>
      </c>
      <c r="B621" s="18">
        <v>2251018076</v>
      </c>
      <c r="C621" t="s">
        <v>2446</v>
      </c>
      <c r="D621" t="s">
        <v>2447</v>
      </c>
      <c r="E621" t="s">
        <v>760</v>
      </c>
      <c r="G621" t="s">
        <v>1895</v>
      </c>
      <c r="H621" t="s">
        <v>1901</v>
      </c>
      <c r="I621" t="s">
        <v>1897</v>
      </c>
    </row>
    <row r="622" spans="1:9">
      <c r="A622" t="s">
        <v>2448</v>
      </c>
      <c r="B622" s="18">
        <v>2251018081</v>
      </c>
      <c r="C622" t="s">
        <v>2449</v>
      </c>
      <c r="D622" t="s">
        <v>2450</v>
      </c>
      <c r="E622" t="s">
        <v>765</v>
      </c>
      <c r="G622" t="s">
        <v>1895</v>
      </c>
      <c r="H622" t="s">
        <v>1901</v>
      </c>
      <c r="I622" t="s">
        <v>1897</v>
      </c>
    </row>
    <row r="623" spans="1:9">
      <c r="A623" t="s">
        <v>2451</v>
      </c>
      <c r="B623" s="18">
        <v>2251048083</v>
      </c>
      <c r="C623" t="s">
        <v>2452</v>
      </c>
      <c r="D623" t="s">
        <v>2453</v>
      </c>
      <c r="E623" t="s">
        <v>760</v>
      </c>
      <c r="G623" t="s">
        <v>1895</v>
      </c>
      <c r="H623" t="s">
        <v>1908</v>
      </c>
      <c r="I623" t="s">
        <v>1897</v>
      </c>
    </row>
    <row r="624" spans="1:9">
      <c r="A624" t="s">
        <v>2454</v>
      </c>
      <c r="B624" s="18">
        <v>2251048084</v>
      </c>
      <c r="C624" t="s">
        <v>2455</v>
      </c>
      <c r="D624" t="s">
        <v>2456</v>
      </c>
      <c r="E624" t="s">
        <v>760</v>
      </c>
      <c r="G624" t="s">
        <v>1895</v>
      </c>
      <c r="H624" t="s">
        <v>1908</v>
      </c>
      <c r="I624" t="s">
        <v>1897</v>
      </c>
    </row>
    <row r="625" spans="1:9">
      <c r="A625" t="s">
        <v>2457</v>
      </c>
      <c r="B625" s="18">
        <v>2251048085</v>
      </c>
      <c r="C625" t="s">
        <v>2458</v>
      </c>
      <c r="D625" t="s">
        <v>2459</v>
      </c>
      <c r="E625" t="s">
        <v>760</v>
      </c>
      <c r="G625" t="s">
        <v>1895</v>
      </c>
      <c r="H625" t="s">
        <v>1901</v>
      </c>
      <c r="I625" t="s">
        <v>1897</v>
      </c>
    </row>
    <row r="626" spans="1:9">
      <c r="A626" t="s">
        <v>2460</v>
      </c>
      <c r="B626" s="18">
        <v>2251048086</v>
      </c>
      <c r="C626" t="s">
        <v>2461</v>
      </c>
      <c r="D626" t="s">
        <v>2462</v>
      </c>
      <c r="E626" t="s">
        <v>760</v>
      </c>
      <c r="G626" t="s">
        <v>1895</v>
      </c>
      <c r="H626" t="s">
        <v>1896</v>
      </c>
      <c r="I626" t="s">
        <v>1897</v>
      </c>
    </row>
    <row r="627" spans="1:9">
      <c r="A627" t="s">
        <v>2463</v>
      </c>
      <c r="B627" s="18">
        <v>2251048087</v>
      </c>
      <c r="C627" t="s">
        <v>2464</v>
      </c>
      <c r="D627" t="s">
        <v>2465</v>
      </c>
      <c r="E627" t="s">
        <v>760</v>
      </c>
      <c r="G627" t="s">
        <v>1895</v>
      </c>
      <c r="H627" t="s">
        <v>1901</v>
      </c>
      <c r="I627" t="s">
        <v>1897</v>
      </c>
    </row>
    <row r="628" spans="1:9">
      <c r="A628" t="s">
        <v>2466</v>
      </c>
      <c r="B628" s="18">
        <v>2251048088</v>
      </c>
      <c r="C628" t="s">
        <v>2467</v>
      </c>
      <c r="D628" t="s">
        <v>2310</v>
      </c>
      <c r="E628" t="s">
        <v>760</v>
      </c>
      <c r="G628" t="s">
        <v>1895</v>
      </c>
      <c r="H628" t="s">
        <v>1901</v>
      </c>
      <c r="I628" t="s">
        <v>1897</v>
      </c>
    </row>
    <row r="629" spans="1:9">
      <c r="A629" t="s">
        <v>2468</v>
      </c>
      <c r="B629" s="18">
        <v>2251048089</v>
      </c>
      <c r="C629" t="s">
        <v>2469</v>
      </c>
      <c r="D629" t="s">
        <v>2470</v>
      </c>
      <c r="E629" t="s">
        <v>760</v>
      </c>
      <c r="G629" t="s">
        <v>1895</v>
      </c>
      <c r="H629" t="s">
        <v>1901</v>
      </c>
      <c r="I629" t="s">
        <v>1897</v>
      </c>
    </row>
    <row r="630" spans="1:9">
      <c r="A630" t="s">
        <v>2471</v>
      </c>
      <c r="B630" s="18">
        <v>2251048090</v>
      </c>
      <c r="C630" t="s">
        <v>2472</v>
      </c>
      <c r="D630" t="s">
        <v>2186</v>
      </c>
      <c r="E630" t="s">
        <v>760</v>
      </c>
      <c r="G630" t="s">
        <v>2473</v>
      </c>
      <c r="H630" t="s">
        <v>1901</v>
      </c>
      <c r="I630" t="s">
        <v>1897</v>
      </c>
    </row>
    <row r="631" spans="1:9">
      <c r="A631" t="s">
        <v>2474</v>
      </c>
      <c r="B631" s="18">
        <v>2251048097</v>
      </c>
      <c r="C631" t="s">
        <v>2475</v>
      </c>
      <c r="D631" t="s">
        <v>2476</v>
      </c>
      <c r="E631" t="s">
        <v>760</v>
      </c>
      <c r="G631" t="s">
        <v>1895</v>
      </c>
      <c r="H631" t="s">
        <v>1901</v>
      </c>
      <c r="I631" t="s">
        <v>1897</v>
      </c>
    </row>
    <row r="632" spans="1:9">
      <c r="A632" t="s">
        <v>2477</v>
      </c>
      <c r="B632" s="18">
        <v>2251048096</v>
      </c>
      <c r="C632" t="s">
        <v>2478</v>
      </c>
      <c r="D632" t="s">
        <v>2479</v>
      </c>
      <c r="E632" t="s">
        <v>760</v>
      </c>
      <c r="G632" t="s">
        <v>1895</v>
      </c>
      <c r="H632" t="s">
        <v>1896</v>
      </c>
      <c r="I632" t="s">
        <v>1897</v>
      </c>
    </row>
    <row r="633" spans="1:9">
      <c r="A633" t="s">
        <v>2480</v>
      </c>
      <c r="B633" s="18">
        <v>2251048091</v>
      </c>
      <c r="C633" t="s">
        <v>2481</v>
      </c>
      <c r="D633" t="s">
        <v>2192</v>
      </c>
      <c r="E633" t="s">
        <v>760</v>
      </c>
      <c r="G633" t="s">
        <v>1895</v>
      </c>
      <c r="H633" t="s">
        <v>1901</v>
      </c>
      <c r="I633" t="s">
        <v>1897</v>
      </c>
    </row>
    <row r="634" spans="1:9">
      <c r="A634" t="s">
        <v>2482</v>
      </c>
      <c r="B634" s="18">
        <v>2251048093</v>
      </c>
      <c r="C634" t="s">
        <v>2483</v>
      </c>
      <c r="D634" t="s">
        <v>2045</v>
      </c>
      <c r="E634" t="s">
        <v>760</v>
      </c>
      <c r="G634" t="s">
        <v>1895</v>
      </c>
      <c r="H634" t="s">
        <v>1901</v>
      </c>
      <c r="I634" t="s">
        <v>1897</v>
      </c>
    </row>
    <row r="635" spans="1:9">
      <c r="A635" t="s">
        <v>2484</v>
      </c>
      <c r="B635" s="18">
        <v>2251048094</v>
      </c>
      <c r="C635" t="s">
        <v>2485</v>
      </c>
      <c r="D635" t="s">
        <v>2192</v>
      </c>
      <c r="E635" t="s">
        <v>760</v>
      </c>
      <c r="G635" t="s">
        <v>1895</v>
      </c>
      <c r="H635" t="s">
        <v>1901</v>
      </c>
      <c r="I635" t="s">
        <v>1897</v>
      </c>
    </row>
    <row r="636" spans="1:9">
      <c r="A636" t="s">
        <v>2486</v>
      </c>
      <c r="B636" s="18">
        <v>2251048098</v>
      </c>
      <c r="C636" t="s">
        <v>2487</v>
      </c>
      <c r="D636" t="s">
        <v>2045</v>
      </c>
      <c r="E636" t="s">
        <v>760</v>
      </c>
      <c r="G636" t="s">
        <v>1895</v>
      </c>
      <c r="H636" t="s">
        <v>1896</v>
      </c>
      <c r="I636" t="s">
        <v>1897</v>
      </c>
    </row>
    <row r="637" spans="1:9">
      <c r="A637" t="s">
        <v>2488</v>
      </c>
      <c r="B637" s="18">
        <v>2251048099</v>
      </c>
      <c r="C637" t="s">
        <v>2489</v>
      </c>
      <c r="D637" t="s">
        <v>2490</v>
      </c>
      <c r="E637" t="s">
        <v>760</v>
      </c>
      <c r="G637" t="s">
        <v>1895</v>
      </c>
      <c r="H637" t="s">
        <v>1901</v>
      </c>
      <c r="I637" t="s">
        <v>1897</v>
      </c>
    </row>
    <row r="638" spans="1:9">
      <c r="A638" t="s">
        <v>2491</v>
      </c>
      <c r="B638" s="18">
        <v>2251048101</v>
      </c>
      <c r="C638" t="s">
        <v>2492</v>
      </c>
      <c r="D638" t="s">
        <v>2493</v>
      </c>
      <c r="E638" t="s">
        <v>765</v>
      </c>
      <c r="G638" t="s">
        <v>1895</v>
      </c>
      <c r="H638" t="s">
        <v>1901</v>
      </c>
      <c r="I638" t="s">
        <v>1897</v>
      </c>
    </row>
    <row r="639" spans="1:9">
      <c r="A639" t="s">
        <v>2494</v>
      </c>
      <c r="B639" s="18">
        <v>2251048102</v>
      </c>
      <c r="C639" t="s">
        <v>2495</v>
      </c>
      <c r="D639" t="s">
        <v>2239</v>
      </c>
      <c r="E639" t="s">
        <v>760</v>
      </c>
      <c r="G639" t="s">
        <v>1895</v>
      </c>
      <c r="H639" t="s">
        <v>1901</v>
      </c>
      <c r="I639" t="s">
        <v>1897</v>
      </c>
    </row>
    <row r="640" spans="1:9">
      <c r="A640" t="s">
        <v>2496</v>
      </c>
      <c r="B640" s="18">
        <v>2251048110</v>
      </c>
      <c r="C640" t="s">
        <v>2497</v>
      </c>
      <c r="D640" t="s">
        <v>2498</v>
      </c>
      <c r="E640" t="s">
        <v>760</v>
      </c>
      <c r="G640" t="s">
        <v>1895</v>
      </c>
      <c r="H640" t="s">
        <v>1901</v>
      </c>
      <c r="I640" t="s">
        <v>1897</v>
      </c>
    </row>
    <row r="641" spans="1:9">
      <c r="A641" t="s">
        <v>2499</v>
      </c>
      <c r="B641" s="18">
        <v>2251048104</v>
      </c>
      <c r="C641" t="s">
        <v>2500</v>
      </c>
      <c r="D641" t="s">
        <v>2501</v>
      </c>
      <c r="E641" t="s">
        <v>760</v>
      </c>
      <c r="G641" t="s">
        <v>1895</v>
      </c>
      <c r="H641" t="s">
        <v>1901</v>
      </c>
      <c r="I641" t="s">
        <v>1897</v>
      </c>
    </row>
    <row r="642" spans="1:9">
      <c r="A642" t="s">
        <v>2502</v>
      </c>
      <c r="B642" s="18">
        <v>2251048105</v>
      </c>
      <c r="C642" t="s">
        <v>2503</v>
      </c>
      <c r="D642" t="s">
        <v>2504</v>
      </c>
      <c r="E642" t="s">
        <v>760</v>
      </c>
      <c r="G642" t="s">
        <v>1895</v>
      </c>
      <c r="H642" t="s">
        <v>1901</v>
      </c>
      <c r="I642" t="s">
        <v>1897</v>
      </c>
    </row>
    <row r="643" spans="1:9">
      <c r="A643" t="s">
        <v>2505</v>
      </c>
      <c r="B643" s="18">
        <v>2251048106</v>
      </c>
      <c r="C643" t="s">
        <v>2506</v>
      </c>
      <c r="D643" t="s">
        <v>2283</v>
      </c>
      <c r="E643" t="s">
        <v>760</v>
      </c>
      <c r="G643" t="s">
        <v>1895</v>
      </c>
      <c r="H643" t="s">
        <v>1901</v>
      </c>
      <c r="I643" t="s">
        <v>1897</v>
      </c>
    </row>
    <row r="644" spans="1:9">
      <c r="A644" t="s">
        <v>2507</v>
      </c>
      <c r="B644" s="18">
        <v>2251048107</v>
      </c>
      <c r="C644" t="s">
        <v>2508</v>
      </c>
      <c r="D644" t="s">
        <v>2509</v>
      </c>
      <c r="E644" t="s">
        <v>760</v>
      </c>
      <c r="G644" t="s">
        <v>1895</v>
      </c>
      <c r="H644" t="s">
        <v>1908</v>
      </c>
      <c r="I644" t="s">
        <v>1897</v>
      </c>
    </row>
    <row r="645" spans="1:9">
      <c r="A645" t="s">
        <v>2510</v>
      </c>
      <c r="B645" s="18">
        <v>2251048108</v>
      </c>
      <c r="C645" t="s">
        <v>2511</v>
      </c>
      <c r="D645" t="s">
        <v>2512</v>
      </c>
      <c r="E645" t="s">
        <v>760</v>
      </c>
      <c r="G645" t="s">
        <v>1895</v>
      </c>
      <c r="H645" t="s">
        <v>1896</v>
      </c>
      <c r="I645" t="s">
        <v>1897</v>
      </c>
    </row>
    <row r="646" spans="1:9">
      <c r="A646" t="s">
        <v>2513</v>
      </c>
      <c r="B646" s="18">
        <v>2251048111</v>
      </c>
      <c r="C646" t="s">
        <v>2514</v>
      </c>
      <c r="D646" t="s">
        <v>2515</v>
      </c>
      <c r="E646" t="s">
        <v>760</v>
      </c>
      <c r="G646" t="s">
        <v>1895</v>
      </c>
      <c r="H646" t="s">
        <v>1901</v>
      </c>
      <c r="I646" t="s">
        <v>1897</v>
      </c>
    </row>
    <row r="647" spans="1:9">
      <c r="A647" t="s">
        <v>2516</v>
      </c>
      <c r="B647" s="18">
        <v>2251048112</v>
      </c>
      <c r="C647" t="s">
        <v>2517</v>
      </c>
      <c r="D647" t="s">
        <v>2518</v>
      </c>
      <c r="E647" t="s">
        <v>760</v>
      </c>
      <c r="G647" t="s">
        <v>1895</v>
      </c>
      <c r="H647" t="s">
        <v>1901</v>
      </c>
      <c r="I647" t="s">
        <v>1897</v>
      </c>
    </row>
    <row r="648" spans="1:9">
      <c r="A648" t="s">
        <v>2519</v>
      </c>
      <c r="B648" s="18">
        <v>2251048113</v>
      </c>
      <c r="C648" t="s">
        <v>2520</v>
      </c>
      <c r="D648" t="s">
        <v>1978</v>
      </c>
      <c r="E648" t="s">
        <v>760</v>
      </c>
      <c r="G648" t="s">
        <v>1895</v>
      </c>
      <c r="H648" t="s">
        <v>1901</v>
      </c>
      <c r="I648" t="s">
        <v>1897</v>
      </c>
    </row>
    <row r="649" spans="1:9">
      <c r="A649" t="s">
        <v>2521</v>
      </c>
      <c r="B649" s="18">
        <v>2251048114</v>
      </c>
      <c r="C649" t="s">
        <v>2522</v>
      </c>
      <c r="D649" t="s">
        <v>2523</v>
      </c>
      <c r="E649" t="s">
        <v>760</v>
      </c>
      <c r="G649" t="s">
        <v>1895</v>
      </c>
      <c r="H649" t="s">
        <v>1901</v>
      </c>
      <c r="I649" t="s">
        <v>1897</v>
      </c>
    </row>
    <row r="650" spans="1:9">
      <c r="A650" t="s">
        <v>2524</v>
      </c>
      <c r="B650" s="18">
        <v>2251048115</v>
      </c>
      <c r="C650" t="s">
        <v>2525</v>
      </c>
      <c r="D650" t="s">
        <v>2037</v>
      </c>
      <c r="E650" t="s">
        <v>760</v>
      </c>
      <c r="G650" t="s">
        <v>1895</v>
      </c>
      <c r="H650" t="s">
        <v>1901</v>
      </c>
      <c r="I650" t="s">
        <v>1897</v>
      </c>
    </row>
    <row r="651" spans="1:9">
      <c r="A651" t="s">
        <v>2526</v>
      </c>
      <c r="B651" s="18">
        <v>2251048116</v>
      </c>
      <c r="C651" t="s">
        <v>2527</v>
      </c>
      <c r="D651" t="s">
        <v>2528</v>
      </c>
      <c r="E651" t="s">
        <v>760</v>
      </c>
      <c r="G651" t="s">
        <v>1895</v>
      </c>
      <c r="H651" t="s">
        <v>1901</v>
      </c>
      <c r="I651" t="s">
        <v>1897</v>
      </c>
    </row>
    <row r="652" spans="1:9">
      <c r="A652" t="s">
        <v>2529</v>
      </c>
      <c r="B652" s="18">
        <v>2251048117</v>
      </c>
      <c r="C652" t="s">
        <v>2530</v>
      </c>
      <c r="D652" t="s">
        <v>2531</v>
      </c>
      <c r="E652" t="s">
        <v>760</v>
      </c>
      <c r="G652" t="s">
        <v>1895</v>
      </c>
      <c r="H652" t="s">
        <v>1901</v>
      </c>
      <c r="I652" t="s">
        <v>1897</v>
      </c>
    </row>
    <row r="653" spans="1:9">
      <c r="A653" t="s">
        <v>2532</v>
      </c>
      <c r="B653" s="18">
        <v>2251048119</v>
      </c>
      <c r="C653" t="s">
        <v>2533</v>
      </c>
      <c r="D653" t="s">
        <v>2534</v>
      </c>
      <c r="E653" t="s">
        <v>760</v>
      </c>
      <c r="G653" t="s">
        <v>1895</v>
      </c>
      <c r="H653" t="s">
        <v>1901</v>
      </c>
      <c r="I653" t="s">
        <v>1897</v>
      </c>
    </row>
    <row r="654" spans="1:9">
      <c r="A654" t="s">
        <v>2535</v>
      </c>
      <c r="B654" s="18">
        <v>2251048120</v>
      </c>
      <c r="C654" t="s">
        <v>2536</v>
      </c>
      <c r="D654" t="s">
        <v>2280</v>
      </c>
      <c r="E654" t="s">
        <v>760</v>
      </c>
      <c r="G654" t="s">
        <v>1895</v>
      </c>
      <c r="H654" t="s">
        <v>1901</v>
      </c>
      <c r="I654" t="s">
        <v>1897</v>
      </c>
    </row>
    <row r="655" spans="1:9">
      <c r="A655" t="s">
        <v>2537</v>
      </c>
      <c r="B655" s="18">
        <v>2251048121</v>
      </c>
      <c r="C655" t="s">
        <v>2538</v>
      </c>
      <c r="D655" t="s">
        <v>2539</v>
      </c>
      <c r="E655" t="s">
        <v>760</v>
      </c>
      <c r="G655" t="s">
        <v>1895</v>
      </c>
      <c r="H655" t="s">
        <v>1901</v>
      </c>
      <c r="I655" t="s">
        <v>1897</v>
      </c>
    </row>
    <row r="656" spans="1:9">
      <c r="A656" t="s">
        <v>2540</v>
      </c>
      <c r="B656" s="18">
        <v>2251048123</v>
      </c>
      <c r="C656" t="s">
        <v>2541</v>
      </c>
      <c r="D656" t="s">
        <v>1900</v>
      </c>
      <c r="E656" t="s">
        <v>760</v>
      </c>
      <c r="G656" t="s">
        <v>1895</v>
      </c>
      <c r="H656" t="s">
        <v>1908</v>
      </c>
      <c r="I656" t="s">
        <v>1897</v>
      </c>
    </row>
    <row r="657" spans="1:9">
      <c r="A657" t="s">
        <v>2542</v>
      </c>
      <c r="B657" s="18">
        <v>2251048122</v>
      </c>
      <c r="C657" t="s">
        <v>2543</v>
      </c>
      <c r="D657" t="s">
        <v>1932</v>
      </c>
      <c r="E657" t="s">
        <v>760</v>
      </c>
      <c r="G657" t="s">
        <v>1895</v>
      </c>
      <c r="H657" t="s">
        <v>1896</v>
      </c>
      <c r="I657" t="s">
        <v>1897</v>
      </c>
    </row>
    <row r="658" spans="1:9">
      <c r="A658" t="s">
        <v>2544</v>
      </c>
      <c r="B658" s="18">
        <v>2251048126</v>
      </c>
      <c r="C658" t="s">
        <v>2545</v>
      </c>
      <c r="D658" t="s">
        <v>2546</v>
      </c>
      <c r="E658" t="s">
        <v>760</v>
      </c>
      <c r="I658" t="s">
        <v>1897</v>
      </c>
    </row>
    <row r="659" spans="1:9">
      <c r="A659" t="s">
        <v>2547</v>
      </c>
      <c r="B659" s="18">
        <v>2251048127</v>
      </c>
      <c r="C659" t="s">
        <v>2548</v>
      </c>
      <c r="D659" t="s">
        <v>2549</v>
      </c>
      <c r="E659" t="s">
        <v>760</v>
      </c>
      <c r="G659" t="s">
        <v>1895</v>
      </c>
      <c r="H659" t="s">
        <v>1901</v>
      </c>
      <c r="I659" t="s">
        <v>1897</v>
      </c>
    </row>
    <row r="660" spans="1:9">
      <c r="A660" t="s">
        <v>2550</v>
      </c>
      <c r="B660" s="18">
        <v>2251048128</v>
      </c>
      <c r="C660" t="s">
        <v>2551</v>
      </c>
      <c r="D660" t="s">
        <v>2552</v>
      </c>
      <c r="E660" t="s">
        <v>760</v>
      </c>
      <c r="G660" t="s">
        <v>1895</v>
      </c>
      <c r="H660" t="s">
        <v>1901</v>
      </c>
      <c r="I660" t="s">
        <v>1897</v>
      </c>
    </row>
    <row r="661" spans="1:9">
      <c r="A661" t="s">
        <v>2553</v>
      </c>
      <c r="B661" s="18">
        <v>2251048129</v>
      </c>
      <c r="C661" t="s">
        <v>2554</v>
      </c>
      <c r="D661" t="s">
        <v>2555</v>
      </c>
      <c r="E661" t="s">
        <v>760</v>
      </c>
      <c r="G661" t="s">
        <v>1895</v>
      </c>
      <c r="H661" t="s">
        <v>1901</v>
      </c>
      <c r="I661" t="s">
        <v>1897</v>
      </c>
    </row>
    <row r="662" spans="1:9">
      <c r="A662" t="s">
        <v>2556</v>
      </c>
      <c r="B662" s="18">
        <v>2251048130</v>
      </c>
      <c r="C662" t="s">
        <v>2557</v>
      </c>
      <c r="D662" t="s">
        <v>2558</v>
      </c>
      <c r="E662" t="s">
        <v>760</v>
      </c>
      <c r="G662" t="s">
        <v>1895</v>
      </c>
      <c r="H662" t="s">
        <v>1901</v>
      </c>
      <c r="I662" t="s">
        <v>1897</v>
      </c>
    </row>
    <row r="663" spans="1:9">
      <c r="A663" t="s">
        <v>2559</v>
      </c>
      <c r="B663" s="18">
        <v>2251048133</v>
      </c>
      <c r="C663" t="s">
        <v>2560</v>
      </c>
      <c r="D663" t="s">
        <v>2561</v>
      </c>
      <c r="E663" t="s">
        <v>760</v>
      </c>
      <c r="G663" t="s">
        <v>1895</v>
      </c>
      <c r="H663" t="s">
        <v>1901</v>
      </c>
      <c r="I663" t="s">
        <v>1897</v>
      </c>
    </row>
    <row r="664" spans="1:9">
      <c r="A664" t="s">
        <v>2562</v>
      </c>
      <c r="B664" s="18">
        <v>2251048134</v>
      </c>
      <c r="C664" t="s">
        <v>473</v>
      </c>
      <c r="D664" t="s">
        <v>2040</v>
      </c>
      <c r="E664" t="s">
        <v>765</v>
      </c>
      <c r="G664" t="s">
        <v>1895</v>
      </c>
      <c r="H664" t="s">
        <v>1901</v>
      </c>
      <c r="I664" t="s">
        <v>1897</v>
      </c>
    </row>
    <row r="665" spans="1:9">
      <c r="A665" t="s">
        <v>2563</v>
      </c>
      <c r="B665" s="18">
        <v>2251048135</v>
      </c>
      <c r="C665" t="s">
        <v>2564</v>
      </c>
      <c r="D665" t="s">
        <v>2565</v>
      </c>
      <c r="E665" t="s">
        <v>760</v>
      </c>
      <c r="G665" t="s">
        <v>1895</v>
      </c>
      <c r="H665" t="s">
        <v>1901</v>
      </c>
      <c r="I665" t="s">
        <v>1897</v>
      </c>
    </row>
    <row r="666" spans="1:9">
      <c r="A666" t="s">
        <v>2566</v>
      </c>
      <c r="B666" s="18">
        <v>2251048137</v>
      </c>
      <c r="C666" t="s">
        <v>2567</v>
      </c>
      <c r="D666" t="s">
        <v>2384</v>
      </c>
      <c r="E666" t="s">
        <v>760</v>
      </c>
      <c r="G666" t="s">
        <v>1895</v>
      </c>
      <c r="H666" t="s">
        <v>1901</v>
      </c>
      <c r="I666" t="s">
        <v>1897</v>
      </c>
    </row>
    <row r="667" spans="1:9">
      <c r="A667" t="s">
        <v>2568</v>
      </c>
      <c r="B667" s="18">
        <v>2251048138</v>
      </c>
      <c r="C667" t="s">
        <v>2569</v>
      </c>
      <c r="D667" t="s">
        <v>2570</v>
      </c>
      <c r="E667" t="s">
        <v>760</v>
      </c>
      <c r="G667" t="s">
        <v>1895</v>
      </c>
      <c r="H667" t="s">
        <v>1901</v>
      </c>
      <c r="I667" t="s">
        <v>1897</v>
      </c>
    </row>
    <row r="668" spans="1:9">
      <c r="A668" t="s">
        <v>2571</v>
      </c>
      <c r="B668" s="18">
        <v>2251048139</v>
      </c>
      <c r="C668" t="s">
        <v>2572</v>
      </c>
      <c r="D668" t="s">
        <v>2419</v>
      </c>
      <c r="E668" t="s">
        <v>760</v>
      </c>
      <c r="G668" t="s">
        <v>1895</v>
      </c>
      <c r="H668" t="s">
        <v>1901</v>
      </c>
      <c r="I668" t="s">
        <v>1897</v>
      </c>
    </row>
    <row r="669" spans="1:9">
      <c r="A669" t="s">
        <v>2573</v>
      </c>
      <c r="B669" s="18">
        <v>2251048140</v>
      </c>
      <c r="C669" t="s">
        <v>2574</v>
      </c>
      <c r="D669" t="s">
        <v>2498</v>
      </c>
      <c r="E669" t="s">
        <v>760</v>
      </c>
      <c r="G669" t="s">
        <v>1895</v>
      </c>
      <c r="H669" t="s">
        <v>1901</v>
      </c>
      <c r="I669" t="s">
        <v>1897</v>
      </c>
    </row>
    <row r="670" spans="1:9">
      <c r="A670" t="s">
        <v>2575</v>
      </c>
      <c r="B670" s="18">
        <v>2251048141</v>
      </c>
      <c r="C670" t="s">
        <v>2576</v>
      </c>
      <c r="D670" t="s">
        <v>2010</v>
      </c>
      <c r="E670" t="s">
        <v>760</v>
      </c>
      <c r="G670" t="s">
        <v>1895</v>
      </c>
      <c r="H670" t="s">
        <v>1901</v>
      </c>
      <c r="I670" t="s">
        <v>1897</v>
      </c>
    </row>
    <row r="671" spans="1:9">
      <c r="A671" t="s">
        <v>2577</v>
      </c>
      <c r="B671" s="18">
        <v>2251048142</v>
      </c>
      <c r="C671" t="s">
        <v>2578</v>
      </c>
      <c r="D671" t="s">
        <v>2579</v>
      </c>
      <c r="E671" t="s">
        <v>760</v>
      </c>
      <c r="G671" t="s">
        <v>1895</v>
      </c>
      <c r="H671" t="s">
        <v>1901</v>
      </c>
      <c r="I671" t="s">
        <v>1897</v>
      </c>
    </row>
    <row r="672" spans="1:9">
      <c r="A672" t="s">
        <v>2580</v>
      </c>
      <c r="B672" s="18">
        <v>2251048144</v>
      </c>
      <c r="C672" t="s">
        <v>2581</v>
      </c>
      <c r="D672" t="s">
        <v>2582</v>
      </c>
      <c r="E672" t="s">
        <v>760</v>
      </c>
      <c r="G672" t="s">
        <v>1895</v>
      </c>
      <c r="H672" t="s">
        <v>1901</v>
      </c>
      <c r="I672" t="s">
        <v>1897</v>
      </c>
    </row>
    <row r="673" spans="1:9">
      <c r="A673" t="s">
        <v>2583</v>
      </c>
      <c r="B673" s="18">
        <v>2251048145</v>
      </c>
      <c r="C673" t="s">
        <v>2584</v>
      </c>
      <c r="D673" t="s">
        <v>2585</v>
      </c>
      <c r="E673" t="s">
        <v>760</v>
      </c>
      <c r="G673" t="s">
        <v>1895</v>
      </c>
      <c r="H673" t="s">
        <v>1908</v>
      </c>
      <c r="I673" t="s">
        <v>1897</v>
      </c>
    </row>
    <row r="674" spans="1:9">
      <c r="A674" t="s">
        <v>2586</v>
      </c>
      <c r="B674" s="18">
        <v>2251048146</v>
      </c>
      <c r="C674" t="s">
        <v>2587</v>
      </c>
      <c r="D674" t="s">
        <v>1907</v>
      </c>
      <c r="E674" t="s">
        <v>760</v>
      </c>
      <c r="I674" t="s">
        <v>1897</v>
      </c>
    </row>
    <row r="675" spans="1:9">
      <c r="A675" t="s">
        <v>2588</v>
      </c>
      <c r="B675" s="18">
        <v>2251048147</v>
      </c>
      <c r="C675" t="s">
        <v>2589</v>
      </c>
      <c r="D675" t="s">
        <v>2590</v>
      </c>
      <c r="E675" t="s">
        <v>760</v>
      </c>
      <c r="G675" t="s">
        <v>1895</v>
      </c>
      <c r="H675" t="s">
        <v>1901</v>
      </c>
      <c r="I675" t="s">
        <v>1897</v>
      </c>
    </row>
    <row r="676" spans="1:9">
      <c r="A676" t="s">
        <v>2591</v>
      </c>
      <c r="B676" s="18">
        <v>2251048148</v>
      </c>
      <c r="C676" t="s">
        <v>2592</v>
      </c>
      <c r="D676" t="s">
        <v>2022</v>
      </c>
      <c r="E676" t="s">
        <v>760</v>
      </c>
      <c r="G676" t="s">
        <v>1895</v>
      </c>
      <c r="H676" t="s">
        <v>1901</v>
      </c>
      <c r="I676" t="s">
        <v>1897</v>
      </c>
    </row>
    <row r="677" spans="1:9">
      <c r="A677" t="s">
        <v>2593</v>
      </c>
      <c r="B677" s="18">
        <v>2251048149</v>
      </c>
      <c r="C677" t="s">
        <v>2594</v>
      </c>
      <c r="D677" t="s">
        <v>2595</v>
      </c>
      <c r="E677" t="s">
        <v>760</v>
      </c>
      <c r="H677" t="s">
        <v>1901</v>
      </c>
      <c r="I677" t="s">
        <v>1897</v>
      </c>
    </row>
    <row r="678" spans="1:9">
      <c r="A678" t="s">
        <v>2596</v>
      </c>
      <c r="B678" s="18">
        <v>2251048151</v>
      </c>
      <c r="C678" t="s">
        <v>2597</v>
      </c>
      <c r="D678" t="s">
        <v>2598</v>
      </c>
      <c r="E678" t="s">
        <v>760</v>
      </c>
      <c r="G678" t="s">
        <v>1895</v>
      </c>
      <c r="H678" t="s">
        <v>1901</v>
      </c>
      <c r="I678" t="s">
        <v>1897</v>
      </c>
    </row>
    <row r="679" spans="1:9">
      <c r="A679" t="s">
        <v>2599</v>
      </c>
      <c r="B679" s="18">
        <v>2251048152</v>
      </c>
      <c r="C679" t="s">
        <v>2600</v>
      </c>
      <c r="D679" t="s">
        <v>2601</v>
      </c>
      <c r="E679" t="s">
        <v>760</v>
      </c>
      <c r="G679" t="s">
        <v>1895</v>
      </c>
      <c r="H679" t="s">
        <v>1901</v>
      </c>
      <c r="I679" t="s">
        <v>1897</v>
      </c>
    </row>
    <row r="680" spans="1:9">
      <c r="A680" t="s">
        <v>2602</v>
      </c>
      <c r="B680" s="18">
        <v>2251048153</v>
      </c>
      <c r="C680" t="s">
        <v>2603</v>
      </c>
      <c r="D680" t="s">
        <v>2604</v>
      </c>
      <c r="E680" t="s">
        <v>760</v>
      </c>
      <c r="G680" t="s">
        <v>1895</v>
      </c>
      <c r="H680" t="s">
        <v>1896</v>
      </c>
      <c r="I680" t="s">
        <v>1897</v>
      </c>
    </row>
    <row r="681" spans="1:9">
      <c r="A681" t="s">
        <v>2605</v>
      </c>
      <c r="B681" s="18">
        <v>2251048154</v>
      </c>
      <c r="C681" t="s">
        <v>2606</v>
      </c>
      <c r="D681" t="s">
        <v>2607</v>
      </c>
      <c r="E681" t="s">
        <v>760</v>
      </c>
      <c r="G681" t="s">
        <v>1895</v>
      </c>
      <c r="H681" t="s">
        <v>1901</v>
      </c>
      <c r="I681" t="s">
        <v>1897</v>
      </c>
    </row>
    <row r="682" spans="1:9">
      <c r="A682" t="s">
        <v>2608</v>
      </c>
      <c r="B682" s="18">
        <v>2251048156</v>
      </c>
      <c r="C682" t="s">
        <v>2609</v>
      </c>
      <c r="D682" t="s">
        <v>2610</v>
      </c>
      <c r="E682" t="s">
        <v>760</v>
      </c>
      <c r="G682" t="s">
        <v>1895</v>
      </c>
      <c r="H682" t="s">
        <v>1901</v>
      </c>
      <c r="I682" t="s">
        <v>1897</v>
      </c>
    </row>
    <row r="683" spans="1:9">
      <c r="A683" t="s">
        <v>2611</v>
      </c>
      <c r="B683" s="18">
        <v>2251048159</v>
      </c>
      <c r="C683" t="s">
        <v>2612</v>
      </c>
      <c r="D683" t="s">
        <v>2555</v>
      </c>
      <c r="E683" t="s">
        <v>765</v>
      </c>
      <c r="G683" t="s">
        <v>1895</v>
      </c>
      <c r="H683" t="s">
        <v>1908</v>
      </c>
      <c r="I683" t="s">
        <v>1897</v>
      </c>
    </row>
    <row r="684" spans="1:9">
      <c r="A684" t="s">
        <v>2613</v>
      </c>
      <c r="B684" s="18">
        <v>2251048161</v>
      </c>
      <c r="C684" t="s">
        <v>2614</v>
      </c>
      <c r="D684" t="s">
        <v>2615</v>
      </c>
      <c r="E684" t="s">
        <v>760</v>
      </c>
      <c r="G684" t="s">
        <v>1895</v>
      </c>
      <c r="H684" t="s">
        <v>1901</v>
      </c>
      <c r="I684" t="s">
        <v>1897</v>
      </c>
    </row>
    <row r="685" spans="1:9">
      <c r="A685" t="s">
        <v>2616</v>
      </c>
      <c r="B685" s="18">
        <v>2251048162</v>
      </c>
      <c r="C685" t="s">
        <v>2617</v>
      </c>
      <c r="D685" t="s">
        <v>2263</v>
      </c>
      <c r="E685" t="s">
        <v>760</v>
      </c>
      <c r="G685" t="s">
        <v>1895</v>
      </c>
      <c r="H685" t="s">
        <v>1901</v>
      </c>
      <c r="I685" t="s">
        <v>1897</v>
      </c>
    </row>
    <row r="686" spans="1:9">
      <c r="A686" t="s">
        <v>2618</v>
      </c>
      <c r="B686" s="18">
        <v>2251048160</v>
      </c>
      <c r="C686" t="s">
        <v>2619</v>
      </c>
      <c r="D686" t="s">
        <v>2620</v>
      </c>
      <c r="E686" t="s">
        <v>760</v>
      </c>
      <c r="G686" t="s">
        <v>1895</v>
      </c>
      <c r="H686" t="s">
        <v>1901</v>
      </c>
      <c r="I686" t="s">
        <v>1897</v>
      </c>
    </row>
    <row r="687" spans="1:9">
      <c r="A687" t="s">
        <v>2621</v>
      </c>
      <c r="B687" s="18">
        <v>2251048165</v>
      </c>
      <c r="C687" t="s">
        <v>2622</v>
      </c>
      <c r="D687" t="s">
        <v>2579</v>
      </c>
      <c r="E687" t="s">
        <v>760</v>
      </c>
      <c r="G687" t="s">
        <v>1895</v>
      </c>
      <c r="H687" t="s">
        <v>1896</v>
      </c>
      <c r="I687" t="s">
        <v>1897</v>
      </c>
    </row>
    <row r="688" spans="1:9">
      <c r="A688" t="s">
        <v>2623</v>
      </c>
      <c r="B688" s="18">
        <v>2251048164</v>
      </c>
      <c r="C688" t="s">
        <v>2624</v>
      </c>
      <c r="D688" t="s">
        <v>2031</v>
      </c>
      <c r="E688" t="s">
        <v>760</v>
      </c>
      <c r="G688" t="s">
        <v>1895</v>
      </c>
      <c r="H688" t="s">
        <v>1901</v>
      </c>
      <c r="I688" t="s">
        <v>1897</v>
      </c>
    </row>
    <row r="689" spans="1:9">
      <c r="A689" t="s">
        <v>2625</v>
      </c>
      <c r="B689" s="18">
        <v>2251048168</v>
      </c>
      <c r="C689" t="s">
        <v>2626</v>
      </c>
      <c r="D689" t="s">
        <v>2119</v>
      </c>
      <c r="E689" t="s">
        <v>760</v>
      </c>
      <c r="H689" t="s">
        <v>1901</v>
      </c>
      <c r="I689" t="s">
        <v>1897</v>
      </c>
    </row>
    <row r="690" spans="1:9">
      <c r="A690" t="s">
        <v>2627</v>
      </c>
      <c r="B690" s="18">
        <v>2251048169</v>
      </c>
      <c r="C690" t="s">
        <v>2628</v>
      </c>
      <c r="D690" t="s">
        <v>2629</v>
      </c>
      <c r="E690" t="s">
        <v>760</v>
      </c>
      <c r="G690" t="s">
        <v>1895</v>
      </c>
      <c r="H690" t="s">
        <v>1901</v>
      </c>
      <c r="I690" t="s">
        <v>1897</v>
      </c>
    </row>
    <row r="691" spans="1:9">
      <c r="A691" t="s">
        <v>2630</v>
      </c>
      <c r="B691" s="18">
        <v>2251048095</v>
      </c>
      <c r="C691" t="s">
        <v>2631</v>
      </c>
      <c r="D691" t="s">
        <v>2632</v>
      </c>
      <c r="E691" t="s">
        <v>760</v>
      </c>
      <c r="G691" t="s">
        <v>1895</v>
      </c>
      <c r="H691" t="s">
        <v>1901</v>
      </c>
      <c r="I691" t="s">
        <v>1897</v>
      </c>
    </row>
    <row r="692" spans="1:9">
      <c r="A692" t="s">
        <v>2633</v>
      </c>
      <c r="B692" s="18">
        <v>2251048092</v>
      </c>
      <c r="C692" t="s">
        <v>2634</v>
      </c>
      <c r="D692" t="s">
        <v>2141</v>
      </c>
      <c r="E692" t="s">
        <v>760</v>
      </c>
      <c r="G692" t="s">
        <v>1895</v>
      </c>
      <c r="H692" t="s">
        <v>1901</v>
      </c>
      <c r="I692" t="s">
        <v>1897</v>
      </c>
    </row>
    <row r="693" spans="1:9">
      <c r="A693" t="s">
        <v>2635</v>
      </c>
      <c r="B693" s="18">
        <v>2251048100</v>
      </c>
      <c r="C693" t="s">
        <v>2636</v>
      </c>
      <c r="D693" t="s">
        <v>1900</v>
      </c>
      <c r="E693" t="s">
        <v>760</v>
      </c>
      <c r="G693" t="s">
        <v>1895</v>
      </c>
      <c r="H693" t="s">
        <v>1901</v>
      </c>
      <c r="I693" t="s">
        <v>1897</v>
      </c>
    </row>
    <row r="694" spans="1:9">
      <c r="A694" t="s">
        <v>2637</v>
      </c>
      <c r="B694" s="18">
        <v>2251048109</v>
      </c>
      <c r="C694" t="s">
        <v>2638</v>
      </c>
      <c r="D694" t="s">
        <v>2322</v>
      </c>
      <c r="E694" t="s">
        <v>760</v>
      </c>
      <c r="H694" t="s">
        <v>1901</v>
      </c>
      <c r="I694" t="s">
        <v>1897</v>
      </c>
    </row>
    <row r="695" spans="1:9">
      <c r="A695" t="s">
        <v>2639</v>
      </c>
      <c r="B695" s="18">
        <v>2251048124</v>
      </c>
      <c r="C695" t="s">
        <v>2640</v>
      </c>
      <c r="D695" t="s">
        <v>2641</v>
      </c>
      <c r="E695" t="s">
        <v>760</v>
      </c>
      <c r="G695" t="s">
        <v>1895</v>
      </c>
      <c r="H695" t="s">
        <v>1901</v>
      </c>
      <c r="I695" t="s">
        <v>1897</v>
      </c>
    </row>
    <row r="696" spans="1:9">
      <c r="A696" t="s">
        <v>2642</v>
      </c>
      <c r="B696" s="18">
        <v>2251048125</v>
      </c>
      <c r="C696" t="s">
        <v>2643</v>
      </c>
      <c r="D696" t="s">
        <v>2644</v>
      </c>
      <c r="E696" t="s">
        <v>760</v>
      </c>
      <c r="G696" t="s">
        <v>1895</v>
      </c>
      <c r="H696" t="s">
        <v>1901</v>
      </c>
      <c r="I696" t="s">
        <v>1897</v>
      </c>
    </row>
    <row r="697" spans="1:9">
      <c r="A697" t="s">
        <v>2645</v>
      </c>
      <c r="B697" s="18">
        <v>2251048132</v>
      </c>
      <c r="C697" t="s">
        <v>2646</v>
      </c>
      <c r="D697" t="s">
        <v>2647</v>
      </c>
      <c r="E697" t="s">
        <v>765</v>
      </c>
      <c r="G697" t="s">
        <v>1895</v>
      </c>
      <c r="H697" t="s">
        <v>1901</v>
      </c>
      <c r="I697" t="s">
        <v>1897</v>
      </c>
    </row>
    <row r="698" spans="1:9">
      <c r="A698" t="s">
        <v>2648</v>
      </c>
      <c r="B698" s="18">
        <v>2251048136</v>
      </c>
      <c r="C698" t="s">
        <v>2649</v>
      </c>
      <c r="D698" t="s">
        <v>2650</v>
      </c>
      <c r="E698" t="s">
        <v>760</v>
      </c>
      <c r="G698" t="s">
        <v>1895</v>
      </c>
      <c r="H698" t="s">
        <v>1901</v>
      </c>
      <c r="I698" t="s">
        <v>1897</v>
      </c>
    </row>
    <row r="699" spans="1:9">
      <c r="A699" t="s">
        <v>2651</v>
      </c>
      <c r="B699" s="18">
        <v>2251048150</v>
      </c>
      <c r="C699" t="s">
        <v>2652</v>
      </c>
      <c r="D699" t="s">
        <v>2299</v>
      </c>
      <c r="E699" t="s">
        <v>760</v>
      </c>
      <c r="I699" t="s">
        <v>1897</v>
      </c>
    </row>
    <row r="700" spans="1:9">
      <c r="A700" t="s">
        <v>2653</v>
      </c>
      <c r="B700" s="18">
        <v>2251048155</v>
      </c>
      <c r="C700" t="s">
        <v>2654</v>
      </c>
      <c r="D700" t="s">
        <v>2655</v>
      </c>
      <c r="E700" t="s">
        <v>760</v>
      </c>
      <c r="G700" t="s">
        <v>1895</v>
      </c>
      <c r="H700" t="s">
        <v>1901</v>
      </c>
      <c r="I700" t="s">
        <v>1897</v>
      </c>
    </row>
    <row r="701" spans="1:9">
      <c r="A701" t="s">
        <v>2656</v>
      </c>
      <c r="B701" s="18">
        <v>2251048158</v>
      </c>
      <c r="C701" t="s">
        <v>2657</v>
      </c>
      <c r="D701" t="s">
        <v>1917</v>
      </c>
      <c r="E701" t="s">
        <v>760</v>
      </c>
      <c r="G701" t="s">
        <v>1895</v>
      </c>
      <c r="H701" t="s">
        <v>1901</v>
      </c>
      <c r="I701" t="s">
        <v>1897</v>
      </c>
    </row>
    <row r="702" spans="1:9">
      <c r="A702" t="s">
        <v>2658</v>
      </c>
      <c r="B702" s="18">
        <v>2251048163</v>
      </c>
      <c r="C702" t="s">
        <v>2659</v>
      </c>
      <c r="D702" t="s">
        <v>2384</v>
      </c>
      <c r="E702" t="s">
        <v>760</v>
      </c>
      <c r="G702" t="s">
        <v>1895</v>
      </c>
      <c r="H702" t="s">
        <v>2660</v>
      </c>
      <c r="I702" t="s">
        <v>1897</v>
      </c>
    </row>
    <row r="703" spans="1:9">
      <c r="A703" t="s">
        <v>2661</v>
      </c>
      <c r="B703" s="18">
        <v>2251048166</v>
      </c>
      <c r="C703" t="s">
        <v>2662</v>
      </c>
      <c r="D703" t="s">
        <v>2663</v>
      </c>
      <c r="E703" t="s">
        <v>760</v>
      </c>
      <c r="G703" t="s">
        <v>1895</v>
      </c>
      <c r="H703" t="s">
        <v>1901</v>
      </c>
      <c r="I703" t="s">
        <v>1897</v>
      </c>
    </row>
    <row r="704" spans="1:9">
      <c r="A704" t="s">
        <v>2664</v>
      </c>
      <c r="B704" s="18">
        <v>2254038505</v>
      </c>
      <c r="C704" t="s">
        <v>2665</v>
      </c>
      <c r="D704" t="s">
        <v>2666</v>
      </c>
      <c r="E704" t="s">
        <v>765</v>
      </c>
      <c r="G704" t="s">
        <v>1895</v>
      </c>
      <c r="H704" t="s">
        <v>1901</v>
      </c>
      <c r="I704" t="s">
        <v>1897</v>
      </c>
    </row>
    <row r="705" spans="1:9">
      <c r="A705" t="s">
        <v>2667</v>
      </c>
      <c r="B705" s="18">
        <v>2254038506</v>
      </c>
      <c r="C705" t="s">
        <v>2668</v>
      </c>
      <c r="D705" t="s">
        <v>2034</v>
      </c>
      <c r="E705" t="s">
        <v>765</v>
      </c>
      <c r="G705" t="s">
        <v>1895</v>
      </c>
      <c r="H705" t="s">
        <v>1901</v>
      </c>
      <c r="I705" t="s">
        <v>1897</v>
      </c>
    </row>
    <row r="706" spans="1:9">
      <c r="A706" t="s">
        <v>2669</v>
      </c>
      <c r="B706" s="18">
        <v>2254038507</v>
      </c>
      <c r="C706" t="s">
        <v>2670</v>
      </c>
      <c r="D706" t="s">
        <v>2671</v>
      </c>
      <c r="E706" t="s">
        <v>765</v>
      </c>
      <c r="G706" t="s">
        <v>1895</v>
      </c>
      <c r="H706" t="s">
        <v>1901</v>
      </c>
      <c r="I706" t="s">
        <v>1897</v>
      </c>
    </row>
    <row r="707" spans="1:9">
      <c r="A707" t="s">
        <v>2672</v>
      </c>
      <c r="B707" s="18">
        <v>2254038508</v>
      </c>
      <c r="C707" t="s">
        <v>2673</v>
      </c>
      <c r="D707" t="s">
        <v>2149</v>
      </c>
      <c r="E707" t="s">
        <v>765</v>
      </c>
      <c r="G707" t="s">
        <v>1895</v>
      </c>
      <c r="H707" t="s">
        <v>1901</v>
      </c>
      <c r="I707" t="s">
        <v>1897</v>
      </c>
    </row>
    <row r="708" spans="1:9">
      <c r="A708" t="s">
        <v>2674</v>
      </c>
      <c r="B708" s="18">
        <v>2254038509</v>
      </c>
      <c r="C708" t="s">
        <v>2675</v>
      </c>
      <c r="D708" t="s">
        <v>1978</v>
      </c>
      <c r="E708" t="s">
        <v>765</v>
      </c>
      <c r="G708" t="s">
        <v>1895</v>
      </c>
      <c r="H708" t="s">
        <v>1901</v>
      </c>
      <c r="I708" t="s">
        <v>1897</v>
      </c>
    </row>
    <row r="709" spans="1:9">
      <c r="A709" t="s">
        <v>2676</v>
      </c>
      <c r="B709" s="18">
        <v>2254038510</v>
      </c>
      <c r="C709" t="s">
        <v>2677</v>
      </c>
      <c r="D709" t="s">
        <v>2098</v>
      </c>
      <c r="E709" t="s">
        <v>765</v>
      </c>
      <c r="G709" t="s">
        <v>1895</v>
      </c>
      <c r="H709" t="s">
        <v>1901</v>
      </c>
      <c r="I709" t="s">
        <v>1897</v>
      </c>
    </row>
    <row r="710" spans="1:9">
      <c r="A710" t="s">
        <v>2678</v>
      </c>
      <c r="B710" s="18">
        <v>2254038511</v>
      </c>
      <c r="C710" t="s">
        <v>2679</v>
      </c>
      <c r="D710" t="s">
        <v>2098</v>
      </c>
      <c r="E710" t="s">
        <v>765</v>
      </c>
      <c r="G710" t="s">
        <v>1895</v>
      </c>
      <c r="H710" t="s">
        <v>1901</v>
      </c>
      <c r="I710" t="s">
        <v>1897</v>
      </c>
    </row>
    <row r="711" spans="1:9">
      <c r="A711" t="s">
        <v>2680</v>
      </c>
      <c r="B711" s="18">
        <v>2254038512</v>
      </c>
      <c r="C711" t="s">
        <v>2681</v>
      </c>
      <c r="D711" t="s">
        <v>1960</v>
      </c>
      <c r="E711" t="s">
        <v>765</v>
      </c>
      <c r="G711" t="s">
        <v>1895</v>
      </c>
      <c r="H711" t="s">
        <v>1901</v>
      </c>
      <c r="I711" t="s">
        <v>1897</v>
      </c>
    </row>
    <row r="712" spans="1:9">
      <c r="A712" t="s">
        <v>2682</v>
      </c>
      <c r="B712" s="18">
        <v>2254038513</v>
      </c>
      <c r="C712" t="s">
        <v>2683</v>
      </c>
      <c r="D712" t="s">
        <v>2444</v>
      </c>
      <c r="E712" t="s">
        <v>765</v>
      </c>
      <c r="G712" t="s">
        <v>1895</v>
      </c>
      <c r="H712" t="s">
        <v>1908</v>
      </c>
      <c r="I712" t="s">
        <v>1897</v>
      </c>
    </row>
    <row r="713" spans="1:9">
      <c r="A713" t="s">
        <v>2684</v>
      </c>
      <c r="B713" s="18">
        <v>2254038518</v>
      </c>
      <c r="C713" t="s">
        <v>2685</v>
      </c>
      <c r="D713" t="s">
        <v>2686</v>
      </c>
      <c r="E713" t="s">
        <v>765</v>
      </c>
      <c r="G713" t="s">
        <v>1895</v>
      </c>
      <c r="H713" t="s">
        <v>1901</v>
      </c>
      <c r="I713" t="s">
        <v>1897</v>
      </c>
    </row>
    <row r="714" spans="1:9">
      <c r="A714" t="s">
        <v>2687</v>
      </c>
      <c r="B714" s="18">
        <v>2254038519</v>
      </c>
      <c r="C714" t="s">
        <v>2688</v>
      </c>
      <c r="D714" t="s">
        <v>2689</v>
      </c>
      <c r="E714" t="s">
        <v>765</v>
      </c>
      <c r="G714" t="s">
        <v>1895</v>
      </c>
      <c r="H714" t="s">
        <v>1901</v>
      </c>
      <c r="I714" t="s">
        <v>1897</v>
      </c>
    </row>
    <row r="715" spans="1:9">
      <c r="A715" t="s">
        <v>2690</v>
      </c>
      <c r="B715" s="18">
        <v>2254038520</v>
      </c>
      <c r="C715" t="s">
        <v>2691</v>
      </c>
      <c r="D715" t="s">
        <v>2101</v>
      </c>
      <c r="E715" t="s">
        <v>765</v>
      </c>
      <c r="G715" t="s">
        <v>2135</v>
      </c>
      <c r="H715" t="s">
        <v>1901</v>
      </c>
      <c r="I715" t="s">
        <v>1897</v>
      </c>
    </row>
    <row r="716" spans="1:9">
      <c r="A716" t="s">
        <v>2692</v>
      </c>
      <c r="B716" s="18">
        <v>2254038515</v>
      </c>
      <c r="C716" t="s">
        <v>2693</v>
      </c>
      <c r="D716" t="s">
        <v>2694</v>
      </c>
      <c r="E716" t="s">
        <v>765</v>
      </c>
      <c r="G716" t="s">
        <v>1895</v>
      </c>
      <c r="H716" t="s">
        <v>1901</v>
      </c>
      <c r="I716" t="s">
        <v>1897</v>
      </c>
    </row>
    <row r="717" spans="1:9">
      <c r="A717" t="s">
        <v>2695</v>
      </c>
      <c r="B717" s="18">
        <v>2254038517</v>
      </c>
      <c r="C717" t="s">
        <v>2696</v>
      </c>
      <c r="D717" t="s">
        <v>2697</v>
      </c>
      <c r="E717" t="s">
        <v>765</v>
      </c>
      <c r="G717" t="s">
        <v>1895</v>
      </c>
      <c r="H717" t="s">
        <v>1901</v>
      </c>
      <c r="I717" t="s">
        <v>1897</v>
      </c>
    </row>
    <row r="718" spans="1:9">
      <c r="A718" t="s">
        <v>2698</v>
      </c>
      <c r="B718" s="18">
        <v>2254038516</v>
      </c>
      <c r="C718" t="s">
        <v>2699</v>
      </c>
      <c r="D718" t="s">
        <v>2700</v>
      </c>
      <c r="E718" t="s">
        <v>765</v>
      </c>
      <c r="G718" t="s">
        <v>1895</v>
      </c>
      <c r="H718" t="s">
        <v>1901</v>
      </c>
      <c r="I718" t="s">
        <v>1897</v>
      </c>
    </row>
    <row r="719" spans="1:9">
      <c r="A719" t="s">
        <v>2701</v>
      </c>
      <c r="B719" s="18">
        <v>2254038521</v>
      </c>
      <c r="C719" t="s">
        <v>2702</v>
      </c>
      <c r="D719" t="s">
        <v>2703</v>
      </c>
      <c r="E719" t="s">
        <v>765</v>
      </c>
      <c r="G719" t="s">
        <v>1895</v>
      </c>
      <c r="H719" t="s">
        <v>1896</v>
      </c>
      <c r="I719" t="s">
        <v>1897</v>
      </c>
    </row>
    <row r="720" spans="1:9">
      <c r="A720" t="s">
        <v>2704</v>
      </c>
      <c r="B720" s="18">
        <v>2254038523</v>
      </c>
      <c r="C720" t="s">
        <v>2705</v>
      </c>
      <c r="D720" t="s">
        <v>2706</v>
      </c>
      <c r="E720" t="s">
        <v>765</v>
      </c>
      <c r="G720" t="s">
        <v>1895</v>
      </c>
      <c r="H720" t="s">
        <v>1901</v>
      </c>
      <c r="I720" t="s">
        <v>1897</v>
      </c>
    </row>
    <row r="721" spans="1:9">
      <c r="A721" t="s">
        <v>2707</v>
      </c>
      <c r="B721" s="18">
        <v>2254038524</v>
      </c>
      <c r="C721" t="s">
        <v>2708</v>
      </c>
      <c r="D721" t="s">
        <v>1954</v>
      </c>
      <c r="E721" t="s">
        <v>765</v>
      </c>
      <c r="G721" t="s">
        <v>2316</v>
      </c>
      <c r="H721" t="s">
        <v>1908</v>
      </c>
      <c r="I721" t="s">
        <v>1897</v>
      </c>
    </row>
    <row r="722" spans="1:9">
      <c r="A722" t="s">
        <v>2709</v>
      </c>
      <c r="B722" s="18">
        <v>2254038525</v>
      </c>
      <c r="C722" t="s">
        <v>2710</v>
      </c>
      <c r="D722" t="s">
        <v>793</v>
      </c>
      <c r="E722" t="s">
        <v>765</v>
      </c>
      <c r="H722" t="s">
        <v>1901</v>
      </c>
      <c r="I722" t="s">
        <v>1897</v>
      </c>
    </row>
    <row r="723" spans="1:9">
      <c r="A723" t="s">
        <v>2711</v>
      </c>
      <c r="B723" s="18">
        <v>2254038526</v>
      </c>
      <c r="C723" t="s">
        <v>2712</v>
      </c>
      <c r="D723" t="s">
        <v>2400</v>
      </c>
      <c r="E723" t="s">
        <v>765</v>
      </c>
      <c r="G723" t="s">
        <v>1895</v>
      </c>
      <c r="H723" t="s">
        <v>1901</v>
      </c>
      <c r="I723" t="s">
        <v>1897</v>
      </c>
    </row>
    <row r="724" spans="1:9">
      <c r="A724" t="s">
        <v>2713</v>
      </c>
      <c r="B724" s="18">
        <v>2254038527</v>
      </c>
      <c r="C724" t="s">
        <v>2714</v>
      </c>
      <c r="D724" t="s">
        <v>2715</v>
      </c>
      <c r="E724" t="s">
        <v>765</v>
      </c>
      <c r="G724" t="s">
        <v>1895</v>
      </c>
      <c r="H724" t="s">
        <v>1901</v>
      </c>
      <c r="I724" t="s">
        <v>1897</v>
      </c>
    </row>
    <row r="725" spans="1:9">
      <c r="A725" t="s">
        <v>2716</v>
      </c>
      <c r="B725" s="18">
        <v>2254038528</v>
      </c>
      <c r="C725" t="s">
        <v>2717</v>
      </c>
      <c r="D725" t="s">
        <v>2718</v>
      </c>
      <c r="E725" t="s">
        <v>760</v>
      </c>
      <c r="H725" t="s">
        <v>1901</v>
      </c>
      <c r="I725" t="s">
        <v>1897</v>
      </c>
    </row>
    <row r="726" spans="1:9">
      <c r="A726" t="s">
        <v>2719</v>
      </c>
      <c r="B726" s="18">
        <v>2254038529</v>
      </c>
      <c r="C726" t="s">
        <v>2720</v>
      </c>
      <c r="D726" t="s">
        <v>2721</v>
      </c>
      <c r="E726" t="s">
        <v>760</v>
      </c>
      <c r="I726" t="s">
        <v>1897</v>
      </c>
    </row>
    <row r="727" spans="1:9">
      <c r="A727" t="s">
        <v>2722</v>
      </c>
      <c r="B727" s="18">
        <v>2254038530</v>
      </c>
      <c r="C727" t="s">
        <v>2723</v>
      </c>
      <c r="D727" t="s">
        <v>2375</v>
      </c>
      <c r="E727" t="s">
        <v>765</v>
      </c>
      <c r="G727" t="s">
        <v>1895</v>
      </c>
      <c r="H727" t="s">
        <v>1901</v>
      </c>
      <c r="I727" t="s">
        <v>1897</v>
      </c>
    </row>
    <row r="728" spans="1:9">
      <c r="A728" t="s">
        <v>2724</v>
      </c>
      <c r="B728" s="18">
        <v>2254038531</v>
      </c>
      <c r="C728" t="s">
        <v>2725</v>
      </c>
      <c r="D728" t="s">
        <v>2726</v>
      </c>
      <c r="E728" t="s">
        <v>760</v>
      </c>
      <c r="G728" t="s">
        <v>1895</v>
      </c>
      <c r="H728" t="s">
        <v>1908</v>
      </c>
      <c r="I728" t="s">
        <v>1897</v>
      </c>
    </row>
    <row r="729" spans="1:9">
      <c r="A729" t="s">
        <v>2727</v>
      </c>
      <c r="B729" s="18">
        <v>2254038532</v>
      </c>
      <c r="C729" t="s">
        <v>2728</v>
      </c>
      <c r="D729" t="s">
        <v>2729</v>
      </c>
      <c r="E729" t="s">
        <v>765</v>
      </c>
      <c r="G729" t="s">
        <v>1895</v>
      </c>
      <c r="H729" t="s">
        <v>1901</v>
      </c>
      <c r="I729" t="s">
        <v>1897</v>
      </c>
    </row>
    <row r="730" spans="1:9">
      <c r="A730" t="s">
        <v>2730</v>
      </c>
      <c r="B730" s="18">
        <v>2254038533</v>
      </c>
      <c r="C730" t="s">
        <v>2731</v>
      </c>
      <c r="D730" t="s">
        <v>2174</v>
      </c>
      <c r="E730" t="s">
        <v>765</v>
      </c>
      <c r="G730" t="s">
        <v>1895</v>
      </c>
      <c r="H730" t="s">
        <v>1901</v>
      </c>
      <c r="I730" t="s">
        <v>1897</v>
      </c>
    </row>
    <row r="731" spans="1:9">
      <c r="A731" t="s">
        <v>2732</v>
      </c>
      <c r="B731" s="18">
        <v>2254038534</v>
      </c>
      <c r="C731" t="s">
        <v>2733</v>
      </c>
      <c r="D731" t="s">
        <v>2087</v>
      </c>
      <c r="E731" t="s">
        <v>765</v>
      </c>
      <c r="G731" t="s">
        <v>1895</v>
      </c>
      <c r="H731" t="s">
        <v>1901</v>
      </c>
      <c r="I731" t="s">
        <v>1897</v>
      </c>
    </row>
    <row r="732" spans="1:9">
      <c r="A732" t="s">
        <v>2734</v>
      </c>
      <c r="B732" s="18">
        <v>2254038535</v>
      </c>
      <c r="C732" t="s">
        <v>2735</v>
      </c>
      <c r="D732" t="s">
        <v>2736</v>
      </c>
      <c r="E732" t="s">
        <v>765</v>
      </c>
      <c r="G732" t="s">
        <v>1895</v>
      </c>
      <c r="H732" t="s">
        <v>1901</v>
      </c>
      <c r="I732" t="s">
        <v>1897</v>
      </c>
    </row>
    <row r="733" spans="1:9">
      <c r="A733" t="s">
        <v>2737</v>
      </c>
      <c r="B733" s="18">
        <v>2254038536</v>
      </c>
      <c r="C733" t="s">
        <v>2738</v>
      </c>
      <c r="D733" t="s">
        <v>2158</v>
      </c>
      <c r="E733" t="s">
        <v>765</v>
      </c>
      <c r="G733" t="s">
        <v>1895</v>
      </c>
      <c r="H733" t="s">
        <v>1901</v>
      </c>
      <c r="I733" t="s">
        <v>1897</v>
      </c>
    </row>
    <row r="734" spans="1:9">
      <c r="A734" t="s">
        <v>2739</v>
      </c>
      <c r="B734" s="18">
        <v>2254038537</v>
      </c>
      <c r="C734" t="s">
        <v>2740</v>
      </c>
      <c r="D734" t="s">
        <v>2741</v>
      </c>
      <c r="E734" t="s">
        <v>765</v>
      </c>
      <c r="G734" t="s">
        <v>1895</v>
      </c>
      <c r="H734" t="s">
        <v>1901</v>
      </c>
      <c r="I734" t="s">
        <v>1897</v>
      </c>
    </row>
    <row r="735" spans="1:9">
      <c r="A735" t="s">
        <v>2742</v>
      </c>
      <c r="B735" s="18">
        <v>2254038538</v>
      </c>
      <c r="C735" t="s">
        <v>2743</v>
      </c>
      <c r="D735" t="s">
        <v>2744</v>
      </c>
      <c r="E735" t="s">
        <v>765</v>
      </c>
      <c r="G735" t="s">
        <v>1895</v>
      </c>
      <c r="H735" t="s">
        <v>1901</v>
      </c>
      <c r="I735" t="s">
        <v>1897</v>
      </c>
    </row>
    <row r="736" spans="1:9">
      <c r="A736" t="s">
        <v>2745</v>
      </c>
      <c r="B736" s="18">
        <v>2254038539</v>
      </c>
      <c r="C736" t="s">
        <v>2746</v>
      </c>
      <c r="D736" t="s">
        <v>2747</v>
      </c>
      <c r="E736" t="s">
        <v>765</v>
      </c>
      <c r="G736" t="s">
        <v>1895</v>
      </c>
      <c r="H736" t="s">
        <v>1896</v>
      </c>
      <c r="I736" t="s">
        <v>1897</v>
      </c>
    </row>
    <row r="737" spans="1:9">
      <c r="A737" t="s">
        <v>2748</v>
      </c>
      <c r="B737" s="18">
        <v>2254038540</v>
      </c>
      <c r="C737" t="s">
        <v>2749</v>
      </c>
      <c r="D737" t="s">
        <v>2059</v>
      </c>
      <c r="E737" t="s">
        <v>765</v>
      </c>
      <c r="G737" t="s">
        <v>1895</v>
      </c>
      <c r="H737" t="s">
        <v>1901</v>
      </c>
      <c r="I737" t="s">
        <v>1897</v>
      </c>
    </row>
    <row r="738" spans="1:9">
      <c r="A738" t="s">
        <v>2750</v>
      </c>
      <c r="B738" s="18">
        <v>2254038541</v>
      </c>
      <c r="C738" t="s">
        <v>2751</v>
      </c>
      <c r="D738" t="s">
        <v>1987</v>
      </c>
      <c r="E738" t="s">
        <v>765</v>
      </c>
      <c r="G738" t="s">
        <v>1895</v>
      </c>
      <c r="H738" t="s">
        <v>1901</v>
      </c>
      <c r="I738" t="s">
        <v>1897</v>
      </c>
    </row>
    <row r="739" spans="1:9">
      <c r="A739" t="s">
        <v>2752</v>
      </c>
      <c r="B739" s="18">
        <v>2254038542</v>
      </c>
      <c r="C739" t="s">
        <v>2753</v>
      </c>
      <c r="D739" t="s">
        <v>2555</v>
      </c>
      <c r="E739" t="s">
        <v>765</v>
      </c>
      <c r="G739" t="s">
        <v>1895</v>
      </c>
      <c r="H739" t="s">
        <v>1908</v>
      </c>
      <c r="I739" t="s">
        <v>1897</v>
      </c>
    </row>
    <row r="740" spans="1:9">
      <c r="A740" t="s">
        <v>2754</v>
      </c>
      <c r="B740" s="18">
        <v>2254038543</v>
      </c>
      <c r="C740" t="s">
        <v>2755</v>
      </c>
      <c r="D740" t="s">
        <v>2756</v>
      </c>
      <c r="E740" t="s">
        <v>765</v>
      </c>
      <c r="G740" t="s">
        <v>1895</v>
      </c>
      <c r="H740" t="s">
        <v>1908</v>
      </c>
      <c r="I740" t="s">
        <v>1897</v>
      </c>
    </row>
    <row r="741" spans="1:9">
      <c r="A741" t="s">
        <v>2757</v>
      </c>
      <c r="B741" s="18">
        <v>2254038544</v>
      </c>
      <c r="C741" t="s">
        <v>2758</v>
      </c>
      <c r="D741" t="s">
        <v>2759</v>
      </c>
      <c r="E741" t="s">
        <v>765</v>
      </c>
      <c r="H741" t="s">
        <v>1901</v>
      </c>
      <c r="I741" t="s">
        <v>1897</v>
      </c>
    </row>
    <row r="742" spans="1:9">
      <c r="A742" t="s">
        <v>2760</v>
      </c>
      <c r="B742" s="18">
        <v>2254038545</v>
      </c>
      <c r="C742" t="s">
        <v>2761</v>
      </c>
      <c r="D742" t="s">
        <v>2122</v>
      </c>
      <c r="E742" t="s">
        <v>760</v>
      </c>
      <c r="G742" t="s">
        <v>1895</v>
      </c>
      <c r="H742" t="s">
        <v>1908</v>
      </c>
      <c r="I742" t="s">
        <v>1897</v>
      </c>
    </row>
    <row r="743" spans="1:9">
      <c r="A743" t="s">
        <v>2762</v>
      </c>
      <c r="B743" s="18">
        <v>2254038546</v>
      </c>
      <c r="C743" t="s">
        <v>2763</v>
      </c>
      <c r="D743" t="s">
        <v>2764</v>
      </c>
      <c r="E743" t="s">
        <v>765</v>
      </c>
      <c r="G743" t="s">
        <v>1895</v>
      </c>
      <c r="H743" t="s">
        <v>1901</v>
      </c>
      <c r="I743" t="s">
        <v>1897</v>
      </c>
    </row>
    <row r="744" spans="1:9">
      <c r="A744" t="s">
        <v>2765</v>
      </c>
      <c r="B744" s="18">
        <v>2254038549</v>
      </c>
      <c r="C744" t="s">
        <v>2766</v>
      </c>
      <c r="D744" t="s">
        <v>2767</v>
      </c>
      <c r="E744" t="s">
        <v>765</v>
      </c>
      <c r="G744" t="s">
        <v>1895</v>
      </c>
      <c r="H744" t="s">
        <v>1908</v>
      </c>
      <c r="I744" t="s">
        <v>1897</v>
      </c>
    </row>
    <row r="745" spans="1:9">
      <c r="A745" t="s">
        <v>2768</v>
      </c>
      <c r="B745" s="18">
        <v>2254038548</v>
      </c>
      <c r="C745" t="s">
        <v>2769</v>
      </c>
      <c r="D745" t="s">
        <v>2770</v>
      </c>
      <c r="E745" t="s">
        <v>765</v>
      </c>
      <c r="I745" t="s">
        <v>1897</v>
      </c>
    </row>
    <row r="746" spans="1:9">
      <c r="A746" t="s">
        <v>2771</v>
      </c>
      <c r="B746" s="18">
        <v>2254038550</v>
      </c>
      <c r="C746" t="s">
        <v>2772</v>
      </c>
      <c r="D746" t="s">
        <v>2686</v>
      </c>
      <c r="E746" t="s">
        <v>765</v>
      </c>
      <c r="G746" t="s">
        <v>1895</v>
      </c>
      <c r="H746" t="s">
        <v>1901</v>
      </c>
      <c r="I746" t="s">
        <v>1897</v>
      </c>
    </row>
    <row r="747" spans="1:9">
      <c r="A747" t="s">
        <v>2773</v>
      </c>
      <c r="B747" s="18">
        <v>2254038551</v>
      </c>
      <c r="C747" t="s">
        <v>2774</v>
      </c>
      <c r="D747" t="s">
        <v>1917</v>
      </c>
      <c r="E747" t="s">
        <v>765</v>
      </c>
      <c r="G747" t="s">
        <v>1895</v>
      </c>
      <c r="H747" t="s">
        <v>1901</v>
      </c>
      <c r="I747" t="s">
        <v>1897</v>
      </c>
    </row>
    <row r="748" spans="1:9">
      <c r="A748" t="s">
        <v>2775</v>
      </c>
      <c r="B748" s="18">
        <v>2254038552</v>
      </c>
      <c r="C748" t="s">
        <v>2776</v>
      </c>
      <c r="D748" t="s">
        <v>2777</v>
      </c>
      <c r="E748" t="s">
        <v>765</v>
      </c>
      <c r="G748" t="s">
        <v>1895</v>
      </c>
      <c r="H748" t="s">
        <v>1901</v>
      </c>
      <c r="I748" t="s">
        <v>1897</v>
      </c>
    </row>
    <row r="749" spans="1:9">
      <c r="A749" t="s">
        <v>2778</v>
      </c>
      <c r="B749" s="18">
        <v>2254038553</v>
      </c>
      <c r="C749" t="s">
        <v>2779</v>
      </c>
      <c r="D749" t="s">
        <v>2299</v>
      </c>
      <c r="E749" t="s">
        <v>765</v>
      </c>
      <c r="G749" t="s">
        <v>1895</v>
      </c>
      <c r="H749" t="s">
        <v>1901</v>
      </c>
      <c r="I749" t="s">
        <v>1897</v>
      </c>
    </row>
    <row r="750" spans="1:9">
      <c r="A750" t="s">
        <v>2780</v>
      </c>
      <c r="B750" s="18">
        <v>2254038555</v>
      </c>
      <c r="C750" t="s">
        <v>1490</v>
      </c>
      <c r="D750" t="s">
        <v>2189</v>
      </c>
      <c r="E750" t="s">
        <v>760</v>
      </c>
      <c r="G750" t="s">
        <v>1895</v>
      </c>
      <c r="H750" t="s">
        <v>1901</v>
      </c>
      <c r="I750" t="s">
        <v>1897</v>
      </c>
    </row>
    <row r="751" spans="1:9">
      <c r="A751" t="s">
        <v>2781</v>
      </c>
      <c r="B751" s="18">
        <v>2254038560</v>
      </c>
      <c r="C751" t="s">
        <v>2782</v>
      </c>
      <c r="D751" t="s">
        <v>2783</v>
      </c>
      <c r="E751" t="s">
        <v>765</v>
      </c>
      <c r="I751" t="s">
        <v>1897</v>
      </c>
    </row>
    <row r="752" spans="1:9">
      <c r="A752" t="s">
        <v>2784</v>
      </c>
      <c r="B752" s="18">
        <v>2254038561</v>
      </c>
      <c r="C752" t="s">
        <v>2785</v>
      </c>
      <c r="D752" t="s">
        <v>2786</v>
      </c>
      <c r="E752" t="s">
        <v>765</v>
      </c>
      <c r="G752" t="s">
        <v>1895</v>
      </c>
      <c r="H752" t="s">
        <v>1901</v>
      </c>
      <c r="I752" t="s">
        <v>1897</v>
      </c>
    </row>
    <row r="753" spans="1:9">
      <c r="A753" t="s">
        <v>2787</v>
      </c>
      <c r="B753" s="18">
        <v>2254038556</v>
      </c>
      <c r="C753" t="s">
        <v>2788</v>
      </c>
      <c r="D753" t="s">
        <v>1995</v>
      </c>
      <c r="E753" t="s">
        <v>765</v>
      </c>
      <c r="G753" t="s">
        <v>1895</v>
      </c>
      <c r="H753" t="s">
        <v>1896</v>
      </c>
      <c r="I753" t="s">
        <v>1897</v>
      </c>
    </row>
    <row r="754" spans="1:9">
      <c r="A754" t="s">
        <v>2789</v>
      </c>
      <c r="B754" s="18">
        <v>2254038559</v>
      </c>
      <c r="C754" t="s">
        <v>2790</v>
      </c>
      <c r="D754" t="s">
        <v>2791</v>
      </c>
      <c r="E754" t="s">
        <v>765</v>
      </c>
      <c r="G754" t="s">
        <v>1895</v>
      </c>
      <c r="H754" t="s">
        <v>1896</v>
      </c>
      <c r="I754" t="s">
        <v>1897</v>
      </c>
    </row>
    <row r="755" spans="1:9">
      <c r="A755" t="s">
        <v>2792</v>
      </c>
      <c r="B755" s="18">
        <v>2254038562</v>
      </c>
      <c r="C755" t="s">
        <v>2793</v>
      </c>
      <c r="D755" t="s">
        <v>2794</v>
      </c>
      <c r="E755" t="s">
        <v>765</v>
      </c>
      <c r="G755" t="s">
        <v>1895</v>
      </c>
      <c r="H755" t="s">
        <v>1901</v>
      </c>
      <c r="I755" t="s">
        <v>1897</v>
      </c>
    </row>
    <row r="756" spans="1:9">
      <c r="A756" t="s">
        <v>2795</v>
      </c>
      <c r="B756" s="18">
        <v>2254038567</v>
      </c>
      <c r="C756" t="s">
        <v>1685</v>
      </c>
      <c r="D756" t="s">
        <v>2598</v>
      </c>
      <c r="E756" t="s">
        <v>765</v>
      </c>
      <c r="G756" t="s">
        <v>1895</v>
      </c>
      <c r="H756" t="s">
        <v>1896</v>
      </c>
      <c r="I756" t="s">
        <v>1897</v>
      </c>
    </row>
    <row r="757" spans="1:9">
      <c r="A757" t="s">
        <v>2796</v>
      </c>
      <c r="B757" s="18">
        <v>2254038563</v>
      </c>
      <c r="C757" t="s">
        <v>2797</v>
      </c>
      <c r="D757" t="s">
        <v>2004</v>
      </c>
      <c r="E757" t="s">
        <v>760</v>
      </c>
      <c r="G757" t="s">
        <v>1895</v>
      </c>
      <c r="H757" t="s">
        <v>1901</v>
      </c>
      <c r="I757" t="s">
        <v>1897</v>
      </c>
    </row>
    <row r="758" spans="1:9">
      <c r="A758" t="s">
        <v>2798</v>
      </c>
      <c r="B758" s="18">
        <v>2254038564</v>
      </c>
      <c r="C758" t="s">
        <v>2799</v>
      </c>
      <c r="D758" t="s">
        <v>2045</v>
      </c>
      <c r="E758" t="s">
        <v>765</v>
      </c>
      <c r="G758" t="s">
        <v>1895</v>
      </c>
      <c r="H758" t="s">
        <v>1896</v>
      </c>
      <c r="I758" t="s">
        <v>1897</v>
      </c>
    </row>
    <row r="759" spans="1:9">
      <c r="A759" t="s">
        <v>2800</v>
      </c>
      <c r="B759" s="18">
        <v>2254038565</v>
      </c>
      <c r="C759" t="s">
        <v>2801</v>
      </c>
      <c r="D759" t="s">
        <v>2031</v>
      </c>
      <c r="E759" t="s">
        <v>765</v>
      </c>
      <c r="G759" t="s">
        <v>1895</v>
      </c>
      <c r="H759" t="s">
        <v>1896</v>
      </c>
      <c r="I759" t="s">
        <v>1897</v>
      </c>
    </row>
    <row r="760" spans="1:9">
      <c r="A760" t="s">
        <v>2802</v>
      </c>
      <c r="B760" s="18">
        <v>2254038568</v>
      </c>
      <c r="C760" t="s">
        <v>2803</v>
      </c>
      <c r="D760" t="s">
        <v>2313</v>
      </c>
      <c r="E760" t="s">
        <v>765</v>
      </c>
      <c r="G760" t="s">
        <v>2135</v>
      </c>
      <c r="H760" t="s">
        <v>1901</v>
      </c>
      <c r="I760" t="s">
        <v>1897</v>
      </c>
    </row>
    <row r="761" spans="1:9">
      <c r="A761" t="s">
        <v>2804</v>
      </c>
      <c r="B761" s="18">
        <v>2254038569</v>
      </c>
      <c r="C761" t="s">
        <v>2805</v>
      </c>
      <c r="D761" t="s">
        <v>2806</v>
      </c>
      <c r="E761" t="s">
        <v>765</v>
      </c>
      <c r="G761" t="s">
        <v>1895</v>
      </c>
      <c r="H761" t="s">
        <v>1901</v>
      </c>
      <c r="I761" t="s">
        <v>1897</v>
      </c>
    </row>
    <row r="762" spans="1:9">
      <c r="A762" t="s">
        <v>2807</v>
      </c>
      <c r="B762" s="18">
        <v>2254038570</v>
      </c>
      <c r="C762" t="s">
        <v>2808</v>
      </c>
      <c r="D762" t="s">
        <v>2809</v>
      </c>
      <c r="E762" t="s">
        <v>765</v>
      </c>
      <c r="G762" t="s">
        <v>1895</v>
      </c>
      <c r="H762" t="s">
        <v>1901</v>
      </c>
      <c r="I762" t="s">
        <v>1897</v>
      </c>
    </row>
    <row r="763" spans="1:9">
      <c r="A763" t="s">
        <v>2810</v>
      </c>
      <c r="B763" s="18">
        <v>2254038571</v>
      </c>
      <c r="C763" t="s">
        <v>2811</v>
      </c>
      <c r="D763" t="s">
        <v>2192</v>
      </c>
      <c r="E763" t="s">
        <v>760</v>
      </c>
      <c r="G763" t="s">
        <v>1895</v>
      </c>
      <c r="H763" t="s">
        <v>1901</v>
      </c>
      <c r="I763" t="s">
        <v>1897</v>
      </c>
    </row>
    <row r="764" spans="1:9">
      <c r="A764" t="s">
        <v>2812</v>
      </c>
      <c r="B764" s="18">
        <v>2254038572</v>
      </c>
      <c r="C764" t="s">
        <v>2813</v>
      </c>
      <c r="D764" t="s">
        <v>1914</v>
      </c>
      <c r="E764" t="s">
        <v>760</v>
      </c>
      <c r="G764" t="s">
        <v>2135</v>
      </c>
      <c r="H764" t="s">
        <v>1908</v>
      </c>
      <c r="I764" t="s">
        <v>1897</v>
      </c>
    </row>
    <row r="765" spans="1:9">
      <c r="A765" t="s">
        <v>2814</v>
      </c>
      <c r="B765" s="18">
        <v>2254038573</v>
      </c>
      <c r="C765" t="s">
        <v>2815</v>
      </c>
      <c r="D765" t="s">
        <v>2816</v>
      </c>
      <c r="E765" t="s">
        <v>765</v>
      </c>
      <c r="G765" t="s">
        <v>1895</v>
      </c>
      <c r="H765" t="s">
        <v>1901</v>
      </c>
      <c r="I765" t="s">
        <v>1897</v>
      </c>
    </row>
    <row r="766" spans="1:9">
      <c r="A766" t="s">
        <v>2817</v>
      </c>
      <c r="B766" s="18">
        <v>2254038575</v>
      </c>
      <c r="C766" t="s">
        <v>2818</v>
      </c>
      <c r="D766" t="s">
        <v>2248</v>
      </c>
      <c r="E766" t="s">
        <v>765</v>
      </c>
      <c r="G766" t="s">
        <v>1895</v>
      </c>
      <c r="H766" t="s">
        <v>1901</v>
      </c>
      <c r="I766" t="s">
        <v>1897</v>
      </c>
    </row>
    <row r="767" spans="1:9">
      <c r="A767" t="s">
        <v>2819</v>
      </c>
      <c r="B767" s="18">
        <v>2254038576</v>
      </c>
      <c r="C767" t="s">
        <v>2820</v>
      </c>
      <c r="D767" t="s">
        <v>2821</v>
      </c>
      <c r="E767" t="s">
        <v>765</v>
      </c>
      <c r="G767" t="s">
        <v>1895</v>
      </c>
      <c r="H767" t="s">
        <v>1901</v>
      </c>
      <c r="I767" t="s">
        <v>1897</v>
      </c>
    </row>
    <row r="768" spans="1:9">
      <c r="A768" t="s">
        <v>2822</v>
      </c>
      <c r="B768" s="18">
        <v>2254038577</v>
      </c>
      <c r="C768" t="s">
        <v>2823</v>
      </c>
      <c r="D768" t="s">
        <v>2824</v>
      </c>
      <c r="E768" t="s">
        <v>765</v>
      </c>
      <c r="G768" t="s">
        <v>1895</v>
      </c>
      <c r="H768" t="s">
        <v>1901</v>
      </c>
      <c r="I768" t="s">
        <v>1897</v>
      </c>
    </row>
    <row r="769" spans="1:9">
      <c r="A769" t="s">
        <v>2825</v>
      </c>
      <c r="B769" s="18">
        <v>2254038578</v>
      </c>
      <c r="C769" t="s">
        <v>2826</v>
      </c>
      <c r="D769" t="s">
        <v>2476</v>
      </c>
      <c r="E769" t="s">
        <v>765</v>
      </c>
      <c r="G769" t="s">
        <v>1895</v>
      </c>
      <c r="H769" t="s">
        <v>1908</v>
      </c>
      <c r="I769" t="s">
        <v>1897</v>
      </c>
    </row>
    <row r="770" spans="1:9">
      <c r="A770" t="s">
        <v>2827</v>
      </c>
      <c r="B770" s="18">
        <v>2254038580</v>
      </c>
      <c r="C770" t="s">
        <v>2828</v>
      </c>
      <c r="D770" t="s">
        <v>2829</v>
      </c>
      <c r="E770" t="s">
        <v>765</v>
      </c>
      <c r="G770" t="s">
        <v>1895</v>
      </c>
      <c r="H770" t="s">
        <v>1908</v>
      </c>
      <c r="I770" t="s">
        <v>1897</v>
      </c>
    </row>
    <row r="771" spans="1:9">
      <c r="A771" t="s">
        <v>2830</v>
      </c>
      <c r="B771" s="18">
        <v>2254078660</v>
      </c>
      <c r="C771" t="s">
        <v>2831</v>
      </c>
      <c r="D771" t="s">
        <v>2832</v>
      </c>
      <c r="E771" t="s">
        <v>765</v>
      </c>
      <c r="G771" t="s">
        <v>1895</v>
      </c>
      <c r="H771" t="s">
        <v>1896</v>
      </c>
      <c r="I771" t="s">
        <v>1897</v>
      </c>
    </row>
    <row r="772" spans="1:9">
      <c r="A772" t="s">
        <v>2833</v>
      </c>
      <c r="B772" s="18">
        <v>2254078662</v>
      </c>
      <c r="C772" t="s">
        <v>2834</v>
      </c>
      <c r="D772" t="s">
        <v>2835</v>
      </c>
      <c r="E772" t="s">
        <v>765</v>
      </c>
      <c r="G772" t="s">
        <v>1895</v>
      </c>
      <c r="H772" t="s">
        <v>1901</v>
      </c>
      <c r="I772" t="s">
        <v>1897</v>
      </c>
    </row>
    <row r="773" spans="1:9">
      <c r="A773" t="s">
        <v>2836</v>
      </c>
      <c r="B773" s="18">
        <v>2254078664</v>
      </c>
      <c r="C773" t="s">
        <v>2837</v>
      </c>
      <c r="D773" t="s">
        <v>2838</v>
      </c>
      <c r="E773" t="s">
        <v>765</v>
      </c>
      <c r="G773" t="s">
        <v>1895</v>
      </c>
      <c r="H773" t="s">
        <v>1908</v>
      </c>
      <c r="I773" t="s">
        <v>1897</v>
      </c>
    </row>
    <row r="774" spans="1:9">
      <c r="A774" t="s">
        <v>2839</v>
      </c>
      <c r="B774" s="18">
        <v>2254078666</v>
      </c>
      <c r="C774" t="s">
        <v>2840</v>
      </c>
      <c r="D774" t="s">
        <v>2841</v>
      </c>
      <c r="E774" t="s">
        <v>765</v>
      </c>
      <c r="G774" t="s">
        <v>1895</v>
      </c>
      <c r="H774" t="s">
        <v>1901</v>
      </c>
      <c r="I774" t="s">
        <v>1897</v>
      </c>
    </row>
    <row r="775" spans="1:9">
      <c r="A775" t="s">
        <v>2842</v>
      </c>
      <c r="B775" s="18">
        <v>2254078668</v>
      </c>
      <c r="C775" t="s">
        <v>2843</v>
      </c>
      <c r="D775" t="s">
        <v>2393</v>
      </c>
      <c r="E775" t="s">
        <v>760</v>
      </c>
      <c r="G775" t="s">
        <v>1895</v>
      </c>
      <c r="H775" t="s">
        <v>1901</v>
      </c>
      <c r="I775" t="s">
        <v>1897</v>
      </c>
    </row>
    <row r="776" spans="1:9">
      <c r="A776" t="s">
        <v>2844</v>
      </c>
      <c r="B776" s="18">
        <v>2254078670</v>
      </c>
      <c r="C776" t="s">
        <v>2845</v>
      </c>
      <c r="D776" t="s">
        <v>2028</v>
      </c>
      <c r="E776" t="s">
        <v>760</v>
      </c>
      <c r="G776" t="s">
        <v>1895</v>
      </c>
      <c r="H776" t="s">
        <v>1901</v>
      </c>
      <c r="I776" t="s">
        <v>1897</v>
      </c>
    </row>
    <row r="777" spans="1:9">
      <c r="A777" t="s">
        <v>2846</v>
      </c>
      <c r="B777" s="18">
        <v>2254078672</v>
      </c>
      <c r="C777" t="s">
        <v>2847</v>
      </c>
      <c r="D777" t="s">
        <v>2408</v>
      </c>
      <c r="E777" t="s">
        <v>765</v>
      </c>
      <c r="G777" t="s">
        <v>1895</v>
      </c>
      <c r="H777" t="s">
        <v>1901</v>
      </c>
      <c r="I777" t="s">
        <v>1897</v>
      </c>
    </row>
    <row r="778" spans="1:9">
      <c r="A778" t="s">
        <v>2848</v>
      </c>
      <c r="B778" s="18">
        <v>2254078674</v>
      </c>
      <c r="C778" t="s">
        <v>2849</v>
      </c>
      <c r="D778" t="s">
        <v>2465</v>
      </c>
      <c r="E778" t="s">
        <v>765</v>
      </c>
      <c r="I778" t="s">
        <v>1897</v>
      </c>
    </row>
    <row r="779" spans="1:9">
      <c r="A779" t="s">
        <v>2850</v>
      </c>
      <c r="B779" s="18">
        <v>2254078676</v>
      </c>
      <c r="C779" t="s">
        <v>2851</v>
      </c>
      <c r="D779" t="s">
        <v>2852</v>
      </c>
      <c r="E779" t="s">
        <v>760</v>
      </c>
      <c r="H779" t="s">
        <v>1896</v>
      </c>
      <c r="I779" t="s">
        <v>1897</v>
      </c>
    </row>
    <row r="780" spans="1:9">
      <c r="A780" t="s">
        <v>2853</v>
      </c>
      <c r="B780" s="18">
        <v>2254078684</v>
      </c>
      <c r="C780" t="s">
        <v>2854</v>
      </c>
      <c r="D780" t="s">
        <v>2855</v>
      </c>
      <c r="E780" t="s">
        <v>760</v>
      </c>
      <c r="G780" t="s">
        <v>1895</v>
      </c>
      <c r="H780" t="s">
        <v>1901</v>
      </c>
      <c r="I780" t="s">
        <v>1897</v>
      </c>
    </row>
    <row r="781" spans="1:9">
      <c r="A781" t="s">
        <v>2856</v>
      </c>
      <c r="B781" s="18">
        <v>2254078686</v>
      </c>
      <c r="C781" t="s">
        <v>2857</v>
      </c>
      <c r="D781" t="s">
        <v>2512</v>
      </c>
      <c r="E781" t="s">
        <v>765</v>
      </c>
      <c r="G781" t="s">
        <v>1895</v>
      </c>
      <c r="H781" t="s">
        <v>1896</v>
      </c>
      <c r="I781" t="s">
        <v>1897</v>
      </c>
    </row>
    <row r="782" spans="1:9">
      <c r="A782" t="s">
        <v>2858</v>
      </c>
      <c r="B782" s="18">
        <v>2254078688</v>
      </c>
      <c r="C782" t="s">
        <v>2859</v>
      </c>
      <c r="D782" t="s">
        <v>2860</v>
      </c>
      <c r="E782" t="s">
        <v>765</v>
      </c>
      <c r="G782" t="s">
        <v>1895</v>
      </c>
      <c r="H782" t="s">
        <v>1901</v>
      </c>
      <c r="I782" t="s">
        <v>1897</v>
      </c>
    </row>
    <row r="783" spans="1:9">
      <c r="A783" t="s">
        <v>2861</v>
      </c>
      <c r="B783" s="18">
        <v>2254078690</v>
      </c>
      <c r="C783" t="s">
        <v>2862</v>
      </c>
      <c r="D783" t="s">
        <v>2518</v>
      </c>
      <c r="E783" t="s">
        <v>760</v>
      </c>
      <c r="G783" t="s">
        <v>1895</v>
      </c>
      <c r="H783" t="s">
        <v>1901</v>
      </c>
      <c r="I783" t="s">
        <v>1897</v>
      </c>
    </row>
    <row r="784" spans="1:9">
      <c r="A784" t="s">
        <v>2863</v>
      </c>
      <c r="B784" s="18">
        <v>2254078692</v>
      </c>
      <c r="C784" t="s">
        <v>2864</v>
      </c>
      <c r="D784" t="s">
        <v>2865</v>
      </c>
      <c r="E784" t="s">
        <v>760</v>
      </c>
      <c r="G784" t="s">
        <v>1895</v>
      </c>
      <c r="H784" t="s">
        <v>1901</v>
      </c>
      <c r="I784" t="s">
        <v>1897</v>
      </c>
    </row>
    <row r="785" spans="1:9">
      <c r="A785" t="s">
        <v>2866</v>
      </c>
      <c r="B785" s="18">
        <v>2254078782</v>
      </c>
      <c r="C785" t="s">
        <v>2867</v>
      </c>
      <c r="D785" t="s">
        <v>2470</v>
      </c>
      <c r="E785" t="s">
        <v>760</v>
      </c>
      <c r="G785" t="s">
        <v>1895</v>
      </c>
      <c r="H785" t="s">
        <v>1901</v>
      </c>
      <c r="I785" t="s">
        <v>1897</v>
      </c>
    </row>
    <row r="786" spans="1:9">
      <c r="A786" t="s">
        <v>2868</v>
      </c>
      <c r="B786" s="18">
        <v>2254078694</v>
      </c>
      <c r="C786" t="s">
        <v>2869</v>
      </c>
      <c r="D786" t="s">
        <v>2331</v>
      </c>
      <c r="E786" t="s">
        <v>760</v>
      </c>
      <c r="G786" t="s">
        <v>1895</v>
      </c>
      <c r="H786" t="s">
        <v>1901</v>
      </c>
      <c r="I786" t="s">
        <v>1897</v>
      </c>
    </row>
    <row r="787" spans="1:9">
      <c r="A787" t="s">
        <v>2870</v>
      </c>
      <c r="B787" s="18">
        <v>2254078678</v>
      </c>
      <c r="C787" t="s">
        <v>2871</v>
      </c>
      <c r="D787" t="s">
        <v>2286</v>
      </c>
      <c r="E787" t="s">
        <v>765</v>
      </c>
      <c r="I787" t="s">
        <v>1897</v>
      </c>
    </row>
    <row r="788" spans="1:9">
      <c r="A788" t="s">
        <v>2872</v>
      </c>
      <c r="B788" s="18">
        <v>2254078680</v>
      </c>
      <c r="C788" t="s">
        <v>2873</v>
      </c>
      <c r="D788" t="s">
        <v>2090</v>
      </c>
      <c r="E788" t="s">
        <v>765</v>
      </c>
      <c r="G788" t="s">
        <v>1895</v>
      </c>
      <c r="H788" t="s">
        <v>1896</v>
      </c>
      <c r="I788" t="s">
        <v>1897</v>
      </c>
    </row>
    <row r="789" spans="1:9">
      <c r="A789" t="s">
        <v>2874</v>
      </c>
      <c r="B789" s="18">
        <v>2254078682</v>
      </c>
      <c r="C789" t="s">
        <v>2875</v>
      </c>
      <c r="D789" t="s">
        <v>2523</v>
      </c>
      <c r="E789" t="s">
        <v>760</v>
      </c>
      <c r="G789" t="s">
        <v>1895</v>
      </c>
      <c r="H789" t="s">
        <v>1901</v>
      </c>
      <c r="I789" t="s">
        <v>1897</v>
      </c>
    </row>
    <row r="790" spans="1:9">
      <c r="A790" t="s">
        <v>2876</v>
      </c>
      <c r="B790" s="18">
        <v>2254078696</v>
      </c>
      <c r="C790" t="s">
        <v>2877</v>
      </c>
      <c r="D790" t="s">
        <v>2878</v>
      </c>
      <c r="E790" t="s">
        <v>760</v>
      </c>
      <c r="G790" t="s">
        <v>1895</v>
      </c>
      <c r="H790" t="s">
        <v>1901</v>
      </c>
      <c r="I790" t="s">
        <v>1897</v>
      </c>
    </row>
    <row r="791" spans="1:9">
      <c r="A791" t="s">
        <v>2879</v>
      </c>
      <c r="B791" s="18">
        <v>2254078698</v>
      </c>
      <c r="C791" t="s">
        <v>2880</v>
      </c>
      <c r="D791" t="s">
        <v>2078</v>
      </c>
      <c r="E791" t="s">
        <v>760</v>
      </c>
      <c r="G791" t="s">
        <v>2881</v>
      </c>
      <c r="H791" t="s">
        <v>2660</v>
      </c>
      <c r="I791" t="s">
        <v>1897</v>
      </c>
    </row>
    <row r="792" spans="1:9">
      <c r="A792" t="s">
        <v>2882</v>
      </c>
      <c r="B792" s="18">
        <v>2254078702</v>
      </c>
      <c r="C792" t="s">
        <v>2883</v>
      </c>
      <c r="D792" t="s">
        <v>2305</v>
      </c>
      <c r="E792" t="s">
        <v>765</v>
      </c>
      <c r="G792" t="s">
        <v>1895</v>
      </c>
      <c r="H792" t="s">
        <v>1901</v>
      </c>
      <c r="I792" t="s">
        <v>1897</v>
      </c>
    </row>
    <row r="793" spans="1:9">
      <c r="A793" t="s">
        <v>2884</v>
      </c>
      <c r="B793" s="18">
        <v>2254078704</v>
      </c>
      <c r="C793" t="s">
        <v>2885</v>
      </c>
      <c r="D793" t="s">
        <v>2886</v>
      </c>
      <c r="E793" t="s">
        <v>765</v>
      </c>
      <c r="G793" t="s">
        <v>1895</v>
      </c>
      <c r="H793" t="s">
        <v>1901</v>
      </c>
      <c r="I793" t="s">
        <v>1897</v>
      </c>
    </row>
    <row r="794" spans="1:9">
      <c r="A794" t="s">
        <v>2887</v>
      </c>
      <c r="B794" s="18">
        <v>2254078699</v>
      </c>
      <c r="C794" t="s">
        <v>2888</v>
      </c>
      <c r="D794" t="s">
        <v>2889</v>
      </c>
      <c r="E794" t="s">
        <v>765</v>
      </c>
      <c r="G794" t="s">
        <v>1895</v>
      </c>
      <c r="H794" t="s">
        <v>1901</v>
      </c>
      <c r="I794" t="s">
        <v>1897</v>
      </c>
    </row>
    <row r="795" spans="1:9">
      <c r="A795" t="s">
        <v>2890</v>
      </c>
      <c r="B795" s="18">
        <v>2254078708</v>
      </c>
      <c r="C795" t="s">
        <v>2891</v>
      </c>
      <c r="D795" t="s">
        <v>2892</v>
      </c>
      <c r="E795" t="s">
        <v>765</v>
      </c>
      <c r="G795" t="s">
        <v>1895</v>
      </c>
      <c r="H795" t="s">
        <v>1901</v>
      </c>
      <c r="I795" t="s">
        <v>1897</v>
      </c>
    </row>
    <row r="796" spans="1:9">
      <c r="A796" t="s">
        <v>2893</v>
      </c>
      <c r="B796" s="18">
        <v>2254078710</v>
      </c>
      <c r="C796" t="s">
        <v>2894</v>
      </c>
      <c r="D796" t="s">
        <v>2456</v>
      </c>
      <c r="E796" t="s">
        <v>760</v>
      </c>
      <c r="G796" t="s">
        <v>1895</v>
      </c>
      <c r="H796" t="s">
        <v>1901</v>
      </c>
      <c r="I796" t="s">
        <v>1897</v>
      </c>
    </row>
    <row r="797" spans="1:9">
      <c r="A797" t="s">
        <v>2895</v>
      </c>
      <c r="B797" s="18">
        <v>2254078712</v>
      </c>
      <c r="C797" t="s">
        <v>2896</v>
      </c>
      <c r="D797" t="s">
        <v>2141</v>
      </c>
      <c r="E797" t="s">
        <v>765</v>
      </c>
      <c r="G797" t="s">
        <v>1895</v>
      </c>
      <c r="H797" t="s">
        <v>1901</v>
      </c>
      <c r="I797" t="s">
        <v>1897</v>
      </c>
    </row>
    <row r="798" spans="1:9">
      <c r="A798" t="s">
        <v>2897</v>
      </c>
      <c r="B798" s="18">
        <v>2254078714</v>
      </c>
      <c r="C798" t="s">
        <v>2898</v>
      </c>
      <c r="D798" t="s">
        <v>2899</v>
      </c>
      <c r="E798" t="s">
        <v>765</v>
      </c>
      <c r="G798" t="s">
        <v>1895</v>
      </c>
      <c r="H798" t="s">
        <v>1901</v>
      </c>
      <c r="I798" t="s">
        <v>1897</v>
      </c>
    </row>
    <row r="799" spans="1:9">
      <c r="A799" t="s">
        <v>2900</v>
      </c>
      <c r="B799" s="18">
        <v>2254078716</v>
      </c>
      <c r="C799" t="s">
        <v>2901</v>
      </c>
      <c r="D799" t="s">
        <v>2902</v>
      </c>
      <c r="E799" t="s">
        <v>760</v>
      </c>
      <c r="G799" t="s">
        <v>1895</v>
      </c>
      <c r="H799" t="s">
        <v>1901</v>
      </c>
      <c r="I799" t="s">
        <v>1897</v>
      </c>
    </row>
    <row r="800" spans="1:9">
      <c r="A800" t="s">
        <v>2903</v>
      </c>
      <c r="B800" s="18">
        <v>2254078718</v>
      </c>
      <c r="C800" t="s">
        <v>2397</v>
      </c>
      <c r="D800" t="s">
        <v>2904</v>
      </c>
      <c r="E800" t="s">
        <v>760</v>
      </c>
      <c r="G800" t="s">
        <v>1895</v>
      </c>
      <c r="H800" t="s">
        <v>1901</v>
      </c>
      <c r="I800" t="s">
        <v>1897</v>
      </c>
    </row>
    <row r="801" spans="1:9">
      <c r="A801" t="s">
        <v>2905</v>
      </c>
      <c r="B801" s="18">
        <v>2254078720</v>
      </c>
      <c r="C801" t="s">
        <v>2906</v>
      </c>
      <c r="D801" t="s">
        <v>1960</v>
      </c>
      <c r="E801" t="s">
        <v>760</v>
      </c>
      <c r="G801" t="s">
        <v>1895</v>
      </c>
      <c r="H801" t="s">
        <v>1901</v>
      </c>
      <c r="I801" t="s">
        <v>1897</v>
      </c>
    </row>
    <row r="802" spans="1:9">
      <c r="A802" t="s">
        <v>2907</v>
      </c>
      <c r="B802" s="18">
        <v>2254078722</v>
      </c>
      <c r="C802" t="s">
        <v>2908</v>
      </c>
      <c r="D802" t="s">
        <v>2087</v>
      </c>
      <c r="E802" t="s">
        <v>765</v>
      </c>
      <c r="G802" t="s">
        <v>1895</v>
      </c>
      <c r="H802" t="s">
        <v>1901</v>
      </c>
      <c r="I802" t="s">
        <v>1897</v>
      </c>
    </row>
    <row r="803" spans="1:9">
      <c r="A803" t="s">
        <v>2909</v>
      </c>
      <c r="B803" s="18">
        <v>2254078724</v>
      </c>
      <c r="C803" t="s">
        <v>2910</v>
      </c>
      <c r="D803" t="s">
        <v>2051</v>
      </c>
      <c r="E803" t="s">
        <v>765</v>
      </c>
      <c r="G803" t="s">
        <v>1895</v>
      </c>
      <c r="H803" t="s">
        <v>1901</v>
      </c>
      <c r="I803" t="s">
        <v>1897</v>
      </c>
    </row>
    <row r="804" spans="1:9">
      <c r="A804" t="s">
        <v>2911</v>
      </c>
      <c r="B804" s="18">
        <v>2254078726</v>
      </c>
      <c r="C804" t="s">
        <v>2912</v>
      </c>
      <c r="D804" t="s">
        <v>2913</v>
      </c>
      <c r="E804" t="s">
        <v>760</v>
      </c>
      <c r="G804" t="s">
        <v>1895</v>
      </c>
      <c r="H804" t="s">
        <v>1901</v>
      </c>
      <c r="I804" t="s">
        <v>1897</v>
      </c>
    </row>
    <row r="805" spans="1:9">
      <c r="A805" t="s">
        <v>2914</v>
      </c>
      <c r="B805" s="18">
        <v>2254078727</v>
      </c>
      <c r="C805" t="s">
        <v>2915</v>
      </c>
      <c r="D805" t="s">
        <v>2456</v>
      </c>
      <c r="E805" t="s">
        <v>760</v>
      </c>
      <c r="G805" t="s">
        <v>1895</v>
      </c>
      <c r="H805" t="s">
        <v>1901</v>
      </c>
      <c r="I805" t="s">
        <v>1897</v>
      </c>
    </row>
    <row r="806" spans="1:9">
      <c r="A806" t="s">
        <v>2916</v>
      </c>
      <c r="B806" s="18">
        <v>2254078728</v>
      </c>
      <c r="C806" t="s">
        <v>2917</v>
      </c>
      <c r="D806" t="s">
        <v>2428</v>
      </c>
      <c r="E806" t="s">
        <v>765</v>
      </c>
      <c r="G806" t="s">
        <v>1895</v>
      </c>
      <c r="H806" t="s">
        <v>1901</v>
      </c>
      <c r="I806" t="s">
        <v>1897</v>
      </c>
    </row>
    <row r="807" spans="1:9">
      <c r="A807" t="s">
        <v>2918</v>
      </c>
      <c r="B807" s="18">
        <v>2254078730</v>
      </c>
      <c r="C807" t="s">
        <v>2919</v>
      </c>
      <c r="D807" t="s">
        <v>2920</v>
      </c>
      <c r="E807" t="s">
        <v>760</v>
      </c>
      <c r="G807" t="s">
        <v>1895</v>
      </c>
      <c r="H807" t="s">
        <v>1908</v>
      </c>
      <c r="I807" t="s">
        <v>1897</v>
      </c>
    </row>
    <row r="808" spans="1:9">
      <c r="A808" t="s">
        <v>2921</v>
      </c>
      <c r="B808" s="18">
        <v>2254078729</v>
      </c>
      <c r="C808" t="s">
        <v>2922</v>
      </c>
      <c r="D808" t="s">
        <v>2629</v>
      </c>
      <c r="E808" t="s">
        <v>765</v>
      </c>
      <c r="G808" t="s">
        <v>1895</v>
      </c>
      <c r="H808" t="s">
        <v>1901</v>
      </c>
      <c r="I808" t="s">
        <v>1897</v>
      </c>
    </row>
    <row r="809" spans="1:9">
      <c r="A809" t="s">
        <v>2923</v>
      </c>
      <c r="B809" s="18">
        <v>2254078732</v>
      </c>
      <c r="C809" t="s">
        <v>2924</v>
      </c>
      <c r="D809" t="s">
        <v>2925</v>
      </c>
      <c r="E809" t="s">
        <v>765</v>
      </c>
      <c r="G809" t="s">
        <v>1895</v>
      </c>
      <c r="H809" t="s">
        <v>1901</v>
      </c>
      <c r="I809" t="s">
        <v>1897</v>
      </c>
    </row>
    <row r="810" spans="1:9">
      <c r="A810" t="s">
        <v>2926</v>
      </c>
      <c r="B810" s="18">
        <v>2254078734</v>
      </c>
      <c r="C810" t="s">
        <v>2927</v>
      </c>
      <c r="D810" t="s">
        <v>2146</v>
      </c>
      <c r="E810" t="s">
        <v>765</v>
      </c>
      <c r="G810" t="s">
        <v>1895</v>
      </c>
      <c r="H810" t="s">
        <v>1896</v>
      </c>
      <c r="I810" t="s">
        <v>1897</v>
      </c>
    </row>
    <row r="811" spans="1:9">
      <c r="A811" t="s">
        <v>2928</v>
      </c>
      <c r="B811" s="18">
        <v>2254078736</v>
      </c>
      <c r="C811" t="s">
        <v>2929</v>
      </c>
      <c r="D811" t="s">
        <v>2930</v>
      </c>
      <c r="E811" t="s">
        <v>765</v>
      </c>
      <c r="G811" t="s">
        <v>1895</v>
      </c>
      <c r="H811" t="s">
        <v>1908</v>
      </c>
      <c r="I811" t="s">
        <v>1897</v>
      </c>
    </row>
    <row r="812" spans="1:9">
      <c r="A812" t="s">
        <v>2931</v>
      </c>
      <c r="B812" s="18">
        <v>2254078738</v>
      </c>
      <c r="C812" t="s">
        <v>2932</v>
      </c>
      <c r="D812" t="s">
        <v>2274</v>
      </c>
      <c r="E812" t="s">
        <v>765</v>
      </c>
      <c r="G812" t="s">
        <v>1951</v>
      </c>
      <c r="H812" t="s">
        <v>1901</v>
      </c>
      <c r="I812" t="s">
        <v>1897</v>
      </c>
    </row>
    <row r="813" spans="1:9">
      <c r="A813" t="s">
        <v>2933</v>
      </c>
      <c r="B813" s="18">
        <v>2254078740</v>
      </c>
      <c r="C813" t="s">
        <v>2934</v>
      </c>
      <c r="D813" t="s">
        <v>2935</v>
      </c>
      <c r="E813" t="s">
        <v>765</v>
      </c>
      <c r="G813" t="s">
        <v>1895</v>
      </c>
      <c r="H813" t="s">
        <v>1901</v>
      </c>
      <c r="I813" t="s">
        <v>1897</v>
      </c>
    </row>
    <row r="814" spans="1:9">
      <c r="A814" t="s">
        <v>2936</v>
      </c>
      <c r="B814" s="18">
        <v>2254078742</v>
      </c>
      <c r="C814" t="s">
        <v>2937</v>
      </c>
      <c r="D814" t="s">
        <v>2938</v>
      </c>
      <c r="E814" t="s">
        <v>765</v>
      </c>
      <c r="G814" t="s">
        <v>1895</v>
      </c>
      <c r="H814" t="s">
        <v>1901</v>
      </c>
      <c r="I814" t="s">
        <v>1897</v>
      </c>
    </row>
    <row r="815" spans="1:9">
      <c r="A815" t="s">
        <v>2939</v>
      </c>
      <c r="B815" s="18">
        <v>2254078744</v>
      </c>
      <c r="C815" t="s">
        <v>2940</v>
      </c>
      <c r="D815" t="s">
        <v>2428</v>
      </c>
      <c r="E815" t="s">
        <v>765</v>
      </c>
      <c r="G815" t="s">
        <v>1895</v>
      </c>
      <c r="H815" t="s">
        <v>1901</v>
      </c>
      <c r="I815" t="s">
        <v>1897</v>
      </c>
    </row>
    <row r="816" spans="1:9">
      <c r="A816" t="s">
        <v>2941</v>
      </c>
      <c r="B816" s="18">
        <v>2254078746</v>
      </c>
      <c r="C816" t="s">
        <v>2942</v>
      </c>
      <c r="D816" t="s">
        <v>2943</v>
      </c>
      <c r="E816" t="s">
        <v>765</v>
      </c>
      <c r="G816" t="s">
        <v>1895</v>
      </c>
      <c r="H816" t="s">
        <v>1896</v>
      </c>
      <c r="I816" t="s">
        <v>1897</v>
      </c>
    </row>
    <row r="817" spans="1:9">
      <c r="A817" t="s">
        <v>2944</v>
      </c>
      <c r="B817" s="18">
        <v>2254078748</v>
      </c>
      <c r="C817" t="s">
        <v>2945</v>
      </c>
      <c r="D817" t="s">
        <v>2283</v>
      </c>
      <c r="E817" t="s">
        <v>760</v>
      </c>
      <c r="G817" t="s">
        <v>1895</v>
      </c>
      <c r="H817" t="s">
        <v>1901</v>
      </c>
      <c r="I817" t="s">
        <v>1897</v>
      </c>
    </row>
    <row r="818" spans="1:9">
      <c r="A818" t="s">
        <v>2946</v>
      </c>
      <c r="B818" s="18">
        <v>2254078750</v>
      </c>
      <c r="C818" t="s">
        <v>2947</v>
      </c>
      <c r="D818" t="s">
        <v>1944</v>
      </c>
      <c r="E818" t="s">
        <v>765</v>
      </c>
      <c r="G818" t="s">
        <v>1895</v>
      </c>
      <c r="H818" t="s">
        <v>1901</v>
      </c>
      <c r="I818" t="s">
        <v>1897</v>
      </c>
    </row>
    <row r="819" spans="1:9">
      <c r="A819" t="s">
        <v>2948</v>
      </c>
      <c r="B819" s="18">
        <v>2254078752</v>
      </c>
      <c r="C819" t="s">
        <v>2949</v>
      </c>
      <c r="D819" t="s">
        <v>2950</v>
      </c>
      <c r="E819" t="s">
        <v>765</v>
      </c>
      <c r="G819" t="s">
        <v>1895</v>
      </c>
      <c r="H819" t="s">
        <v>1901</v>
      </c>
      <c r="I819" t="s">
        <v>1897</v>
      </c>
    </row>
    <row r="820" spans="1:9">
      <c r="A820" t="s">
        <v>2951</v>
      </c>
      <c r="B820" s="18">
        <v>2254078754</v>
      </c>
      <c r="C820" t="s">
        <v>2952</v>
      </c>
      <c r="D820" t="s">
        <v>2953</v>
      </c>
      <c r="E820" t="s">
        <v>765</v>
      </c>
      <c r="G820" t="s">
        <v>1895</v>
      </c>
      <c r="H820" t="s">
        <v>1901</v>
      </c>
      <c r="I820" t="s">
        <v>1897</v>
      </c>
    </row>
    <row r="821" spans="1:9">
      <c r="A821" t="s">
        <v>2954</v>
      </c>
      <c r="B821" s="18">
        <v>2254078756</v>
      </c>
      <c r="C821" t="s">
        <v>2955</v>
      </c>
      <c r="D821" t="s">
        <v>2956</v>
      </c>
      <c r="E821" t="s">
        <v>760</v>
      </c>
      <c r="G821" t="s">
        <v>1895</v>
      </c>
      <c r="H821" t="s">
        <v>1908</v>
      </c>
      <c r="I821" t="s">
        <v>1897</v>
      </c>
    </row>
    <row r="822" spans="1:9">
      <c r="A822" t="s">
        <v>2957</v>
      </c>
      <c r="B822" s="18">
        <v>2254078758</v>
      </c>
      <c r="C822" t="s">
        <v>2958</v>
      </c>
      <c r="D822" t="s">
        <v>2694</v>
      </c>
      <c r="E822" t="s">
        <v>760</v>
      </c>
      <c r="G822" t="s">
        <v>1895</v>
      </c>
      <c r="H822" t="s">
        <v>1908</v>
      </c>
      <c r="I822" t="s">
        <v>1897</v>
      </c>
    </row>
    <row r="823" spans="1:9">
      <c r="A823" t="s">
        <v>2959</v>
      </c>
      <c r="B823" s="18">
        <v>2254078760</v>
      </c>
      <c r="C823" t="s">
        <v>2151</v>
      </c>
      <c r="D823" t="s">
        <v>2756</v>
      </c>
      <c r="E823" t="s">
        <v>765</v>
      </c>
      <c r="G823" t="s">
        <v>1895</v>
      </c>
      <c r="H823" t="s">
        <v>1901</v>
      </c>
      <c r="I823" t="s">
        <v>1897</v>
      </c>
    </row>
    <row r="824" spans="1:9">
      <c r="A824" t="s">
        <v>2960</v>
      </c>
      <c r="B824" s="18">
        <v>2254078764</v>
      </c>
      <c r="C824" t="s">
        <v>2961</v>
      </c>
      <c r="D824" t="s">
        <v>2509</v>
      </c>
      <c r="E824" t="s">
        <v>765</v>
      </c>
      <c r="G824" t="s">
        <v>1895</v>
      </c>
      <c r="H824" t="s">
        <v>1901</v>
      </c>
      <c r="I824" t="s">
        <v>1897</v>
      </c>
    </row>
    <row r="825" spans="1:9">
      <c r="A825" t="s">
        <v>2962</v>
      </c>
      <c r="B825" s="18">
        <v>2254078766</v>
      </c>
      <c r="C825" t="s">
        <v>2963</v>
      </c>
      <c r="D825" t="s">
        <v>2964</v>
      </c>
      <c r="E825" t="s">
        <v>765</v>
      </c>
      <c r="H825" t="s">
        <v>1901</v>
      </c>
      <c r="I825" t="s">
        <v>1897</v>
      </c>
    </row>
    <row r="826" spans="1:9">
      <c r="A826" t="s">
        <v>2965</v>
      </c>
      <c r="B826" s="18">
        <v>2254078768</v>
      </c>
      <c r="C826" t="s">
        <v>2966</v>
      </c>
      <c r="D826" t="s">
        <v>2263</v>
      </c>
      <c r="E826" t="s">
        <v>760</v>
      </c>
      <c r="G826" t="s">
        <v>1895</v>
      </c>
      <c r="H826" t="s">
        <v>1901</v>
      </c>
      <c r="I826" t="s">
        <v>1897</v>
      </c>
    </row>
    <row r="827" spans="1:9">
      <c r="A827" t="s">
        <v>2967</v>
      </c>
      <c r="B827" s="18">
        <v>2254078772</v>
      </c>
      <c r="C827" t="s">
        <v>2968</v>
      </c>
      <c r="D827" t="s">
        <v>2969</v>
      </c>
      <c r="E827" t="s">
        <v>760</v>
      </c>
      <c r="G827" t="s">
        <v>1895</v>
      </c>
      <c r="H827" t="s">
        <v>1901</v>
      </c>
      <c r="I827" t="s">
        <v>1897</v>
      </c>
    </row>
    <row r="828" spans="1:9">
      <c r="A828" t="s">
        <v>2970</v>
      </c>
      <c r="B828" s="18">
        <v>2254078774</v>
      </c>
      <c r="C828" t="s">
        <v>2971</v>
      </c>
      <c r="D828" t="s">
        <v>2313</v>
      </c>
      <c r="E828" t="s">
        <v>765</v>
      </c>
      <c r="G828" t="s">
        <v>1895</v>
      </c>
      <c r="H828" t="s">
        <v>1901</v>
      </c>
      <c r="I828" t="s">
        <v>1897</v>
      </c>
    </row>
    <row r="829" spans="1:9">
      <c r="A829" t="s">
        <v>2972</v>
      </c>
      <c r="B829" s="18">
        <v>2254078776</v>
      </c>
      <c r="C829" t="s">
        <v>2973</v>
      </c>
      <c r="D829" t="s">
        <v>2195</v>
      </c>
      <c r="E829" t="s">
        <v>765</v>
      </c>
      <c r="G829" t="s">
        <v>1895</v>
      </c>
      <c r="H829" t="s">
        <v>1901</v>
      </c>
      <c r="I829" t="s">
        <v>1897</v>
      </c>
    </row>
    <row r="830" spans="1:9">
      <c r="A830" t="s">
        <v>2974</v>
      </c>
      <c r="B830" s="18">
        <v>2254078778</v>
      </c>
      <c r="C830" t="s">
        <v>2975</v>
      </c>
      <c r="D830" t="s">
        <v>2976</v>
      </c>
      <c r="E830" t="s">
        <v>765</v>
      </c>
      <c r="H830" t="s">
        <v>1896</v>
      </c>
      <c r="I830" t="s">
        <v>1897</v>
      </c>
    </row>
    <row r="831" spans="1:9">
      <c r="A831" t="s">
        <v>2977</v>
      </c>
      <c r="B831" s="18">
        <v>2254078780</v>
      </c>
      <c r="C831" t="s">
        <v>2978</v>
      </c>
      <c r="D831" t="s">
        <v>2979</v>
      </c>
      <c r="E831" t="s">
        <v>765</v>
      </c>
      <c r="G831" t="s">
        <v>1895</v>
      </c>
      <c r="H831" t="s">
        <v>1901</v>
      </c>
      <c r="I831" t="s">
        <v>1897</v>
      </c>
    </row>
    <row r="832" spans="1:9">
      <c r="A832" t="s">
        <v>2980</v>
      </c>
      <c r="B832" s="18">
        <v>2254078783</v>
      </c>
      <c r="C832" t="s">
        <v>2981</v>
      </c>
      <c r="D832" t="s">
        <v>2982</v>
      </c>
      <c r="E832" t="s">
        <v>760</v>
      </c>
      <c r="G832" t="s">
        <v>1895</v>
      </c>
      <c r="H832" t="s">
        <v>1901</v>
      </c>
      <c r="I832" t="s">
        <v>1897</v>
      </c>
    </row>
    <row r="833" spans="1:9">
      <c r="A833" t="s">
        <v>2983</v>
      </c>
      <c r="B833" s="18">
        <v>2254078784</v>
      </c>
      <c r="C833" t="s">
        <v>2984</v>
      </c>
      <c r="D833" t="s">
        <v>2985</v>
      </c>
      <c r="E833" t="s">
        <v>765</v>
      </c>
      <c r="G833" t="s">
        <v>1895</v>
      </c>
      <c r="H833" t="s">
        <v>1901</v>
      </c>
      <c r="I833" t="s">
        <v>1897</v>
      </c>
    </row>
    <row r="834" spans="1:9">
      <c r="A834" t="s">
        <v>2986</v>
      </c>
      <c r="B834" s="18">
        <v>2254078786</v>
      </c>
      <c r="C834" t="s">
        <v>2987</v>
      </c>
      <c r="D834" t="s">
        <v>2988</v>
      </c>
      <c r="E834" t="s">
        <v>765</v>
      </c>
      <c r="G834" t="s">
        <v>1895</v>
      </c>
      <c r="H834" t="s">
        <v>1901</v>
      </c>
      <c r="I834" t="s">
        <v>1897</v>
      </c>
    </row>
    <row r="835" spans="1:9">
      <c r="A835" t="s">
        <v>2989</v>
      </c>
      <c r="B835" s="18">
        <v>2254078788</v>
      </c>
      <c r="C835" t="s">
        <v>953</v>
      </c>
      <c r="D835" t="s">
        <v>2650</v>
      </c>
      <c r="E835" t="s">
        <v>765</v>
      </c>
      <c r="G835" t="s">
        <v>1895</v>
      </c>
      <c r="H835" t="s">
        <v>1901</v>
      </c>
      <c r="I835" t="s">
        <v>1897</v>
      </c>
    </row>
    <row r="836" spans="1:9">
      <c r="A836" t="s">
        <v>2990</v>
      </c>
      <c r="B836" s="18">
        <v>2254078790</v>
      </c>
      <c r="C836" t="s">
        <v>1111</v>
      </c>
      <c r="D836" t="s">
        <v>2991</v>
      </c>
      <c r="E836" t="s">
        <v>765</v>
      </c>
      <c r="G836" t="s">
        <v>1895</v>
      </c>
      <c r="H836" t="s">
        <v>1901</v>
      </c>
      <c r="I836" t="s">
        <v>1897</v>
      </c>
    </row>
    <row r="837" spans="1:9">
      <c r="A837" t="s">
        <v>2992</v>
      </c>
      <c r="B837" s="18">
        <v>2254078792</v>
      </c>
      <c r="C837" t="s">
        <v>2993</v>
      </c>
      <c r="D837" t="s">
        <v>2689</v>
      </c>
      <c r="E837" t="s">
        <v>765</v>
      </c>
      <c r="G837" t="s">
        <v>1895</v>
      </c>
      <c r="H837" t="s">
        <v>1901</v>
      </c>
      <c r="I837" t="s">
        <v>1897</v>
      </c>
    </row>
    <row r="838" spans="1:9">
      <c r="A838" t="s">
        <v>2994</v>
      </c>
      <c r="B838" s="18">
        <v>2254078794</v>
      </c>
      <c r="C838" t="s">
        <v>2995</v>
      </c>
      <c r="D838" t="s">
        <v>2087</v>
      </c>
      <c r="E838" t="s">
        <v>760</v>
      </c>
      <c r="G838" t="s">
        <v>1895</v>
      </c>
      <c r="H838" t="s">
        <v>1901</v>
      </c>
      <c r="I838" t="s">
        <v>1897</v>
      </c>
    </row>
    <row r="839" spans="1:9">
      <c r="A839" t="s">
        <v>2996</v>
      </c>
      <c r="B839" s="18">
        <v>2254078795</v>
      </c>
      <c r="C839" t="s">
        <v>2997</v>
      </c>
      <c r="D839" t="s">
        <v>2062</v>
      </c>
      <c r="E839" t="s">
        <v>760</v>
      </c>
      <c r="G839" t="s">
        <v>1895</v>
      </c>
      <c r="H839" t="s">
        <v>1901</v>
      </c>
      <c r="I839" t="s">
        <v>1897</v>
      </c>
    </row>
    <row r="840" spans="1:9">
      <c r="A840" t="s">
        <v>2998</v>
      </c>
      <c r="B840" s="18">
        <v>2254078796</v>
      </c>
      <c r="C840" t="s">
        <v>2999</v>
      </c>
      <c r="D840" t="s">
        <v>2860</v>
      </c>
      <c r="E840" t="s">
        <v>760</v>
      </c>
      <c r="G840" t="s">
        <v>1895</v>
      </c>
      <c r="H840" t="s">
        <v>1908</v>
      </c>
      <c r="I840" t="s">
        <v>1897</v>
      </c>
    </row>
    <row r="841" spans="1:9">
      <c r="A841" t="s">
        <v>3000</v>
      </c>
      <c r="B841" s="18">
        <v>2254078800</v>
      </c>
      <c r="C841" t="s">
        <v>3001</v>
      </c>
      <c r="D841" t="s">
        <v>2663</v>
      </c>
      <c r="E841" t="s">
        <v>765</v>
      </c>
      <c r="G841" t="s">
        <v>1895</v>
      </c>
      <c r="H841" t="s">
        <v>1901</v>
      </c>
      <c r="I841" t="s">
        <v>1897</v>
      </c>
    </row>
    <row r="842" spans="1:9">
      <c r="A842" t="s">
        <v>3002</v>
      </c>
      <c r="B842" s="18">
        <v>2254078802</v>
      </c>
      <c r="C842" t="s">
        <v>3003</v>
      </c>
      <c r="D842" t="s">
        <v>3004</v>
      </c>
      <c r="E842" t="s">
        <v>765</v>
      </c>
      <c r="G842" t="s">
        <v>1895</v>
      </c>
      <c r="H842" t="s">
        <v>1901</v>
      </c>
      <c r="I842" t="s">
        <v>1897</v>
      </c>
    </row>
    <row r="843" spans="1:9">
      <c r="A843" t="s">
        <v>3005</v>
      </c>
      <c r="B843" s="18">
        <v>2254078806</v>
      </c>
      <c r="C843" t="s">
        <v>3006</v>
      </c>
      <c r="D843" t="s">
        <v>2138</v>
      </c>
      <c r="E843" t="s">
        <v>765</v>
      </c>
      <c r="G843" t="s">
        <v>1895</v>
      </c>
      <c r="H843" t="s">
        <v>1901</v>
      </c>
      <c r="I843" t="s">
        <v>1897</v>
      </c>
    </row>
    <row r="844" spans="1:9">
      <c r="A844" t="s">
        <v>3007</v>
      </c>
      <c r="B844" s="18">
        <v>2254078808</v>
      </c>
      <c r="C844" t="s">
        <v>3008</v>
      </c>
      <c r="D844" t="s">
        <v>2493</v>
      </c>
      <c r="E844" t="s">
        <v>765</v>
      </c>
      <c r="G844" t="s">
        <v>1895</v>
      </c>
      <c r="H844" t="s">
        <v>1896</v>
      </c>
      <c r="I844" t="s">
        <v>1897</v>
      </c>
    </row>
    <row r="845" spans="1:9">
      <c r="A845" t="s">
        <v>3009</v>
      </c>
      <c r="B845" s="18">
        <v>2254078804</v>
      </c>
      <c r="C845" t="s">
        <v>3010</v>
      </c>
      <c r="D845" t="s">
        <v>3011</v>
      </c>
      <c r="E845" t="s">
        <v>765</v>
      </c>
      <c r="G845" t="s">
        <v>1895</v>
      </c>
      <c r="H845" t="s">
        <v>1901</v>
      </c>
      <c r="I845" t="s">
        <v>1897</v>
      </c>
    </row>
    <row r="846" spans="1:9">
      <c r="A846" t="s">
        <v>3012</v>
      </c>
      <c r="B846" s="18">
        <v>2254078810</v>
      </c>
      <c r="C846" t="s">
        <v>3013</v>
      </c>
      <c r="D846" t="s">
        <v>2528</v>
      </c>
      <c r="E846" t="s">
        <v>765</v>
      </c>
      <c r="G846" t="s">
        <v>1895</v>
      </c>
      <c r="H846" t="s">
        <v>1901</v>
      </c>
      <c r="I846" t="s">
        <v>1897</v>
      </c>
    </row>
    <row r="847" spans="1:9">
      <c r="A847" t="s">
        <v>3014</v>
      </c>
      <c r="B847" s="18">
        <v>2254078814</v>
      </c>
      <c r="C847" t="s">
        <v>3015</v>
      </c>
      <c r="D847" t="s">
        <v>3016</v>
      </c>
      <c r="E847" t="s">
        <v>760</v>
      </c>
      <c r="G847" t="s">
        <v>1895</v>
      </c>
      <c r="H847" t="s">
        <v>1901</v>
      </c>
      <c r="I847" t="s">
        <v>1897</v>
      </c>
    </row>
    <row r="848" spans="1:9">
      <c r="A848" t="s">
        <v>3017</v>
      </c>
      <c r="B848" s="18">
        <v>2254078816</v>
      </c>
      <c r="C848" t="s">
        <v>3018</v>
      </c>
      <c r="D848" t="s">
        <v>3019</v>
      </c>
      <c r="E848" t="s">
        <v>765</v>
      </c>
      <c r="G848" t="s">
        <v>1895</v>
      </c>
      <c r="H848" t="s">
        <v>1901</v>
      </c>
      <c r="I848" t="s">
        <v>1897</v>
      </c>
    </row>
    <row r="849" spans="1:9">
      <c r="A849" t="s">
        <v>3020</v>
      </c>
      <c r="B849" s="18">
        <v>2254078820</v>
      </c>
      <c r="C849" t="s">
        <v>3021</v>
      </c>
      <c r="D849" t="s">
        <v>3022</v>
      </c>
      <c r="E849" t="s">
        <v>765</v>
      </c>
      <c r="G849" t="s">
        <v>2135</v>
      </c>
      <c r="H849" t="s">
        <v>1901</v>
      </c>
      <c r="I849" t="s">
        <v>1897</v>
      </c>
    </row>
    <row r="850" spans="1:9">
      <c r="A850" t="s">
        <v>3023</v>
      </c>
      <c r="B850" s="18">
        <v>2254078822</v>
      </c>
      <c r="C850" t="s">
        <v>3024</v>
      </c>
      <c r="D850" t="s">
        <v>2943</v>
      </c>
      <c r="E850" t="s">
        <v>765</v>
      </c>
      <c r="G850" t="s">
        <v>1895</v>
      </c>
      <c r="H850" t="s">
        <v>1901</v>
      </c>
      <c r="I850" t="s">
        <v>1897</v>
      </c>
    </row>
    <row r="851" spans="1:9">
      <c r="A851" t="s">
        <v>3025</v>
      </c>
      <c r="B851" s="18">
        <v>2254078818</v>
      </c>
      <c r="C851" t="s">
        <v>3026</v>
      </c>
      <c r="D851" t="s">
        <v>2518</v>
      </c>
      <c r="E851" t="s">
        <v>765</v>
      </c>
      <c r="G851" t="s">
        <v>1895</v>
      </c>
      <c r="H851" t="s">
        <v>1901</v>
      </c>
      <c r="I851" t="s">
        <v>1897</v>
      </c>
    </row>
    <row r="852" spans="1:9">
      <c r="A852" t="s">
        <v>3027</v>
      </c>
      <c r="B852" s="18">
        <v>2254078824</v>
      </c>
      <c r="C852" t="s">
        <v>3028</v>
      </c>
      <c r="D852" t="s">
        <v>2152</v>
      </c>
      <c r="E852" t="s">
        <v>760</v>
      </c>
      <c r="G852" t="s">
        <v>1895</v>
      </c>
      <c r="H852" t="s">
        <v>1901</v>
      </c>
      <c r="I852" t="s">
        <v>1897</v>
      </c>
    </row>
    <row r="853" spans="1:9">
      <c r="A853" t="s">
        <v>3029</v>
      </c>
      <c r="B853" s="18">
        <v>2254078830</v>
      </c>
      <c r="C853" t="s">
        <v>3030</v>
      </c>
      <c r="D853" t="s">
        <v>2964</v>
      </c>
      <c r="E853" t="s">
        <v>760</v>
      </c>
      <c r="G853" t="s">
        <v>1895</v>
      </c>
      <c r="H853" t="s">
        <v>1901</v>
      </c>
      <c r="I853" t="s">
        <v>1897</v>
      </c>
    </row>
    <row r="854" spans="1:9">
      <c r="A854" t="s">
        <v>3031</v>
      </c>
      <c r="B854" s="18">
        <v>2254078834</v>
      </c>
      <c r="C854" t="s">
        <v>3032</v>
      </c>
      <c r="D854" t="s">
        <v>1461</v>
      </c>
      <c r="E854" t="s">
        <v>760</v>
      </c>
      <c r="G854" t="s">
        <v>2135</v>
      </c>
      <c r="H854" t="s">
        <v>1901</v>
      </c>
      <c r="I854" t="s">
        <v>1897</v>
      </c>
    </row>
    <row r="855" spans="1:9">
      <c r="A855" t="s">
        <v>3033</v>
      </c>
      <c r="B855" s="18">
        <v>2254078836</v>
      </c>
      <c r="C855" t="s">
        <v>3034</v>
      </c>
      <c r="D855" t="s">
        <v>3035</v>
      </c>
      <c r="E855" t="s">
        <v>765</v>
      </c>
      <c r="G855" t="s">
        <v>1895</v>
      </c>
      <c r="H855" t="s">
        <v>1901</v>
      </c>
      <c r="I855" t="s">
        <v>1897</v>
      </c>
    </row>
    <row r="856" spans="1:9">
      <c r="A856" t="s">
        <v>3036</v>
      </c>
      <c r="B856" s="18">
        <v>2254078838</v>
      </c>
      <c r="C856" t="s">
        <v>3037</v>
      </c>
      <c r="D856" t="s">
        <v>2764</v>
      </c>
      <c r="E856" t="s">
        <v>765</v>
      </c>
      <c r="G856" t="s">
        <v>1895</v>
      </c>
      <c r="H856" t="s">
        <v>1908</v>
      </c>
      <c r="I856" t="s">
        <v>1897</v>
      </c>
    </row>
    <row r="857" spans="1:9">
      <c r="A857" t="s">
        <v>3038</v>
      </c>
      <c r="B857" s="18">
        <v>2254078840</v>
      </c>
      <c r="C857" t="s">
        <v>3039</v>
      </c>
      <c r="D857" t="s">
        <v>3040</v>
      </c>
      <c r="E857" t="s">
        <v>765</v>
      </c>
      <c r="G857" t="s">
        <v>1895</v>
      </c>
      <c r="H857" t="s">
        <v>1901</v>
      </c>
      <c r="I857" t="s">
        <v>1897</v>
      </c>
    </row>
    <row r="858" spans="1:9">
      <c r="A858" t="s">
        <v>3041</v>
      </c>
      <c r="B858" s="18">
        <v>2254078844</v>
      </c>
      <c r="C858" t="s">
        <v>3042</v>
      </c>
      <c r="D858" t="s">
        <v>2361</v>
      </c>
      <c r="E858" t="s">
        <v>765</v>
      </c>
      <c r="G858" t="s">
        <v>1895</v>
      </c>
      <c r="H858" t="s">
        <v>1901</v>
      </c>
      <c r="I858" t="s">
        <v>1897</v>
      </c>
    </row>
    <row r="859" spans="1:9">
      <c r="A859" t="s">
        <v>3043</v>
      </c>
      <c r="B859" s="18">
        <v>2254078846</v>
      </c>
      <c r="C859" t="s">
        <v>3044</v>
      </c>
      <c r="D859" t="s">
        <v>2031</v>
      </c>
      <c r="E859" t="s">
        <v>765</v>
      </c>
      <c r="G859" t="s">
        <v>1895</v>
      </c>
      <c r="H859" t="s">
        <v>1901</v>
      </c>
      <c r="I859" t="s">
        <v>1897</v>
      </c>
    </row>
    <row r="860" spans="1:9">
      <c r="A860" t="s">
        <v>3045</v>
      </c>
      <c r="B860" s="18">
        <v>2254078848</v>
      </c>
      <c r="C860" t="s">
        <v>3046</v>
      </c>
      <c r="D860" t="s">
        <v>2269</v>
      </c>
      <c r="E860" t="s">
        <v>765</v>
      </c>
      <c r="G860" t="s">
        <v>1895</v>
      </c>
      <c r="H860" t="s">
        <v>1908</v>
      </c>
      <c r="I860" t="s">
        <v>1897</v>
      </c>
    </row>
    <row r="861" spans="1:9">
      <c r="A861" t="s">
        <v>3047</v>
      </c>
      <c r="B861" s="18">
        <v>2254078661</v>
      </c>
      <c r="C861" t="s">
        <v>3048</v>
      </c>
      <c r="D861" t="s">
        <v>3049</v>
      </c>
      <c r="E861" t="s">
        <v>760</v>
      </c>
      <c r="G861" t="s">
        <v>1895</v>
      </c>
      <c r="H861" t="s">
        <v>1901</v>
      </c>
      <c r="I861" t="s">
        <v>1897</v>
      </c>
    </row>
    <row r="862" spans="1:9">
      <c r="A862" t="s">
        <v>3050</v>
      </c>
      <c r="B862" s="18">
        <v>2254078663</v>
      </c>
      <c r="C862" t="s">
        <v>3051</v>
      </c>
      <c r="D862" t="s">
        <v>3052</v>
      </c>
      <c r="E862" t="s">
        <v>765</v>
      </c>
      <c r="G862" t="s">
        <v>1895</v>
      </c>
      <c r="H862" t="s">
        <v>1901</v>
      </c>
      <c r="I862" t="s">
        <v>1897</v>
      </c>
    </row>
    <row r="863" spans="1:9">
      <c r="A863" t="s">
        <v>3053</v>
      </c>
      <c r="B863" s="18">
        <v>2254078665</v>
      </c>
      <c r="C863" t="s">
        <v>3054</v>
      </c>
      <c r="D863" t="s">
        <v>2045</v>
      </c>
      <c r="E863" t="s">
        <v>765</v>
      </c>
      <c r="G863" t="s">
        <v>1895</v>
      </c>
      <c r="H863" t="s">
        <v>1901</v>
      </c>
      <c r="I863" t="s">
        <v>1897</v>
      </c>
    </row>
    <row r="864" spans="1:9">
      <c r="A864" t="s">
        <v>3055</v>
      </c>
      <c r="B864" s="18">
        <v>2254078667</v>
      </c>
      <c r="C864" t="s">
        <v>3056</v>
      </c>
      <c r="D864" t="s">
        <v>2161</v>
      </c>
      <c r="E864" t="s">
        <v>765</v>
      </c>
      <c r="G864" t="s">
        <v>1895</v>
      </c>
      <c r="H864" t="s">
        <v>1901</v>
      </c>
      <c r="I864" t="s">
        <v>1897</v>
      </c>
    </row>
    <row r="865" spans="1:9">
      <c r="A865" t="s">
        <v>3057</v>
      </c>
      <c r="B865" s="18">
        <v>2254078669</v>
      </c>
      <c r="C865" t="s">
        <v>3058</v>
      </c>
      <c r="D865" t="s">
        <v>2791</v>
      </c>
      <c r="E865" t="s">
        <v>760</v>
      </c>
      <c r="G865" t="s">
        <v>1895</v>
      </c>
      <c r="H865" t="s">
        <v>1901</v>
      </c>
      <c r="I865" t="s">
        <v>1897</v>
      </c>
    </row>
    <row r="866" spans="1:9">
      <c r="A866" t="s">
        <v>3059</v>
      </c>
      <c r="B866" s="18">
        <v>2254078671</v>
      </c>
      <c r="C866" t="s">
        <v>3060</v>
      </c>
      <c r="D866" t="s">
        <v>2855</v>
      </c>
      <c r="E866" t="s">
        <v>765</v>
      </c>
      <c r="G866" t="s">
        <v>1895</v>
      </c>
      <c r="H866" t="s">
        <v>1896</v>
      </c>
      <c r="I866" t="s">
        <v>1897</v>
      </c>
    </row>
    <row r="867" spans="1:9">
      <c r="A867" t="s">
        <v>3061</v>
      </c>
      <c r="B867" s="18">
        <v>2254078673</v>
      </c>
      <c r="C867" t="s">
        <v>3062</v>
      </c>
      <c r="D867" t="s">
        <v>1963</v>
      </c>
      <c r="E867" t="s">
        <v>765</v>
      </c>
      <c r="G867" t="s">
        <v>1895</v>
      </c>
      <c r="H867" t="s">
        <v>1901</v>
      </c>
      <c r="I867" t="s">
        <v>1897</v>
      </c>
    </row>
    <row r="868" spans="1:9">
      <c r="A868" t="s">
        <v>3063</v>
      </c>
      <c r="B868" s="18">
        <v>2254078675</v>
      </c>
      <c r="C868" t="s">
        <v>3064</v>
      </c>
      <c r="D868" t="s">
        <v>3035</v>
      </c>
      <c r="E868" t="s">
        <v>765</v>
      </c>
      <c r="G868" t="s">
        <v>1895</v>
      </c>
      <c r="H868" t="s">
        <v>1896</v>
      </c>
      <c r="I868" t="s">
        <v>1897</v>
      </c>
    </row>
    <row r="869" spans="1:9">
      <c r="A869" t="s">
        <v>3065</v>
      </c>
      <c r="B869" s="18">
        <v>2254078685</v>
      </c>
      <c r="C869" t="s">
        <v>3066</v>
      </c>
      <c r="D869" t="s">
        <v>1957</v>
      </c>
      <c r="E869" t="s">
        <v>765</v>
      </c>
      <c r="G869" t="s">
        <v>1895</v>
      </c>
      <c r="H869" t="s">
        <v>1901</v>
      </c>
      <c r="I869" t="s">
        <v>1897</v>
      </c>
    </row>
    <row r="870" spans="1:9">
      <c r="A870" t="s">
        <v>3067</v>
      </c>
      <c r="B870" s="18">
        <v>2254078689</v>
      </c>
      <c r="C870" t="s">
        <v>3068</v>
      </c>
      <c r="D870" t="s">
        <v>2254</v>
      </c>
      <c r="E870" t="s">
        <v>760</v>
      </c>
      <c r="G870" t="s">
        <v>1895</v>
      </c>
      <c r="H870" t="s">
        <v>1908</v>
      </c>
      <c r="I870" t="s">
        <v>1897</v>
      </c>
    </row>
    <row r="871" spans="1:9">
      <c r="A871" t="s">
        <v>3069</v>
      </c>
      <c r="B871" s="18">
        <v>2254078677</v>
      </c>
      <c r="C871" t="s">
        <v>3070</v>
      </c>
      <c r="D871" t="s">
        <v>2865</v>
      </c>
      <c r="E871" t="s">
        <v>765</v>
      </c>
      <c r="G871" t="s">
        <v>1895</v>
      </c>
      <c r="H871" t="s">
        <v>1901</v>
      </c>
      <c r="I871" t="s">
        <v>1897</v>
      </c>
    </row>
    <row r="872" spans="1:9">
      <c r="A872" t="s">
        <v>3071</v>
      </c>
      <c r="B872" s="18">
        <v>2254078691</v>
      </c>
      <c r="C872" t="s">
        <v>3072</v>
      </c>
      <c r="D872" t="s">
        <v>3073</v>
      </c>
      <c r="E872" t="s">
        <v>765</v>
      </c>
      <c r="G872" t="s">
        <v>1895</v>
      </c>
      <c r="H872" t="s">
        <v>1901</v>
      </c>
      <c r="I872" t="s">
        <v>1897</v>
      </c>
    </row>
    <row r="873" spans="1:9">
      <c r="A873" t="s">
        <v>3074</v>
      </c>
      <c r="B873" s="18">
        <v>2254078693</v>
      </c>
      <c r="C873" t="s">
        <v>3075</v>
      </c>
      <c r="D873" t="s">
        <v>3076</v>
      </c>
      <c r="E873" t="s">
        <v>760</v>
      </c>
      <c r="G873" t="s">
        <v>1895</v>
      </c>
      <c r="H873" t="s">
        <v>1901</v>
      </c>
      <c r="I873" t="s">
        <v>1897</v>
      </c>
    </row>
    <row r="874" spans="1:9">
      <c r="A874" t="s">
        <v>3077</v>
      </c>
      <c r="B874" s="18">
        <v>2254078679</v>
      </c>
      <c r="C874" t="s">
        <v>3078</v>
      </c>
      <c r="D874" t="s">
        <v>3079</v>
      </c>
      <c r="E874" t="s">
        <v>765</v>
      </c>
      <c r="G874" t="s">
        <v>1895</v>
      </c>
      <c r="H874" t="s">
        <v>1908</v>
      </c>
      <c r="I874" t="s">
        <v>1897</v>
      </c>
    </row>
    <row r="875" spans="1:9">
      <c r="A875" t="s">
        <v>3080</v>
      </c>
      <c r="B875" s="18">
        <v>2254078681</v>
      </c>
      <c r="C875" t="s">
        <v>3081</v>
      </c>
      <c r="D875" t="s">
        <v>3082</v>
      </c>
      <c r="E875" t="s">
        <v>760</v>
      </c>
      <c r="H875" t="s">
        <v>1901</v>
      </c>
      <c r="I875" t="s">
        <v>1897</v>
      </c>
    </row>
    <row r="876" spans="1:9">
      <c r="A876" t="s">
        <v>3083</v>
      </c>
      <c r="B876" s="18">
        <v>2254078683</v>
      </c>
      <c r="C876" t="s">
        <v>3084</v>
      </c>
      <c r="D876" t="s">
        <v>3085</v>
      </c>
      <c r="E876" t="s">
        <v>760</v>
      </c>
      <c r="G876" t="s">
        <v>1895</v>
      </c>
      <c r="H876" t="s">
        <v>1901</v>
      </c>
      <c r="I876" t="s">
        <v>1897</v>
      </c>
    </row>
    <row r="877" spans="1:9">
      <c r="A877" t="s">
        <v>3086</v>
      </c>
      <c r="B877" s="18">
        <v>2254078695</v>
      </c>
      <c r="C877" t="s">
        <v>3087</v>
      </c>
      <c r="D877" t="s">
        <v>2042</v>
      </c>
      <c r="E877" t="s">
        <v>765</v>
      </c>
      <c r="G877" t="s">
        <v>1895</v>
      </c>
      <c r="H877" t="s">
        <v>1901</v>
      </c>
      <c r="I877" t="s">
        <v>1897</v>
      </c>
    </row>
    <row r="878" spans="1:9">
      <c r="A878" t="s">
        <v>3088</v>
      </c>
      <c r="B878" s="18">
        <v>2254078697</v>
      </c>
      <c r="C878" t="s">
        <v>3089</v>
      </c>
      <c r="D878" t="s">
        <v>1914</v>
      </c>
      <c r="E878" t="s">
        <v>760</v>
      </c>
      <c r="G878" t="s">
        <v>1895</v>
      </c>
      <c r="H878" t="s">
        <v>1901</v>
      </c>
      <c r="I878" t="s">
        <v>1897</v>
      </c>
    </row>
    <row r="879" spans="1:9">
      <c r="A879" t="s">
        <v>3090</v>
      </c>
      <c r="B879" s="18">
        <v>2254078701</v>
      </c>
      <c r="C879" t="s">
        <v>3091</v>
      </c>
      <c r="D879" t="s">
        <v>2331</v>
      </c>
      <c r="E879" t="s">
        <v>765</v>
      </c>
      <c r="G879" t="s">
        <v>1895</v>
      </c>
      <c r="H879" t="s">
        <v>1908</v>
      </c>
      <c r="I879" t="s">
        <v>1897</v>
      </c>
    </row>
    <row r="880" spans="1:9">
      <c r="A880" t="s">
        <v>3092</v>
      </c>
      <c r="B880" s="18">
        <v>2254078703</v>
      </c>
      <c r="C880" t="s">
        <v>3093</v>
      </c>
      <c r="D880" t="s">
        <v>2736</v>
      </c>
      <c r="E880" t="s">
        <v>765</v>
      </c>
      <c r="G880" t="s">
        <v>1895</v>
      </c>
      <c r="H880" t="s">
        <v>1896</v>
      </c>
      <c r="I880" t="s">
        <v>1897</v>
      </c>
    </row>
    <row r="881" spans="1:9">
      <c r="A881" t="s">
        <v>3094</v>
      </c>
      <c r="B881" s="18">
        <v>2254078705</v>
      </c>
      <c r="C881" t="s">
        <v>3095</v>
      </c>
      <c r="D881" t="s">
        <v>3096</v>
      </c>
      <c r="E881" t="s">
        <v>765</v>
      </c>
      <c r="G881" t="s">
        <v>1895</v>
      </c>
      <c r="H881" t="s">
        <v>1901</v>
      </c>
      <c r="I881" t="s">
        <v>1897</v>
      </c>
    </row>
    <row r="882" spans="1:9">
      <c r="A882" t="s">
        <v>3097</v>
      </c>
      <c r="B882" s="18">
        <v>2254078706</v>
      </c>
      <c r="C882" t="s">
        <v>3098</v>
      </c>
      <c r="D882" t="s">
        <v>3099</v>
      </c>
      <c r="E882" t="s">
        <v>765</v>
      </c>
      <c r="G882" t="s">
        <v>1895</v>
      </c>
      <c r="H882" t="s">
        <v>1901</v>
      </c>
      <c r="I882" t="s">
        <v>1897</v>
      </c>
    </row>
    <row r="883" spans="1:9">
      <c r="A883" t="s">
        <v>3100</v>
      </c>
      <c r="B883" s="18">
        <v>2254078707</v>
      </c>
      <c r="C883" t="s">
        <v>3101</v>
      </c>
      <c r="D883" t="s">
        <v>2277</v>
      </c>
      <c r="E883" t="s">
        <v>760</v>
      </c>
      <c r="G883" t="s">
        <v>1895</v>
      </c>
      <c r="H883" t="s">
        <v>1901</v>
      </c>
      <c r="I883" t="s">
        <v>1897</v>
      </c>
    </row>
    <row r="884" spans="1:9">
      <c r="A884" t="s">
        <v>3102</v>
      </c>
      <c r="B884" s="18">
        <v>2254078709</v>
      </c>
      <c r="C884" t="s">
        <v>3103</v>
      </c>
      <c r="D884" t="s">
        <v>2534</v>
      </c>
      <c r="E884" t="s">
        <v>765</v>
      </c>
      <c r="G884" t="s">
        <v>1895</v>
      </c>
      <c r="H884" t="s">
        <v>1908</v>
      </c>
      <c r="I884" t="s">
        <v>1897</v>
      </c>
    </row>
    <row r="885" spans="1:9">
      <c r="A885" t="s">
        <v>3104</v>
      </c>
      <c r="B885" s="18">
        <v>2254078711</v>
      </c>
      <c r="C885" t="s">
        <v>3105</v>
      </c>
      <c r="D885" t="s">
        <v>2277</v>
      </c>
      <c r="E885" t="s">
        <v>760</v>
      </c>
      <c r="G885" t="s">
        <v>1895</v>
      </c>
      <c r="H885" t="s">
        <v>1901</v>
      </c>
      <c r="I885" t="s">
        <v>1897</v>
      </c>
    </row>
    <row r="886" spans="1:9">
      <c r="A886" t="s">
        <v>3106</v>
      </c>
      <c r="B886" s="18">
        <v>2254078713</v>
      </c>
      <c r="C886" t="s">
        <v>3107</v>
      </c>
      <c r="D886" t="s">
        <v>2694</v>
      </c>
      <c r="E886" t="s">
        <v>765</v>
      </c>
      <c r="G886" t="s">
        <v>1895</v>
      </c>
      <c r="H886" t="s">
        <v>1901</v>
      </c>
      <c r="I886" t="s">
        <v>1897</v>
      </c>
    </row>
    <row r="887" spans="1:9">
      <c r="A887" t="s">
        <v>3108</v>
      </c>
      <c r="B887" s="18">
        <v>2254078715</v>
      </c>
      <c r="C887" t="s">
        <v>3109</v>
      </c>
      <c r="D887" t="s">
        <v>3110</v>
      </c>
      <c r="E887" t="s">
        <v>765</v>
      </c>
      <c r="G887" t="s">
        <v>1895</v>
      </c>
      <c r="H887" t="s">
        <v>1901</v>
      </c>
      <c r="I887" t="s">
        <v>1897</v>
      </c>
    </row>
    <row r="888" spans="1:9">
      <c r="A888" t="s">
        <v>3111</v>
      </c>
      <c r="B888" s="18">
        <v>2254078717</v>
      </c>
      <c r="C888" t="s">
        <v>3112</v>
      </c>
      <c r="D888" t="s">
        <v>2212</v>
      </c>
      <c r="E888" t="s">
        <v>765</v>
      </c>
      <c r="G888" t="s">
        <v>1895</v>
      </c>
      <c r="H888" t="s">
        <v>1901</v>
      </c>
      <c r="I888" t="s">
        <v>1897</v>
      </c>
    </row>
    <row r="889" spans="1:9">
      <c r="A889" t="s">
        <v>3113</v>
      </c>
      <c r="B889" s="18">
        <v>2254078721</v>
      </c>
      <c r="C889" t="s">
        <v>3114</v>
      </c>
      <c r="D889" t="s">
        <v>2271</v>
      </c>
      <c r="E889" t="s">
        <v>765</v>
      </c>
      <c r="G889" t="s">
        <v>1895</v>
      </c>
      <c r="H889" t="s">
        <v>1901</v>
      </c>
      <c r="I889" t="s">
        <v>1897</v>
      </c>
    </row>
    <row r="890" spans="1:9">
      <c r="A890" t="s">
        <v>3115</v>
      </c>
      <c r="B890" s="18">
        <v>2254078719</v>
      </c>
      <c r="C890" t="s">
        <v>3116</v>
      </c>
      <c r="D890" t="s">
        <v>1972</v>
      </c>
      <c r="E890" t="s">
        <v>765</v>
      </c>
      <c r="G890" t="s">
        <v>1895</v>
      </c>
      <c r="H890" t="s">
        <v>1896</v>
      </c>
      <c r="I890" t="s">
        <v>1897</v>
      </c>
    </row>
    <row r="891" spans="1:9">
      <c r="A891" t="s">
        <v>3117</v>
      </c>
      <c r="B891" s="18">
        <v>2254078723</v>
      </c>
      <c r="C891" t="s">
        <v>3118</v>
      </c>
      <c r="D891" t="s">
        <v>2062</v>
      </c>
      <c r="E891" t="s">
        <v>760</v>
      </c>
      <c r="G891" t="s">
        <v>1895</v>
      </c>
      <c r="H891" t="s">
        <v>1901</v>
      </c>
      <c r="I891" t="s">
        <v>1897</v>
      </c>
    </row>
    <row r="892" spans="1:9">
      <c r="A892" t="s">
        <v>3119</v>
      </c>
      <c r="B892" s="18">
        <v>2254078725</v>
      </c>
      <c r="C892" t="s">
        <v>2086</v>
      </c>
      <c r="D892" t="s">
        <v>3120</v>
      </c>
      <c r="E892" t="s">
        <v>760</v>
      </c>
      <c r="G892" t="s">
        <v>1895</v>
      </c>
      <c r="H892" t="s">
        <v>1901</v>
      </c>
      <c r="I892" t="s">
        <v>1897</v>
      </c>
    </row>
    <row r="893" spans="1:9">
      <c r="A893" t="s">
        <v>3121</v>
      </c>
      <c r="B893" s="18">
        <v>2254078731</v>
      </c>
      <c r="C893" t="s">
        <v>3122</v>
      </c>
      <c r="D893" t="s">
        <v>2331</v>
      </c>
      <c r="E893" t="s">
        <v>765</v>
      </c>
      <c r="G893" t="s">
        <v>1895</v>
      </c>
      <c r="H893" t="s">
        <v>1901</v>
      </c>
      <c r="I893" t="s">
        <v>1897</v>
      </c>
    </row>
    <row r="894" spans="1:9">
      <c r="A894" t="s">
        <v>3123</v>
      </c>
      <c r="B894" s="18">
        <v>2254078733</v>
      </c>
      <c r="C894" t="s">
        <v>3124</v>
      </c>
      <c r="D894" t="s">
        <v>2007</v>
      </c>
      <c r="E894" t="s">
        <v>765</v>
      </c>
      <c r="G894" t="s">
        <v>1895</v>
      </c>
      <c r="H894" t="s">
        <v>1901</v>
      </c>
      <c r="I894" t="s">
        <v>1897</v>
      </c>
    </row>
    <row r="895" spans="1:9">
      <c r="A895" t="s">
        <v>3125</v>
      </c>
      <c r="B895" s="18">
        <v>2254078735</v>
      </c>
      <c r="C895" t="s">
        <v>3126</v>
      </c>
      <c r="D895" t="s">
        <v>3127</v>
      </c>
      <c r="E895" t="s">
        <v>765</v>
      </c>
      <c r="G895" t="s">
        <v>1895</v>
      </c>
      <c r="H895" t="s">
        <v>1901</v>
      </c>
      <c r="I895" t="s">
        <v>1897</v>
      </c>
    </row>
    <row r="896" spans="1:9">
      <c r="A896" t="s">
        <v>3128</v>
      </c>
      <c r="B896" s="18">
        <v>2254078737</v>
      </c>
      <c r="C896" t="s">
        <v>3129</v>
      </c>
      <c r="D896" t="s">
        <v>3130</v>
      </c>
      <c r="E896" t="s">
        <v>765</v>
      </c>
      <c r="G896" t="s">
        <v>1895</v>
      </c>
      <c r="H896" t="s">
        <v>1901</v>
      </c>
      <c r="I896" t="s">
        <v>1897</v>
      </c>
    </row>
    <row r="897" spans="1:9">
      <c r="A897" t="s">
        <v>3131</v>
      </c>
      <c r="B897" s="18">
        <v>2254078739</v>
      </c>
      <c r="C897" t="s">
        <v>3132</v>
      </c>
      <c r="D897" t="s">
        <v>2694</v>
      </c>
      <c r="E897" t="s">
        <v>760</v>
      </c>
      <c r="G897" t="s">
        <v>1895</v>
      </c>
      <c r="H897" t="s">
        <v>1908</v>
      </c>
      <c r="I897" t="s">
        <v>1897</v>
      </c>
    </row>
    <row r="898" spans="1:9">
      <c r="A898" t="s">
        <v>3133</v>
      </c>
      <c r="B898" s="18">
        <v>2254078743</v>
      </c>
      <c r="C898" t="s">
        <v>3134</v>
      </c>
      <c r="D898" t="s">
        <v>2523</v>
      </c>
      <c r="E898" t="s">
        <v>760</v>
      </c>
      <c r="G898" t="s">
        <v>1895</v>
      </c>
      <c r="H898" t="s">
        <v>1901</v>
      </c>
      <c r="I898" t="s">
        <v>1897</v>
      </c>
    </row>
    <row r="899" spans="1:9">
      <c r="A899" t="s">
        <v>3135</v>
      </c>
      <c r="B899" s="18">
        <v>2254078745</v>
      </c>
      <c r="C899" t="s">
        <v>3136</v>
      </c>
      <c r="D899" t="s">
        <v>2767</v>
      </c>
      <c r="E899" t="s">
        <v>765</v>
      </c>
      <c r="G899" t="s">
        <v>1895</v>
      </c>
      <c r="H899" t="s">
        <v>1901</v>
      </c>
      <c r="I899" t="s">
        <v>1897</v>
      </c>
    </row>
    <row r="900" spans="1:9">
      <c r="A900" t="s">
        <v>3137</v>
      </c>
      <c r="B900" s="18">
        <v>2254078747</v>
      </c>
      <c r="C900" t="s">
        <v>3138</v>
      </c>
      <c r="D900" t="s">
        <v>2110</v>
      </c>
      <c r="E900" t="s">
        <v>760</v>
      </c>
      <c r="G900" t="s">
        <v>1895</v>
      </c>
      <c r="H900" t="s">
        <v>1896</v>
      </c>
      <c r="I900" t="s">
        <v>1897</v>
      </c>
    </row>
    <row r="901" spans="1:9">
      <c r="A901" t="s">
        <v>3139</v>
      </c>
      <c r="B901" s="18">
        <v>2254078749</v>
      </c>
      <c r="C901" t="s">
        <v>3140</v>
      </c>
      <c r="D901" t="s">
        <v>3141</v>
      </c>
      <c r="E901" t="s">
        <v>760</v>
      </c>
      <c r="I901" t="s">
        <v>1897</v>
      </c>
    </row>
    <row r="902" spans="1:9">
      <c r="A902" t="s">
        <v>3142</v>
      </c>
      <c r="B902" s="18">
        <v>2254078751</v>
      </c>
      <c r="C902" t="s">
        <v>3143</v>
      </c>
      <c r="D902" t="s">
        <v>2703</v>
      </c>
      <c r="E902" t="s">
        <v>765</v>
      </c>
      <c r="G902" t="s">
        <v>1895</v>
      </c>
      <c r="H902" t="s">
        <v>1901</v>
      </c>
      <c r="I902" t="s">
        <v>1897</v>
      </c>
    </row>
    <row r="903" spans="1:9">
      <c r="A903" t="s">
        <v>3144</v>
      </c>
      <c r="B903" s="18">
        <v>2254078753</v>
      </c>
      <c r="C903" t="s">
        <v>3145</v>
      </c>
      <c r="D903" t="s">
        <v>2068</v>
      </c>
      <c r="E903" t="s">
        <v>765</v>
      </c>
      <c r="G903" t="s">
        <v>1895</v>
      </c>
      <c r="H903" t="s">
        <v>1908</v>
      </c>
      <c r="I903" t="s">
        <v>1897</v>
      </c>
    </row>
    <row r="904" spans="1:9">
      <c r="A904" t="s">
        <v>3146</v>
      </c>
      <c r="B904" s="18">
        <v>2254078755</v>
      </c>
      <c r="C904" t="s">
        <v>3147</v>
      </c>
      <c r="D904" t="s">
        <v>1917</v>
      </c>
      <c r="E904" t="s">
        <v>765</v>
      </c>
      <c r="G904" t="s">
        <v>1895</v>
      </c>
      <c r="H904" t="s">
        <v>1901</v>
      </c>
      <c r="I904" t="s">
        <v>1897</v>
      </c>
    </row>
    <row r="905" spans="1:9">
      <c r="A905" t="s">
        <v>3148</v>
      </c>
      <c r="B905" s="18">
        <v>2254078757</v>
      </c>
      <c r="C905" t="s">
        <v>3149</v>
      </c>
      <c r="D905" t="s">
        <v>2131</v>
      </c>
      <c r="E905" t="s">
        <v>765</v>
      </c>
      <c r="G905" t="s">
        <v>1895</v>
      </c>
      <c r="H905" t="s">
        <v>1908</v>
      </c>
      <c r="I905" t="s">
        <v>1897</v>
      </c>
    </row>
    <row r="906" spans="1:9">
      <c r="A906" t="s">
        <v>3150</v>
      </c>
      <c r="B906" s="18">
        <v>2254078759</v>
      </c>
      <c r="C906" t="s">
        <v>3151</v>
      </c>
      <c r="D906" t="s">
        <v>2022</v>
      </c>
      <c r="E906" t="s">
        <v>765</v>
      </c>
      <c r="G906" t="s">
        <v>1895</v>
      </c>
      <c r="H906" t="s">
        <v>1901</v>
      </c>
      <c r="I906" t="s">
        <v>1897</v>
      </c>
    </row>
    <row r="907" spans="1:9">
      <c r="A907" t="s">
        <v>3152</v>
      </c>
      <c r="B907" s="18">
        <v>2254078761</v>
      </c>
      <c r="C907" t="s">
        <v>3153</v>
      </c>
      <c r="D907" t="s">
        <v>1932</v>
      </c>
      <c r="E907" t="s">
        <v>765</v>
      </c>
      <c r="I907" t="s">
        <v>1897</v>
      </c>
    </row>
    <row r="908" spans="1:9">
      <c r="A908" t="s">
        <v>3154</v>
      </c>
      <c r="B908" s="18">
        <v>2254078763</v>
      </c>
      <c r="C908" t="s">
        <v>3155</v>
      </c>
      <c r="D908" t="s">
        <v>2552</v>
      </c>
      <c r="E908" t="s">
        <v>765</v>
      </c>
      <c r="G908" t="s">
        <v>1895</v>
      </c>
      <c r="H908" t="s">
        <v>1901</v>
      </c>
      <c r="I908" t="s">
        <v>1897</v>
      </c>
    </row>
    <row r="909" spans="1:9">
      <c r="A909" t="s">
        <v>3156</v>
      </c>
      <c r="B909" s="18">
        <v>2254078765</v>
      </c>
      <c r="C909" t="s">
        <v>3157</v>
      </c>
      <c r="D909" t="s">
        <v>2515</v>
      </c>
      <c r="E909" t="s">
        <v>765</v>
      </c>
      <c r="G909" t="s">
        <v>1895</v>
      </c>
      <c r="H909" t="s">
        <v>1908</v>
      </c>
      <c r="I909" t="s">
        <v>1897</v>
      </c>
    </row>
    <row r="910" spans="1:9">
      <c r="A910" t="s">
        <v>3158</v>
      </c>
      <c r="B910" s="18">
        <v>2254078767</v>
      </c>
      <c r="C910" t="s">
        <v>3159</v>
      </c>
      <c r="D910" t="s">
        <v>2152</v>
      </c>
      <c r="E910" t="s">
        <v>765</v>
      </c>
      <c r="G910" t="s">
        <v>1895</v>
      </c>
      <c r="H910" t="s">
        <v>1901</v>
      </c>
      <c r="I910" t="s">
        <v>1897</v>
      </c>
    </row>
    <row r="911" spans="1:9">
      <c r="A911" t="s">
        <v>3160</v>
      </c>
      <c r="B911" s="18">
        <v>2254078769</v>
      </c>
      <c r="C911" t="s">
        <v>3161</v>
      </c>
      <c r="D911" t="s">
        <v>3162</v>
      </c>
      <c r="E911" t="s">
        <v>765</v>
      </c>
      <c r="G911" t="s">
        <v>1895</v>
      </c>
      <c r="H911" t="s">
        <v>1901</v>
      </c>
      <c r="I911" t="s">
        <v>1897</v>
      </c>
    </row>
    <row r="912" spans="1:9">
      <c r="A912" t="s">
        <v>3163</v>
      </c>
      <c r="B912" s="18">
        <v>2254078771</v>
      </c>
      <c r="C912" t="s">
        <v>3164</v>
      </c>
      <c r="D912" t="s">
        <v>3165</v>
      </c>
      <c r="E912" t="s">
        <v>765</v>
      </c>
      <c r="G912" t="s">
        <v>1895</v>
      </c>
      <c r="H912" t="s">
        <v>1901</v>
      </c>
      <c r="I912" t="s">
        <v>1897</v>
      </c>
    </row>
    <row r="913" spans="1:9">
      <c r="A913" t="s">
        <v>3166</v>
      </c>
      <c r="B913" s="18">
        <v>2254078773</v>
      </c>
      <c r="C913" t="s">
        <v>1965</v>
      </c>
      <c r="D913" t="s">
        <v>3167</v>
      </c>
      <c r="E913" t="s">
        <v>760</v>
      </c>
      <c r="G913" t="s">
        <v>1895</v>
      </c>
      <c r="H913" t="s">
        <v>1908</v>
      </c>
      <c r="I913" t="s">
        <v>1897</v>
      </c>
    </row>
    <row r="914" spans="1:9">
      <c r="A914" t="s">
        <v>3168</v>
      </c>
      <c r="B914" s="18">
        <v>2254078775</v>
      </c>
      <c r="C914" t="s">
        <v>3169</v>
      </c>
      <c r="D914" t="s">
        <v>2976</v>
      </c>
      <c r="E914" t="s">
        <v>760</v>
      </c>
      <c r="G914" t="s">
        <v>1895</v>
      </c>
      <c r="H914" t="s">
        <v>1901</v>
      </c>
      <c r="I914" t="s">
        <v>1897</v>
      </c>
    </row>
    <row r="915" spans="1:9">
      <c r="A915" t="s">
        <v>3170</v>
      </c>
      <c r="B915" s="18">
        <v>2254078777</v>
      </c>
      <c r="C915" t="s">
        <v>3171</v>
      </c>
      <c r="D915" t="s">
        <v>3076</v>
      </c>
      <c r="E915" t="s">
        <v>765</v>
      </c>
      <c r="G915" t="s">
        <v>1895</v>
      </c>
      <c r="H915" t="s">
        <v>1901</v>
      </c>
      <c r="I915" t="s">
        <v>1897</v>
      </c>
    </row>
    <row r="916" spans="1:9">
      <c r="A916" t="s">
        <v>3172</v>
      </c>
      <c r="B916" s="18">
        <v>2254078779</v>
      </c>
      <c r="C916" t="s">
        <v>3173</v>
      </c>
      <c r="D916" t="s">
        <v>1960</v>
      </c>
      <c r="E916" t="s">
        <v>765</v>
      </c>
      <c r="G916" t="s">
        <v>1895</v>
      </c>
      <c r="H916" t="s">
        <v>1901</v>
      </c>
      <c r="I916" t="s">
        <v>1897</v>
      </c>
    </row>
    <row r="917" spans="1:9">
      <c r="A917" t="s">
        <v>3174</v>
      </c>
      <c r="B917" s="18">
        <v>2254078781</v>
      </c>
      <c r="C917" t="s">
        <v>3175</v>
      </c>
      <c r="D917" t="s">
        <v>1998</v>
      </c>
      <c r="E917" t="s">
        <v>760</v>
      </c>
      <c r="I917" t="s">
        <v>1897</v>
      </c>
    </row>
    <row r="918" spans="1:9">
      <c r="A918" t="s">
        <v>3176</v>
      </c>
      <c r="B918" s="18">
        <v>2254078785</v>
      </c>
      <c r="C918" t="s">
        <v>3177</v>
      </c>
      <c r="D918" t="s">
        <v>3178</v>
      </c>
      <c r="E918" t="s">
        <v>765</v>
      </c>
      <c r="G918" t="s">
        <v>1895</v>
      </c>
      <c r="H918" t="s">
        <v>1901</v>
      </c>
      <c r="I918" t="s">
        <v>1897</v>
      </c>
    </row>
    <row r="919" spans="1:9">
      <c r="A919" t="s">
        <v>3179</v>
      </c>
      <c r="B919" s="18">
        <v>2254078787</v>
      </c>
      <c r="C919" t="s">
        <v>3180</v>
      </c>
      <c r="D919" t="s">
        <v>3127</v>
      </c>
      <c r="E919" t="s">
        <v>765</v>
      </c>
      <c r="G919" t="s">
        <v>1895</v>
      </c>
      <c r="H919" t="s">
        <v>1901</v>
      </c>
      <c r="I919" t="s">
        <v>1897</v>
      </c>
    </row>
    <row r="920" spans="1:9">
      <c r="A920" t="s">
        <v>3181</v>
      </c>
      <c r="B920" s="18">
        <v>2254078789</v>
      </c>
      <c r="C920" t="s">
        <v>3182</v>
      </c>
      <c r="D920" t="s">
        <v>2969</v>
      </c>
      <c r="E920" t="s">
        <v>765</v>
      </c>
      <c r="G920" t="s">
        <v>1895</v>
      </c>
      <c r="H920" t="s">
        <v>1901</v>
      </c>
      <c r="I920" t="s">
        <v>1897</v>
      </c>
    </row>
    <row r="921" spans="1:9">
      <c r="A921" t="s">
        <v>3183</v>
      </c>
      <c r="B921" s="18">
        <v>2254078791</v>
      </c>
      <c r="C921" t="s">
        <v>3184</v>
      </c>
      <c r="D921" t="s">
        <v>2209</v>
      </c>
      <c r="E921" t="s">
        <v>765</v>
      </c>
      <c r="G921" t="s">
        <v>1895</v>
      </c>
      <c r="H921" t="s">
        <v>1901</v>
      </c>
      <c r="I921" t="s">
        <v>1897</v>
      </c>
    </row>
    <row r="922" spans="1:9">
      <c r="A922" t="s">
        <v>3185</v>
      </c>
      <c r="B922" s="18">
        <v>2254078793</v>
      </c>
      <c r="C922" t="s">
        <v>3186</v>
      </c>
      <c r="D922" t="s">
        <v>2141</v>
      </c>
      <c r="E922" t="s">
        <v>760</v>
      </c>
      <c r="G922" t="s">
        <v>1895</v>
      </c>
      <c r="H922" t="s">
        <v>1901</v>
      </c>
      <c r="I922" t="s">
        <v>1897</v>
      </c>
    </row>
    <row r="923" spans="1:9">
      <c r="A923" t="s">
        <v>3187</v>
      </c>
      <c r="B923" s="18">
        <v>2254078797</v>
      </c>
      <c r="C923" t="s">
        <v>3188</v>
      </c>
      <c r="D923" t="s">
        <v>3189</v>
      </c>
      <c r="E923" t="s">
        <v>760</v>
      </c>
      <c r="G923" t="s">
        <v>1895</v>
      </c>
      <c r="H923" t="s">
        <v>1901</v>
      </c>
      <c r="I923" t="s">
        <v>1897</v>
      </c>
    </row>
    <row r="924" spans="1:9">
      <c r="A924" t="s">
        <v>3190</v>
      </c>
      <c r="B924" s="18">
        <v>2254078799</v>
      </c>
      <c r="C924" t="s">
        <v>3191</v>
      </c>
      <c r="D924" t="s">
        <v>2518</v>
      </c>
      <c r="E924" t="s">
        <v>765</v>
      </c>
      <c r="G924" t="s">
        <v>1895</v>
      </c>
      <c r="H924" t="s">
        <v>1901</v>
      </c>
      <c r="I924" t="s">
        <v>1897</v>
      </c>
    </row>
    <row r="925" spans="1:9">
      <c r="A925" t="s">
        <v>3192</v>
      </c>
      <c r="B925" s="18">
        <v>2254078801</v>
      </c>
      <c r="C925" t="s">
        <v>3193</v>
      </c>
      <c r="D925" t="s">
        <v>2641</v>
      </c>
      <c r="E925" t="s">
        <v>765</v>
      </c>
      <c r="G925" t="s">
        <v>1895</v>
      </c>
      <c r="H925" t="s">
        <v>1901</v>
      </c>
      <c r="I925" t="s">
        <v>1897</v>
      </c>
    </row>
    <row r="926" spans="1:9">
      <c r="A926" t="s">
        <v>3194</v>
      </c>
      <c r="B926" s="18">
        <v>2254078803</v>
      </c>
      <c r="C926" t="s">
        <v>3195</v>
      </c>
      <c r="D926" t="s">
        <v>2098</v>
      </c>
      <c r="E926" t="s">
        <v>765</v>
      </c>
      <c r="G926" t="s">
        <v>1895</v>
      </c>
      <c r="H926" t="s">
        <v>1896</v>
      </c>
      <c r="I926" t="s">
        <v>1897</v>
      </c>
    </row>
    <row r="927" spans="1:9">
      <c r="A927" t="s">
        <v>3196</v>
      </c>
      <c r="B927" s="18">
        <v>2254078805</v>
      </c>
      <c r="C927" t="s">
        <v>3197</v>
      </c>
      <c r="D927" t="s">
        <v>2686</v>
      </c>
      <c r="E927" t="s">
        <v>765</v>
      </c>
      <c r="I927" t="s">
        <v>1897</v>
      </c>
    </row>
    <row r="928" spans="1:9">
      <c r="A928" t="s">
        <v>3198</v>
      </c>
      <c r="B928" s="18">
        <v>2254078809</v>
      </c>
      <c r="C928" t="s">
        <v>3199</v>
      </c>
      <c r="D928" t="s">
        <v>2444</v>
      </c>
      <c r="E928" t="s">
        <v>765</v>
      </c>
      <c r="G928" t="s">
        <v>1895</v>
      </c>
      <c r="H928" t="s">
        <v>1901</v>
      </c>
      <c r="I928" t="s">
        <v>1897</v>
      </c>
    </row>
    <row r="929" spans="1:9">
      <c r="A929" t="s">
        <v>3200</v>
      </c>
      <c r="B929" s="18">
        <v>2254078813</v>
      </c>
      <c r="C929" t="s">
        <v>3201</v>
      </c>
      <c r="D929" t="s">
        <v>2131</v>
      </c>
      <c r="E929" t="s">
        <v>760</v>
      </c>
      <c r="G929" t="s">
        <v>1895</v>
      </c>
      <c r="H929" t="s">
        <v>1896</v>
      </c>
      <c r="I929" t="s">
        <v>1897</v>
      </c>
    </row>
    <row r="930" spans="1:9">
      <c r="A930" t="s">
        <v>3202</v>
      </c>
      <c r="B930" s="18">
        <v>2254078815</v>
      </c>
      <c r="C930" t="s">
        <v>3203</v>
      </c>
      <c r="D930" t="s">
        <v>1926</v>
      </c>
      <c r="E930" t="s">
        <v>760</v>
      </c>
      <c r="G930" t="s">
        <v>1895</v>
      </c>
      <c r="H930" t="s">
        <v>1901</v>
      </c>
      <c r="I930" t="s">
        <v>1897</v>
      </c>
    </row>
    <row r="931" spans="1:9">
      <c r="A931" t="s">
        <v>3204</v>
      </c>
      <c r="B931" s="18">
        <v>2254078821</v>
      </c>
      <c r="C931" t="s">
        <v>3205</v>
      </c>
      <c r="D931" t="s">
        <v>2549</v>
      </c>
      <c r="E931" t="s">
        <v>765</v>
      </c>
      <c r="G931" t="s">
        <v>1895</v>
      </c>
      <c r="H931" t="s">
        <v>1901</v>
      </c>
      <c r="I931" t="s">
        <v>1897</v>
      </c>
    </row>
    <row r="932" spans="1:9">
      <c r="A932" t="s">
        <v>3206</v>
      </c>
      <c r="B932" s="18">
        <v>2254078823</v>
      </c>
      <c r="C932" t="s">
        <v>3207</v>
      </c>
      <c r="D932" t="s">
        <v>3016</v>
      </c>
      <c r="E932" t="s">
        <v>765</v>
      </c>
      <c r="G932" t="s">
        <v>1895</v>
      </c>
      <c r="H932" t="s">
        <v>1901</v>
      </c>
      <c r="I932" t="s">
        <v>1897</v>
      </c>
    </row>
    <row r="933" spans="1:9">
      <c r="A933" t="s">
        <v>3208</v>
      </c>
      <c r="B933" s="18">
        <v>2254078817</v>
      </c>
      <c r="C933" t="s">
        <v>3026</v>
      </c>
      <c r="D933" t="s">
        <v>2358</v>
      </c>
      <c r="E933" t="s">
        <v>765</v>
      </c>
      <c r="G933" t="s">
        <v>1895</v>
      </c>
      <c r="H933" t="s">
        <v>1901</v>
      </c>
      <c r="I933" t="s">
        <v>1897</v>
      </c>
    </row>
    <row r="934" spans="1:9">
      <c r="A934" t="s">
        <v>3209</v>
      </c>
      <c r="B934" s="18">
        <v>2254078819</v>
      </c>
      <c r="C934" t="s">
        <v>3210</v>
      </c>
      <c r="D934" t="s">
        <v>2598</v>
      </c>
      <c r="E934" t="s">
        <v>765</v>
      </c>
      <c r="G934" t="s">
        <v>1895</v>
      </c>
      <c r="H934" t="s">
        <v>1896</v>
      </c>
      <c r="I934" t="s">
        <v>1897</v>
      </c>
    </row>
    <row r="935" spans="1:9">
      <c r="A935" t="s">
        <v>3211</v>
      </c>
      <c r="B935" s="18">
        <v>2254078825</v>
      </c>
      <c r="C935" t="s">
        <v>3212</v>
      </c>
      <c r="D935" t="s">
        <v>2025</v>
      </c>
      <c r="E935" t="s">
        <v>760</v>
      </c>
      <c r="G935" t="s">
        <v>1895</v>
      </c>
      <c r="H935" t="s">
        <v>1901</v>
      </c>
      <c r="I935" t="s">
        <v>1897</v>
      </c>
    </row>
    <row r="936" spans="1:9">
      <c r="A936" t="s">
        <v>3213</v>
      </c>
      <c r="B936" s="18">
        <v>2254078827</v>
      </c>
      <c r="C936" t="s">
        <v>3214</v>
      </c>
      <c r="D936" t="s">
        <v>3215</v>
      </c>
      <c r="E936" t="s">
        <v>765</v>
      </c>
      <c r="G936" t="s">
        <v>1895</v>
      </c>
      <c r="H936" t="s">
        <v>1901</v>
      </c>
      <c r="I936" t="s">
        <v>1897</v>
      </c>
    </row>
    <row r="937" spans="1:9">
      <c r="A937" t="s">
        <v>3216</v>
      </c>
      <c r="B937" s="18">
        <v>2254078828</v>
      </c>
      <c r="C937" t="s">
        <v>3217</v>
      </c>
      <c r="D937" t="s">
        <v>3218</v>
      </c>
      <c r="E937" t="s">
        <v>765</v>
      </c>
      <c r="H937" t="s">
        <v>1901</v>
      </c>
      <c r="I937" t="s">
        <v>1897</v>
      </c>
    </row>
    <row r="938" spans="1:9">
      <c r="A938" t="s">
        <v>3219</v>
      </c>
      <c r="B938" s="18">
        <v>2254078829</v>
      </c>
      <c r="C938" t="s">
        <v>3220</v>
      </c>
      <c r="D938" t="s">
        <v>2068</v>
      </c>
      <c r="E938" t="s">
        <v>765</v>
      </c>
      <c r="G938" t="s">
        <v>1895</v>
      </c>
      <c r="H938" t="s">
        <v>1901</v>
      </c>
      <c r="I938" t="s">
        <v>1897</v>
      </c>
    </row>
    <row r="939" spans="1:9">
      <c r="A939" t="s">
        <v>3221</v>
      </c>
      <c r="B939" s="18">
        <v>2254078831</v>
      </c>
      <c r="C939" t="s">
        <v>3222</v>
      </c>
      <c r="D939" t="s">
        <v>2263</v>
      </c>
      <c r="E939" t="s">
        <v>760</v>
      </c>
      <c r="G939" t="s">
        <v>1895</v>
      </c>
      <c r="H939" t="s">
        <v>1901</v>
      </c>
      <c r="I939" t="s">
        <v>1897</v>
      </c>
    </row>
    <row r="940" spans="1:9">
      <c r="A940" t="s">
        <v>3223</v>
      </c>
      <c r="B940" s="18">
        <v>2254078837</v>
      </c>
      <c r="C940" t="s">
        <v>3224</v>
      </c>
      <c r="D940" t="s">
        <v>2028</v>
      </c>
      <c r="E940" t="s">
        <v>760</v>
      </c>
      <c r="G940" t="s">
        <v>1895</v>
      </c>
      <c r="H940" t="s">
        <v>1908</v>
      </c>
      <c r="I940" t="s">
        <v>1897</v>
      </c>
    </row>
    <row r="941" spans="1:9">
      <c r="A941" t="s">
        <v>3225</v>
      </c>
      <c r="B941" s="18">
        <v>2254078835</v>
      </c>
      <c r="C941" t="s">
        <v>3226</v>
      </c>
      <c r="D941" t="s">
        <v>2715</v>
      </c>
      <c r="E941" t="s">
        <v>765</v>
      </c>
      <c r="G941" t="s">
        <v>1895</v>
      </c>
      <c r="H941" t="s">
        <v>1901</v>
      </c>
      <c r="I941" t="s">
        <v>1897</v>
      </c>
    </row>
    <row r="942" spans="1:9">
      <c r="A942" t="s">
        <v>3227</v>
      </c>
      <c r="B942" s="18">
        <v>2254078839</v>
      </c>
      <c r="C942" t="s">
        <v>3228</v>
      </c>
      <c r="D942" t="s">
        <v>2565</v>
      </c>
      <c r="E942" t="s">
        <v>765</v>
      </c>
      <c r="G942" t="s">
        <v>1895</v>
      </c>
      <c r="H942" t="s">
        <v>1908</v>
      </c>
      <c r="I942" t="s">
        <v>1897</v>
      </c>
    </row>
    <row r="943" spans="1:9">
      <c r="A943" t="s">
        <v>3229</v>
      </c>
      <c r="B943" s="18">
        <v>2254078841</v>
      </c>
      <c r="C943" t="s">
        <v>3230</v>
      </c>
      <c r="D943" t="s">
        <v>1944</v>
      </c>
      <c r="E943" t="s">
        <v>765</v>
      </c>
      <c r="G943" t="s">
        <v>1895</v>
      </c>
      <c r="H943" t="s">
        <v>1908</v>
      </c>
      <c r="I943" t="s">
        <v>1897</v>
      </c>
    </row>
    <row r="944" spans="1:9">
      <c r="A944" t="s">
        <v>3231</v>
      </c>
      <c r="B944" s="18">
        <v>2254078843</v>
      </c>
      <c r="C944" t="s">
        <v>3232</v>
      </c>
      <c r="D944" t="s">
        <v>3233</v>
      </c>
      <c r="E944" t="s">
        <v>765</v>
      </c>
      <c r="G944" t="s">
        <v>1895</v>
      </c>
      <c r="H944" t="s">
        <v>1901</v>
      </c>
      <c r="I944" t="s">
        <v>1897</v>
      </c>
    </row>
    <row r="945" spans="1:9">
      <c r="A945" t="s">
        <v>3234</v>
      </c>
      <c r="B945" s="18">
        <v>2254078845</v>
      </c>
      <c r="C945" t="s">
        <v>3235</v>
      </c>
      <c r="D945" t="s">
        <v>2650</v>
      </c>
      <c r="E945" t="s">
        <v>765</v>
      </c>
      <c r="G945" t="s">
        <v>1895</v>
      </c>
      <c r="H945" t="s">
        <v>1901</v>
      </c>
      <c r="I945" t="s">
        <v>1897</v>
      </c>
    </row>
    <row r="946" spans="1:9">
      <c r="A946" t="s">
        <v>3236</v>
      </c>
      <c r="B946" s="18">
        <v>2254078847</v>
      </c>
      <c r="C946" t="s">
        <v>3237</v>
      </c>
      <c r="D946" t="s">
        <v>3238</v>
      </c>
      <c r="E946" t="s">
        <v>765</v>
      </c>
      <c r="H946" t="s">
        <v>1896</v>
      </c>
      <c r="I946" t="s">
        <v>1897</v>
      </c>
    </row>
    <row r="947" spans="1:9">
      <c r="A947" t="s">
        <v>3239</v>
      </c>
      <c r="B947" s="18">
        <v>2254078849</v>
      </c>
      <c r="C947" t="s">
        <v>3240</v>
      </c>
      <c r="D947" t="s">
        <v>3241</v>
      </c>
      <c r="E947" t="s">
        <v>765</v>
      </c>
      <c r="H947" t="s">
        <v>1901</v>
      </c>
      <c r="I947" t="s">
        <v>1897</v>
      </c>
    </row>
    <row r="948" spans="1:9">
      <c r="A948" t="s">
        <v>3242</v>
      </c>
      <c r="B948" s="18">
        <v>2251018027</v>
      </c>
      <c r="C948" t="s">
        <v>3243</v>
      </c>
      <c r="D948" t="s">
        <v>2180</v>
      </c>
      <c r="E948" t="s">
        <v>760</v>
      </c>
      <c r="G948" t="s">
        <v>1895</v>
      </c>
      <c r="H948" t="s">
        <v>1901</v>
      </c>
      <c r="I948" t="s">
        <v>1897</v>
      </c>
    </row>
    <row r="949" spans="1:9">
      <c r="A949" t="s">
        <v>3244</v>
      </c>
      <c r="B949" s="18">
        <v>2251018032</v>
      </c>
      <c r="C949" t="s">
        <v>3245</v>
      </c>
      <c r="D949" t="s">
        <v>2361</v>
      </c>
      <c r="E949" t="s">
        <v>765</v>
      </c>
      <c r="G949" t="s">
        <v>1895</v>
      </c>
      <c r="H949" t="s">
        <v>1901</v>
      </c>
      <c r="I949" t="s">
        <v>1897</v>
      </c>
    </row>
    <row r="950" spans="1:9">
      <c r="A950" t="s">
        <v>3246</v>
      </c>
      <c r="B950" s="18">
        <v>2251018036</v>
      </c>
      <c r="C950" t="s">
        <v>3247</v>
      </c>
      <c r="D950" t="s">
        <v>2347</v>
      </c>
      <c r="E950" t="s">
        <v>765</v>
      </c>
      <c r="G950" t="s">
        <v>1895</v>
      </c>
      <c r="H950" t="s">
        <v>1901</v>
      </c>
      <c r="I950" t="s">
        <v>1897</v>
      </c>
    </row>
    <row r="951" spans="1:9">
      <c r="A951" t="s">
        <v>3248</v>
      </c>
      <c r="B951" s="18">
        <v>2251018047</v>
      </c>
      <c r="C951" t="s">
        <v>3249</v>
      </c>
      <c r="D951" t="s">
        <v>2286</v>
      </c>
      <c r="E951" t="s">
        <v>765</v>
      </c>
      <c r="G951" t="s">
        <v>1895</v>
      </c>
      <c r="H951" t="s">
        <v>1901</v>
      </c>
      <c r="I951" t="s">
        <v>1897</v>
      </c>
    </row>
    <row r="952" spans="1:9">
      <c r="A952" t="s">
        <v>3250</v>
      </c>
      <c r="B952" s="18">
        <v>2251018057</v>
      </c>
      <c r="C952" t="s">
        <v>3251</v>
      </c>
      <c r="D952" t="s">
        <v>2233</v>
      </c>
      <c r="E952" t="s">
        <v>765</v>
      </c>
      <c r="G952" t="s">
        <v>1895</v>
      </c>
      <c r="H952" t="s">
        <v>1901</v>
      </c>
      <c r="I952" t="s">
        <v>1897</v>
      </c>
    </row>
    <row r="953" spans="1:9">
      <c r="A953" t="s">
        <v>3252</v>
      </c>
      <c r="B953" s="18">
        <v>2252038340</v>
      </c>
      <c r="C953" t="s">
        <v>3253</v>
      </c>
      <c r="D953" t="s">
        <v>2004</v>
      </c>
      <c r="E953" t="s">
        <v>760</v>
      </c>
      <c r="G953" t="s">
        <v>1895</v>
      </c>
      <c r="H953" t="s">
        <v>1901</v>
      </c>
      <c r="I953" t="s">
        <v>1897</v>
      </c>
    </row>
    <row r="954" spans="1:9">
      <c r="A954" t="s">
        <v>3254</v>
      </c>
      <c r="B954" s="18">
        <v>2252038341</v>
      </c>
      <c r="C954" t="s">
        <v>3255</v>
      </c>
      <c r="D954" t="s">
        <v>2579</v>
      </c>
      <c r="E954" t="s">
        <v>765</v>
      </c>
      <c r="G954" t="s">
        <v>1895</v>
      </c>
      <c r="H954" t="s">
        <v>1901</v>
      </c>
      <c r="I954" t="s">
        <v>1897</v>
      </c>
    </row>
    <row r="955" spans="1:9">
      <c r="A955" t="s">
        <v>3256</v>
      </c>
      <c r="B955" s="18">
        <v>2252038343</v>
      </c>
      <c r="C955" t="s">
        <v>1841</v>
      </c>
      <c r="D955" t="s">
        <v>3257</v>
      </c>
      <c r="E955" t="s">
        <v>765</v>
      </c>
      <c r="G955" t="s">
        <v>1895</v>
      </c>
      <c r="H955" t="s">
        <v>1901</v>
      </c>
      <c r="I955" t="s">
        <v>1897</v>
      </c>
    </row>
    <row r="956" spans="1:9">
      <c r="A956" t="s">
        <v>3258</v>
      </c>
      <c r="B956" s="18">
        <v>2252038344</v>
      </c>
      <c r="C956" t="s">
        <v>3259</v>
      </c>
      <c r="D956" t="s">
        <v>3260</v>
      </c>
      <c r="E956" t="s">
        <v>765</v>
      </c>
      <c r="G956" t="s">
        <v>1895</v>
      </c>
      <c r="H956" t="s">
        <v>1896</v>
      </c>
      <c r="I956" t="s">
        <v>1897</v>
      </c>
    </row>
    <row r="957" spans="1:9">
      <c r="A957" t="s">
        <v>3261</v>
      </c>
      <c r="B957" s="18">
        <v>2252038345</v>
      </c>
      <c r="C957" t="s">
        <v>3262</v>
      </c>
      <c r="D957" t="s">
        <v>2686</v>
      </c>
      <c r="E957" t="s">
        <v>765</v>
      </c>
      <c r="G957" t="s">
        <v>1895</v>
      </c>
      <c r="H957" t="s">
        <v>1901</v>
      </c>
      <c r="I957" t="s">
        <v>1897</v>
      </c>
    </row>
    <row r="958" spans="1:9">
      <c r="A958" t="s">
        <v>3263</v>
      </c>
      <c r="B958" s="18">
        <v>2252038349</v>
      </c>
      <c r="C958" t="s">
        <v>3264</v>
      </c>
      <c r="D958" t="s">
        <v>2149</v>
      </c>
      <c r="E958" t="s">
        <v>765</v>
      </c>
      <c r="G958" t="s">
        <v>1895</v>
      </c>
      <c r="H958" t="s">
        <v>3265</v>
      </c>
      <c r="I958" t="s">
        <v>1897</v>
      </c>
    </row>
    <row r="959" spans="1:9">
      <c r="A959" t="s">
        <v>3266</v>
      </c>
      <c r="B959" s="18">
        <v>2252038347</v>
      </c>
      <c r="C959" t="s">
        <v>3267</v>
      </c>
      <c r="D959" t="s">
        <v>2358</v>
      </c>
      <c r="E959" t="s">
        <v>765</v>
      </c>
      <c r="G959" t="s">
        <v>1895</v>
      </c>
      <c r="H959" t="s">
        <v>1908</v>
      </c>
      <c r="I959" t="s">
        <v>1897</v>
      </c>
    </row>
    <row r="960" spans="1:9">
      <c r="A960" t="s">
        <v>3268</v>
      </c>
      <c r="B960" s="18">
        <v>2252038350</v>
      </c>
      <c r="C960" t="s">
        <v>3269</v>
      </c>
      <c r="D960" t="s">
        <v>2042</v>
      </c>
      <c r="E960" t="s">
        <v>760</v>
      </c>
      <c r="G960" t="s">
        <v>1895</v>
      </c>
      <c r="H960" t="s">
        <v>1908</v>
      </c>
      <c r="I960" t="s">
        <v>1897</v>
      </c>
    </row>
    <row r="961" spans="1:9">
      <c r="A961" t="s">
        <v>3270</v>
      </c>
      <c r="B961" s="18">
        <v>2252038348</v>
      </c>
      <c r="C961" t="s">
        <v>3271</v>
      </c>
      <c r="D961" t="s">
        <v>2498</v>
      </c>
      <c r="E961" t="s">
        <v>765</v>
      </c>
      <c r="G961" t="s">
        <v>1895</v>
      </c>
      <c r="H961" t="s">
        <v>1901</v>
      </c>
      <c r="I961" t="s">
        <v>1897</v>
      </c>
    </row>
    <row r="962" spans="1:9">
      <c r="A962" t="s">
        <v>3272</v>
      </c>
      <c r="B962" s="18">
        <v>2252038351</v>
      </c>
      <c r="C962" t="s">
        <v>3273</v>
      </c>
      <c r="D962" t="s">
        <v>2641</v>
      </c>
      <c r="E962" t="s">
        <v>765</v>
      </c>
      <c r="G962" t="s">
        <v>1895</v>
      </c>
      <c r="H962" t="s">
        <v>1896</v>
      </c>
      <c r="I962" t="s">
        <v>1897</v>
      </c>
    </row>
    <row r="963" spans="1:9">
      <c r="A963" t="s">
        <v>3274</v>
      </c>
      <c r="B963" s="18">
        <v>2252038353</v>
      </c>
      <c r="C963" t="s">
        <v>3275</v>
      </c>
      <c r="D963" t="s">
        <v>2930</v>
      </c>
      <c r="E963" t="s">
        <v>765</v>
      </c>
      <c r="G963" t="s">
        <v>1895</v>
      </c>
      <c r="H963" t="s">
        <v>1901</v>
      </c>
      <c r="I963" t="s">
        <v>1897</v>
      </c>
    </row>
    <row r="964" spans="1:9">
      <c r="A964" t="s">
        <v>3276</v>
      </c>
      <c r="B964" s="18">
        <v>2252038354</v>
      </c>
      <c r="C964" t="s">
        <v>3277</v>
      </c>
      <c r="D964" t="s">
        <v>2390</v>
      </c>
      <c r="E964" t="s">
        <v>765</v>
      </c>
      <c r="G964" t="s">
        <v>1895</v>
      </c>
      <c r="H964" t="s">
        <v>1901</v>
      </c>
      <c r="I964" t="s">
        <v>1897</v>
      </c>
    </row>
    <row r="965" spans="1:9">
      <c r="A965" t="s">
        <v>3278</v>
      </c>
      <c r="B965" s="18">
        <v>2252038355</v>
      </c>
      <c r="C965" t="s">
        <v>3279</v>
      </c>
      <c r="D965" t="s">
        <v>1987</v>
      </c>
      <c r="E965" t="s">
        <v>760</v>
      </c>
      <c r="G965" t="s">
        <v>1895</v>
      </c>
      <c r="H965" t="s">
        <v>1901</v>
      </c>
      <c r="I965" t="s">
        <v>1897</v>
      </c>
    </row>
    <row r="966" spans="1:9">
      <c r="A966" t="s">
        <v>3280</v>
      </c>
      <c r="B966" s="18">
        <v>2252038356</v>
      </c>
      <c r="C966" t="s">
        <v>3281</v>
      </c>
      <c r="D966" t="s">
        <v>3282</v>
      </c>
      <c r="E966" t="s">
        <v>760</v>
      </c>
      <c r="H966" t="s">
        <v>1901</v>
      </c>
      <c r="I966" t="s">
        <v>1897</v>
      </c>
    </row>
    <row r="967" spans="1:9">
      <c r="A967" t="s">
        <v>3283</v>
      </c>
      <c r="B967" s="18">
        <v>2252038358</v>
      </c>
      <c r="C967" t="s">
        <v>3284</v>
      </c>
      <c r="D967" t="s">
        <v>3285</v>
      </c>
      <c r="E967" t="s">
        <v>765</v>
      </c>
      <c r="G967" t="s">
        <v>1895</v>
      </c>
      <c r="H967" t="s">
        <v>1901</v>
      </c>
      <c r="I967" t="s">
        <v>1897</v>
      </c>
    </row>
    <row r="968" spans="1:9">
      <c r="A968" t="s">
        <v>3286</v>
      </c>
      <c r="B968" s="18">
        <v>2252038357</v>
      </c>
      <c r="C968" t="s">
        <v>3287</v>
      </c>
      <c r="D968" t="s">
        <v>2904</v>
      </c>
      <c r="E968" t="s">
        <v>765</v>
      </c>
      <c r="G968" t="s">
        <v>1895</v>
      </c>
      <c r="H968" t="s">
        <v>1901</v>
      </c>
      <c r="I968" t="s">
        <v>1897</v>
      </c>
    </row>
    <row r="969" spans="1:9">
      <c r="A969" t="s">
        <v>3288</v>
      </c>
      <c r="B969" s="18">
        <v>2252038359</v>
      </c>
      <c r="C969" t="s">
        <v>3289</v>
      </c>
      <c r="D969" t="s">
        <v>1914</v>
      </c>
      <c r="E969" t="s">
        <v>760</v>
      </c>
      <c r="G969" t="s">
        <v>1895</v>
      </c>
      <c r="H969" t="s">
        <v>1901</v>
      </c>
      <c r="I969" t="s">
        <v>1897</v>
      </c>
    </row>
    <row r="970" spans="1:9">
      <c r="A970" t="s">
        <v>3290</v>
      </c>
      <c r="B970" s="18">
        <v>2252038360</v>
      </c>
      <c r="C970" t="s">
        <v>3291</v>
      </c>
      <c r="D970" t="s">
        <v>2444</v>
      </c>
      <c r="E970" t="s">
        <v>760</v>
      </c>
      <c r="I970" t="s">
        <v>1897</v>
      </c>
    </row>
    <row r="971" spans="1:9">
      <c r="A971" t="s">
        <v>3292</v>
      </c>
      <c r="B971" s="18">
        <v>2252038363</v>
      </c>
      <c r="C971" t="s">
        <v>3293</v>
      </c>
      <c r="D971" t="s">
        <v>2387</v>
      </c>
      <c r="E971" t="s">
        <v>760</v>
      </c>
      <c r="G971" t="s">
        <v>1895</v>
      </c>
      <c r="H971" t="s">
        <v>1908</v>
      </c>
      <c r="I971" t="s">
        <v>1897</v>
      </c>
    </row>
    <row r="972" spans="1:9">
      <c r="A972" t="s">
        <v>3294</v>
      </c>
      <c r="B972" s="18">
        <v>2252038362</v>
      </c>
      <c r="C972" t="s">
        <v>3295</v>
      </c>
      <c r="D972" t="s">
        <v>2152</v>
      </c>
      <c r="E972" t="s">
        <v>765</v>
      </c>
      <c r="G972" t="s">
        <v>1895</v>
      </c>
      <c r="H972" t="s">
        <v>1908</v>
      </c>
      <c r="I972" t="s">
        <v>1897</v>
      </c>
    </row>
    <row r="973" spans="1:9">
      <c r="A973" t="s">
        <v>3296</v>
      </c>
      <c r="B973" s="18">
        <v>2252038364</v>
      </c>
      <c r="C973" t="s">
        <v>3297</v>
      </c>
      <c r="D973" t="s">
        <v>2177</v>
      </c>
      <c r="E973" t="s">
        <v>765</v>
      </c>
      <c r="G973" t="s">
        <v>1895</v>
      </c>
      <c r="H973" t="s">
        <v>1901</v>
      </c>
      <c r="I973" t="s">
        <v>1897</v>
      </c>
    </row>
    <row r="974" spans="1:9">
      <c r="A974" t="s">
        <v>3298</v>
      </c>
      <c r="B974" s="18">
        <v>2252038366</v>
      </c>
      <c r="C974" t="s">
        <v>3299</v>
      </c>
      <c r="D974" t="s">
        <v>2604</v>
      </c>
      <c r="E974" t="s">
        <v>765</v>
      </c>
      <c r="G974" t="s">
        <v>1895</v>
      </c>
      <c r="H974" t="s">
        <v>1901</v>
      </c>
      <c r="I974" t="s">
        <v>1897</v>
      </c>
    </row>
    <row r="975" spans="1:9">
      <c r="A975" t="s">
        <v>3300</v>
      </c>
      <c r="B975" s="18">
        <v>2252038365</v>
      </c>
      <c r="C975" t="s">
        <v>3301</v>
      </c>
      <c r="D975" t="s">
        <v>2116</v>
      </c>
      <c r="E975" t="s">
        <v>765</v>
      </c>
      <c r="G975" t="s">
        <v>1895</v>
      </c>
      <c r="H975" t="s">
        <v>1901</v>
      </c>
      <c r="I975" t="s">
        <v>1897</v>
      </c>
    </row>
    <row r="976" spans="1:9">
      <c r="A976" t="s">
        <v>3302</v>
      </c>
      <c r="B976" s="18">
        <v>2252038368</v>
      </c>
      <c r="C976" t="s">
        <v>3303</v>
      </c>
      <c r="D976" t="s">
        <v>2465</v>
      </c>
      <c r="E976" t="s">
        <v>760</v>
      </c>
      <c r="G976" t="s">
        <v>1895</v>
      </c>
      <c r="H976" t="s">
        <v>1908</v>
      </c>
      <c r="I976" t="s">
        <v>1897</v>
      </c>
    </row>
    <row r="977" spans="1:9">
      <c r="A977" t="s">
        <v>3304</v>
      </c>
      <c r="B977" s="18">
        <v>2252038369</v>
      </c>
      <c r="C977" t="s">
        <v>3305</v>
      </c>
      <c r="D977" t="s">
        <v>2459</v>
      </c>
      <c r="E977" t="s">
        <v>765</v>
      </c>
      <c r="G977" t="s">
        <v>1895</v>
      </c>
      <c r="H977" t="s">
        <v>1901</v>
      </c>
      <c r="I977" t="s">
        <v>1897</v>
      </c>
    </row>
    <row r="978" spans="1:9">
      <c r="A978" t="s">
        <v>3306</v>
      </c>
      <c r="B978" s="18">
        <v>2252038371</v>
      </c>
      <c r="C978" t="s">
        <v>3307</v>
      </c>
      <c r="D978" t="s">
        <v>2098</v>
      </c>
      <c r="E978" t="s">
        <v>760</v>
      </c>
      <c r="I978" t="s">
        <v>1897</v>
      </c>
    </row>
    <row r="979" spans="1:9">
      <c r="A979" t="s">
        <v>3308</v>
      </c>
      <c r="B979" s="18">
        <v>2252038372</v>
      </c>
      <c r="C979" t="s">
        <v>3309</v>
      </c>
      <c r="D979" t="s">
        <v>2283</v>
      </c>
      <c r="E979" t="s">
        <v>765</v>
      </c>
      <c r="G979" t="s">
        <v>1895</v>
      </c>
      <c r="H979" t="s">
        <v>1908</v>
      </c>
      <c r="I979" t="s">
        <v>1897</v>
      </c>
    </row>
    <row r="980" spans="1:9">
      <c r="A980" t="s">
        <v>3310</v>
      </c>
      <c r="B980" s="18">
        <v>2252038373</v>
      </c>
      <c r="C980" t="s">
        <v>473</v>
      </c>
      <c r="D980" t="s">
        <v>3311</v>
      </c>
      <c r="E980" t="s">
        <v>765</v>
      </c>
      <c r="G980" t="s">
        <v>1895</v>
      </c>
      <c r="H980" t="s">
        <v>1896</v>
      </c>
      <c r="I980" t="s">
        <v>1897</v>
      </c>
    </row>
    <row r="981" spans="1:9">
      <c r="A981" t="s">
        <v>3312</v>
      </c>
      <c r="B981" s="18">
        <v>2252038374</v>
      </c>
      <c r="C981" t="s">
        <v>3313</v>
      </c>
      <c r="D981" t="s">
        <v>3314</v>
      </c>
      <c r="E981" t="s">
        <v>765</v>
      </c>
      <c r="G981" t="s">
        <v>1895</v>
      </c>
      <c r="H981" t="s">
        <v>1901</v>
      </c>
      <c r="I981" t="s">
        <v>1897</v>
      </c>
    </row>
    <row r="982" spans="1:9">
      <c r="A982" t="s">
        <v>3315</v>
      </c>
      <c r="B982" s="18">
        <v>2252038375</v>
      </c>
      <c r="C982" t="s">
        <v>3316</v>
      </c>
      <c r="D982" t="s">
        <v>2122</v>
      </c>
      <c r="E982" t="s">
        <v>765</v>
      </c>
      <c r="G982" t="s">
        <v>1895</v>
      </c>
      <c r="H982" t="s">
        <v>1901</v>
      </c>
      <c r="I982" t="s">
        <v>1897</v>
      </c>
    </row>
    <row r="983" spans="1:9">
      <c r="A983" t="s">
        <v>3317</v>
      </c>
      <c r="B983" s="18">
        <v>2252038376</v>
      </c>
      <c r="C983" t="s">
        <v>3318</v>
      </c>
      <c r="D983" t="s">
        <v>2283</v>
      </c>
      <c r="E983" t="s">
        <v>765</v>
      </c>
      <c r="G983" t="s">
        <v>1895</v>
      </c>
      <c r="H983" t="s">
        <v>1908</v>
      </c>
      <c r="I983" t="s">
        <v>1897</v>
      </c>
    </row>
    <row r="984" spans="1:9">
      <c r="A984" t="s">
        <v>3319</v>
      </c>
      <c r="B984" s="18">
        <v>2252038378</v>
      </c>
      <c r="C984" t="s">
        <v>1540</v>
      </c>
      <c r="D984" t="s">
        <v>2956</v>
      </c>
      <c r="E984" t="s">
        <v>765</v>
      </c>
      <c r="G984" t="s">
        <v>1895</v>
      </c>
      <c r="H984" t="s">
        <v>1901</v>
      </c>
      <c r="I984" t="s">
        <v>1897</v>
      </c>
    </row>
    <row r="985" spans="1:9">
      <c r="A985" t="s">
        <v>3320</v>
      </c>
      <c r="B985" s="18">
        <v>2252038379</v>
      </c>
      <c r="C985" t="s">
        <v>3321</v>
      </c>
      <c r="D985" t="s">
        <v>2860</v>
      </c>
      <c r="E985" t="s">
        <v>765</v>
      </c>
      <c r="G985" t="s">
        <v>1895</v>
      </c>
      <c r="H985" t="s">
        <v>1901</v>
      </c>
      <c r="I985" t="s">
        <v>1897</v>
      </c>
    </row>
    <row r="986" spans="1:9">
      <c r="A986" t="s">
        <v>3322</v>
      </c>
      <c r="B986" s="18">
        <v>2252038381</v>
      </c>
      <c r="C986" t="s">
        <v>3323</v>
      </c>
      <c r="D986" t="s">
        <v>2138</v>
      </c>
      <c r="E986" t="s">
        <v>760</v>
      </c>
      <c r="G986" t="s">
        <v>1895</v>
      </c>
      <c r="H986" t="s">
        <v>1901</v>
      </c>
      <c r="I986" t="s">
        <v>1897</v>
      </c>
    </row>
    <row r="987" spans="1:9">
      <c r="A987" t="s">
        <v>3324</v>
      </c>
      <c r="B987" s="18">
        <v>2252038382</v>
      </c>
      <c r="C987" t="s">
        <v>3325</v>
      </c>
      <c r="D987" t="s">
        <v>2590</v>
      </c>
      <c r="E987" t="s">
        <v>760</v>
      </c>
      <c r="G987" t="s">
        <v>1895</v>
      </c>
      <c r="H987" t="s">
        <v>1901</v>
      </c>
      <c r="I987" t="s">
        <v>1897</v>
      </c>
    </row>
    <row r="988" spans="1:9">
      <c r="A988" t="s">
        <v>3326</v>
      </c>
      <c r="B988" s="18">
        <v>2252038383</v>
      </c>
      <c r="C988" t="s">
        <v>3327</v>
      </c>
      <c r="D988" t="s">
        <v>2155</v>
      </c>
      <c r="E988" t="s">
        <v>765</v>
      </c>
      <c r="G988" t="s">
        <v>1895</v>
      </c>
      <c r="H988" t="s">
        <v>1901</v>
      </c>
      <c r="I988" t="s">
        <v>1897</v>
      </c>
    </row>
    <row r="989" spans="1:9">
      <c r="A989" t="s">
        <v>3328</v>
      </c>
      <c r="B989" s="18">
        <v>2252038384</v>
      </c>
      <c r="C989" t="s">
        <v>3329</v>
      </c>
      <c r="D989" t="s">
        <v>2233</v>
      </c>
      <c r="E989" t="s">
        <v>760</v>
      </c>
      <c r="G989" t="s">
        <v>1895</v>
      </c>
      <c r="H989" t="s">
        <v>1908</v>
      </c>
      <c r="I989" t="s">
        <v>1897</v>
      </c>
    </row>
    <row r="990" spans="1:9">
      <c r="A990" t="s">
        <v>3330</v>
      </c>
      <c r="B990" s="18">
        <v>2252038385</v>
      </c>
      <c r="C990" t="s">
        <v>3331</v>
      </c>
      <c r="D990" t="s">
        <v>2976</v>
      </c>
      <c r="E990" t="s">
        <v>765</v>
      </c>
      <c r="G990" t="s">
        <v>1895</v>
      </c>
      <c r="H990" t="s">
        <v>1901</v>
      </c>
      <c r="I990" t="s">
        <v>1897</v>
      </c>
    </row>
    <row r="991" spans="1:9">
      <c r="A991" t="s">
        <v>3332</v>
      </c>
      <c r="B991" s="18">
        <v>2252038386</v>
      </c>
      <c r="C991" t="s">
        <v>3333</v>
      </c>
      <c r="D991" t="s">
        <v>2347</v>
      </c>
      <c r="E991" t="s">
        <v>765</v>
      </c>
      <c r="G991" t="s">
        <v>1895</v>
      </c>
      <c r="H991" t="s">
        <v>1908</v>
      </c>
      <c r="I991" t="s">
        <v>1897</v>
      </c>
    </row>
    <row r="992" spans="1:9">
      <c r="A992" t="s">
        <v>3334</v>
      </c>
      <c r="B992" s="18">
        <v>2252038387</v>
      </c>
      <c r="C992" t="s">
        <v>3180</v>
      </c>
      <c r="D992" t="s">
        <v>3079</v>
      </c>
      <c r="E992" t="s">
        <v>765</v>
      </c>
      <c r="G992" t="s">
        <v>1895</v>
      </c>
      <c r="H992" t="s">
        <v>1901</v>
      </c>
      <c r="I992" t="s">
        <v>1897</v>
      </c>
    </row>
    <row r="993" spans="1:9">
      <c r="A993" t="s">
        <v>3335</v>
      </c>
      <c r="B993" s="18">
        <v>2252038388</v>
      </c>
      <c r="C993" t="s">
        <v>3336</v>
      </c>
      <c r="D993" t="s">
        <v>3337</v>
      </c>
      <c r="E993" t="s">
        <v>765</v>
      </c>
      <c r="G993" t="s">
        <v>1895</v>
      </c>
      <c r="H993" t="s">
        <v>1901</v>
      </c>
      <c r="I993" t="s">
        <v>1897</v>
      </c>
    </row>
    <row r="994" spans="1:9">
      <c r="A994" t="s">
        <v>3338</v>
      </c>
      <c r="B994" s="18">
        <v>2252038389</v>
      </c>
      <c r="C994" t="s">
        <v>3339</v>
      </c>
      <c r="D994" t="s">
        <v>3340</v>
      </c>
      <c r="E994" t="s">
        <v>765</v>
      </c>
      <c r="G994" t="s">
        <v>1895</v>
      </c>
      <c r="H994" t="s">
        <v>1896</v>
      </c>
      <c r="I994" t="s">
        <v>1897</v>
      </c>
    </row>
    <row r="995" spans="1:9">
      <c r="A995" t="s">
        <v>3341</v>
      </c>
      <c r="B995" s="18">
        <v>2252038390</v>
      </c>
      <c r="C995" t="s">
        <v>3342</v>
      </c>
      <c r="D995" t="s">
        <v>1978</v>
      </c>
      <c r="E995" t="s">
        <v>765</v>
      </c>
      <c r="G995" t="s">
        <v>1895</v>
      </c>
      <c r="H995" t="s">
        <v>1896</v>
      </c>
      <c r="I995" t="s">
        <v>1897</v>
      </c>
    </row>
    <row r="996" spans="1:9">
      <c r="A996" t="s">
        <v>3343</v>
      </c>
      <c r="B996" s="18">
        <v>2252038391</v>
      </c>
      <c r="C996" t="s">
        <v>3344</v>
      </c>
      <c r="D996" t="s">
        <v>3127</v>
      </c>
      <c r="E996" t="s">
        <v>765</v>
      </c>
      <c r="G996" t="s">
        <v>1895</v>
      </c>
      <c r="H996" t="s">
        <v>1896</v>
      </c>
      <c r="I996" t="s">
        <v>1897</v>
      </c>
    </row>
    <row r="997" spans="1:9">
      <c r="A997" t="s">
        <v>3345</v>
      </c>
      <c r="B997" s="18">
        <v>2252038392</v>
      </c>
      <c r="C997" t="s">
        <v>3346</v>
      </c>
      <c r="D997" t="s">
        <v>2034</v>
      </c>
      <c r="E997" t="s">
        <v>760</v>
      </c>
      <c r="G997" t="s">
        <v>1895</v>
      </c>
      <c r="H997" t="s">
        <v>1901</v>
      </c>
      <c r="I997" t="s">
        <v>1897</v>
      </c>
    </row>
    <row r="998" spans="1:9">
      <c r="A998" t="s">
        <v>3347</v>
      </c>
      <c r="B998" s="18">
        <v>2252038394</v>
      </c>
      <c r="C998" t="s">
        <v>3348</v>
      </c>
      <c r="D998" t="s">
        <v>3349</v>
      </c>
      <c r="E998" t="s">
        <v>765</v>
      </c>
      <c r="I998" t="s">
        <v>1897</v>
      </c>
    </row>
    <row r="999" spans="1:9">
      <c r="A999" t="s">
        <v>3350</v>
      </c>
      <c r="B999" s="18">
        <v>2252038399</v>
      </c>
      <c r="C999" t="s">
        <v>3351</v>
      </c>
      <c r="D999" t="s">
        <v>2904</v>
      </c>
      <c r="E999" t="s">
        <v>765</v>
      </c>
      <c r="G999" t="s">
        <v>1895</v>
      </c>
      <c r="H999" t="s">
        <v>1896</v>
      </c>
      <c r="I999" t="s">
        <v>1897</v>
      </c>
    </row>
    <row r="1000" spans="1:9">
      <c r="A1000" t="s">
        <v>3352</v>
      </c>
      <c r="B1000" s="18">
        <v>2252038400</v>
      </c>
      <c r="C1000" t="s">
        <v>3353</v>
      </c>
      <c r="D1000" t="s">
        <v>3354</v>
      </c>
      <c r="E1000" t="s">
        <v>765</v>
      </c>
      <c r="G1000" t="s">
        <v>1895</v>
      </c>
      <c r="H1000" t="s">
        <v>1908</v>
      </c>
      <c r="I1000" t="s">
        <v>1897</v>
      </c>
    </row>
    <row r="1001" spans="1:9">
      <c r="A1001" t="s">
        <v>3355</v>
      </c>
      <c r="B1001" s="18">
        <v>2252038401</v>
      </c>
      <c r="C1001" t="s">
        <v>3356</v>
      </c>
      <c r="D1001" t="s">
        <v>2212</v>
      </c>
      <c r="E1001" t="s">
        <v>765</v>
      </c>
      <c r="G1001" t="s">
        <v>1895</v>
      </c>
      <c r="H1001" t="s">
        <v>1896</v>
      </c>
      <c r="I1001" t="s">
        <v>1897</v>
      </c>
    </row>
    <row r="1002" spans="1:9">
      <c r="A1002" t="s">
        <v>3357</v>
      </c>
      <c r="B1002" s="18">
        <v>2252038396</v>
      </c>
      <c r="C1002" t="s">
        <v>3358</v>
      </c>
      <c r="D1002" t="s">
        <v>2425</v>
      </c>
      <c r="E1002" t="s">
        <v>760</v>
      </c>
      <c r="G1002" t="s">
        <v>1895</v>
      </c>
      <c r="H1002" t="s">
        <v>1896</v>
      </c>
      <c r="I1002" t="s">
        <v>1897</v>
      </c>
    </row>
    <row r="1003" spans="1:9">
      <c r="A1003" t="s">
        <v>3359</v>
      </c>
      <c r="B1003" s="18">
        <v>2252038398</v>
      </c>
      <c r="C1003" t="s">
        <v>3360</v>
      </c>
      <c r="D1003" t="s">
        <v>2498</v>
      </c>
      <c r="E1003" t="s">
        <v>765</v>
      </c>
      <c r="G1003" t="s">
        <v>1895</v>
      </c>
      <c r="H1003" t="s">
        <v>1901</v>
      </c>
      <c r="I1003" t="s">
        <v>1897</v>
      </c>
    </row>
    <row r="1004" spans="1:9">
      <c r="A1004" t="s">
        <v>3361</v>
      </c>
      <c r="B1004" s="18">
        <v>2252038402</v>
      </c>
      <c r="C1004" t="s">
        <v>3362</v>
      </c>
      <c r="D1004" t="s">
        <v>3363</v>
      </c>
      <c r="E1004" t="s">
        <v>765</v>
      </c>
      <c r="G1004" t="s">
        <v>1895</v>
      </c>
      <c r="H1004" t="s">
        <v>1901</v>
      </c>
      <c r="I1004" t="s">
        <v>1897</v>
      </c>
    </row>
    <row r="1005" spans="1:9">
      <c r="A1005" t="s">
        <v>3364</v>
      </c>
      <c r="B1005" s="18">
        <v>2252038403</v>
      </c>
      <c r="C1005" t="s">
        <v>3365</v>
      </c>
      <c r="D1005" t="s">
        <v>3366</v>
      </c>
      <c r="E1005" t="s">
        <v>760</v>
      </c>
      <c r="G1005" t="s">
        <v>1895</v>
      </c>
      <c r="H1005" t="s">
        <v>1901</v>
      </c>
      <c r="I1005" t="s">
        <v>1897</v>
      </c>
    </row>
    <row r="1006" spans="1:9">
      <c r="A1006" t="s">
        <v>3367</v>
      </c>
      <c r="B1006" s="18">
        <v>2252038404</v>
      </c>
      <c r="C1006" t="s">
        <v>3368</v>
      </c>
      <c r="D1006" t="s">
        <v>3369</v>
      </c>
      <c r="E1006" t="s">
        <v>765</v>
      </c>
      <c r="G1006" t="s">
        <v>1895</v>
      </c>
      <c r="H1006" t="s">
        <v>1901</v>
      </c>
      <c r="I1006" t="s">
        <v>1897</v>
      </c>
    </row>
    <row r="1007" spans="1:9">
      <c r="A1007" t="s">
        <v>3370</v>
      </c>
      <c r="B1007" s="18">
        <v>2252038405</v>
      </c>
      <c r="C1007" t="s">
        <v>3371</v>
      </c>
      <c r="D1007" t="s">
        <v>2747</v>
      </c>
      <c r="E1007" t="s">
        <v>765</v>
      </c>
      <c r="G1007" t="s">
        <v>1895</v>
      </c>
      <c r="H1007" t="s">
        <v>1901</v>
      </c>
      <c r="I1007" t="s">
        <v>1897</v>
      </c>
    </row>
    <row r="1008" spans="1:9">
      <c r="A1008" t="s">
        <v>3372</v>
      </c>
      <c r="B1008" s="18">
        <v>2252038406</v>
      </c>
      <c r="C1008" t="s">
        <v>3373</v>
      </c>
      <c r="D1008" t="s">
        <v>2860</v>
      </c>
      <c r="E1008" t="s">
        <v>765</v>
      </c>
      <c r="G1008" t="s">
        <v>1895</v>
      </c>
      <c r="H1008" t="s">
        <v>1901</v>
      </c>
      <c r="I1008" t="s">
        <v>1897</v>
      </c>
    </row>
    <row r="1009" spans="1:9">
      <c r="A1009" t="s">
        <v>3374</v>
      </c>
      <c r="B1009" s="18">
        <v>2251118287</v>
      </c>
      <c r="C1009" t="s">
        <v>3375</v>
      </c>
      <c r="D1009" t="s">
        <v>2212</v>
      </c>
      <c r="E1009" t="s">
        <v>760</v>
      </c>
      <c r="G1009" t="s">
        <v>1895</v>
      </c>
      <c r="H1009" t="s">
        <v>1901</v>
      </c>
      <c r="I1009" t="s">
        <v>1897</v>
      </c>
    </row>
    <row r="1010" spans="1:9">
      <c r="A1010" t="s">
        <v>3376</v>
      </c>
      <c r="B1010" s="18">
        <v>2251118290</v>
      </c>
      <c r="C1010" t="s">
        <v>3377</v>
      </c>
      <c r="D1010" t="s">
        <v>3378</v>
      </c>
      <c r="E1010" t="s">
        <v>760</v>
      </c>
      <c r="I1010" t="s">
        <v>1897</v>
      </c>
    </row>
    <row r="1011" spans="1:9">
      <c r="A1011" t="s">
        <v>3379</v>
      </c>
      <c r="B1011" s="18">
        <v>2251118289</v>
      </c>
      <c r="C1011" t="s">
        <v>3380</v>
      </c>
      <c r="D1011" t="s">
        <v>2777</v>
      </c>
      <c r="E1011" t="s">
        <v>760</v>
      </c>
      <c r="G1011" t="s">
        <v>1895</v>
      </c>
      <c r="H1011" t="s">
        <v>1908</v>
      </c>
      <c r="I1011" t="s">
        <v>1897</v>
      </c>
    </row>
    <row r="1012" spans="1:9">
      <c r="A1012" t="s">
        <v>3381</v>
      </c>
      <c r="B1012" s="18">
        <v>2251118297</v>
      </c>
      <c r="C1012" t="s">
        <v>3382</v>
      </c>
      <c r="D1012" t="s">
        <v>2531</v>
      </c>
      <c r="E1012" t="s">
        <v>760</v>
      </c>
      <c r="G1012" t="s">
        <v>1895</v>
      </c>
      <c r="H1012" t="s">
        <v>1908</v>
      </c>
      <c r="I1012" t="s">
        <v>1897</v>
      </c>
    </row>
    <row r="1013" spans="1:9">
      <c r="A1013" t="s">
        <v>3383</v>
      </c>
      <c r="B1013" s="18">
        <v>2251118300</v>
      </c>
      <c r="C1013" t="s">
        <v>3384</v>
      </c>
      <c r="D1013" t="s">
        <v>1954</v>
      </c>
      <c r="E1013" t="s">
        <v>760</v>
      </c>
      <c r="G1013" t="s">
        <v>1895</v>
      </c>
      <c r="H1013" t="s">
        <v>1896</v>
      </c>
      <c r="I1013" t="s">
        <v>1897</v>
      </c>
    </row>
    <row r="1014" spans="1:9">
      <c r="A1014" t="s">
        <v>3385</v>
      </c>
      <c r="B1014" s="18">
        <v>2251118302</v>
      </c>
      <c r="C1014" t="s">
        <v>3386</v>
      </c>
      <c r="D1014" t="s">
        <v>3387</v>
      </c>
      <c r="E1014" t="s">
        <v>760</v>
      </c>
      <c r="G1014" t="s">
        <v>1895</v>
      </c>
      <c r="H1014" t="s">
        <v>1901</v>
      </c>
      <c r="I1014" t="s">
        <v>1897</v>
      </c>
    </row>
    <row r="1015" spans="1:9">
      <c r="A1015" t="s">
        <v>3388</v>
      </c>
      <c r="B1015" s="18">
        <v>2251118306</v>
      </c>
      <c r="C1015" t="s">
        <v>3389</v>
      </c>
      <c r="D1015" t="s">
        <v>2248</v>
      </c>
      <c r="E1015" t="s">
        <v>760</v>
      </c>
      <c r="G1015" t="s">
        <v>1895</v>
      </c>
      <c r="H1015" t="s">
        <v>1901</v>
      </c>
      <c r="I1015" t="s">
        <v>1897</v>
      </c>
    </row>
    <row r="1016" spans="1:9">
      <c r="A1016" t="s">
        <v>3390</v>
      </c>
      <c r="B1016" s="18">
        <v>2251118307</v>
      </c>
      <c r="C1016" t="s">
        <v>3391</v>
      </c>
      <c r="D1016" t="s">
        <v>3392</v>
      </c>
      <c r="E1016" t="s">
        <v>760</v>
      </c>
      <c r="G1016" t="s">
        <v>1895</v>
      </c>
      <c r="H1016" t="s">
        <v>1901</v>
      </c>
      <c r="I1016" t="s">
        <v>1897</v>
      </c>
    </row>
    <row r="1017" spans="1:9">
      <c r="A1017" t="s">
        <v>3393</v>
      </c>
      <c r="B1017" s="18">
        <v>2251118308</v>
      </c>
      <c r="C1017" t="s">
        <v>3394</v>
      </c>
      <c r="D1017" t="s">
        <v>2988</v>
      </c>
      <c r="E1017" t="s">
        <v>760</v>
      </c>
      <c r="G1017" t="s">
        <v>1895</v>
      </c>
      <c r="H1017" t="s">
        <v>1901</v>
      </c>
      <c r="I1017" t="s">
        <v>1897</v>
      </c>
    </row>
    <row r="1018" spans="1:9">
      <c r="A1018" t="s">
        <v>3395</v>
      </c>
      <c r="B1018" s="18">
        <v>2251118309</v>
      </c>
      <c r="C1018" t="s">
        <v>3396</v>
      </c>
      <c r="D1018" t="s">
        <v>2512</v>
      </c>
      <c r="E1018" t="s">
        <v>760</v>
      </c>
      <c r="G1018" t="s">
        <v>1895</v>
      </c>
      <c r="H1018" t="s">
        <v>1901</v>
      </c>
      <c r="I1018" t="s">
        <v>1897</v>
      </c>
    </row>
    <row r="1019" spans="1:9">
      <c r="A1019" t="s">
        <v>3397</v>
      </c>
      <c r="B1019" s="18">
        <v>2251118313</v>
      </c>
      <c r="C1019" t="s">
        <v>833</v>
      </c>
      <c r="D1019" t="s">
        <v>3127</v>
      </c>
      <c r="E1019" t="s">
        <v>760</v>
      </c>
      <c r="G1019" t="s">
        <v>1895</v>
      </c>
      <c r="H1019" t="s">
        <v>1901</v>
      </c>
      <c r="I1019" t="s">
        <v>1897</v>
      </c>
    </row>
    <row r="1020" spans="1:9">
      <c r="A1020" t="s">
        <v>3398</v>
      </c>
      <c r="B1020" s="18">
        <v>2251118315</v>
      </c>
      <c r="C1020" t="s">
        <v>477</v>
      </c>
      <c r="D1020" t="s">
        <v>2786</v>
      </c>
      <c r="E1020" t="s">
        <v>760</v>
      </c>
      <c r="G1020" t="s">
        <v>1895</v>
      </c>
      <c r="H1020" t="s">
        <v>1901</v>
      </c>
      <c r="I1020" t="s">
        <v>1897</v>
      </c>
    </row>
    <row r="1021" spans="1:9">
      <c r="A1021" t="s">
        <v>3399</v>
      </c>
      <c r="B1021" s="18">
        <v>2251118316</v>
      </c>
      <c r="C1021" t="s">
        <v>3400</v>
      </c>
      <c r="D1021" t="s">
        <v>2561</v>
      </c>
      <c r="E1021" t="s">
        <v>765</v>
      </c>
      <c r="G1021" t="s">
        <v>1895</v>
      </c>
      <c r="H1021" t="s">
        <v>1901</v>
      </c>
      <c r="I1021" t="s">
        <v>1897</v>
      </c>
    </row>
    <row r="1022" spans="1:9">
      <c r="A1022" t="s">
        <v>3401</v>
      </c>
      <c r="B1022" s="18">
        <v>2251118317</v>
      </c>
      <c r="C1022" t="s">
        <v>3402</v>
      </c>
      <c r="D1022" t="s">
        <v>3403</v>
      </c>
      <c r="E1022" t="s">
        <v>760</v>
      </c>
      <c r="G1022" t="s">
        <v>1895</v>
      </c>
      <c r="H1022" t="s">
        <v>1901</v>
      </c>
      <c r="I1022" t="s">
        <v>1897</v>
      </c>
    </row>
    <row r="1023" spans="1:9">
      <c r="A1023" t="s">
        <v>3404</v>
      </c>
      <c r="B1023" s="18">
        <v>2251118318</v>
      </c>
      <c r="C1023" t="s">
        <v>3405</v>
      </c>
      <c r="D1023" t="s">
        <v>2610</v>
      </c>
      <c r="E1023" t="s">
        <v>760</v>
      </c>
      <c r="G1023" t="s">
        <v>1895</v>
      </c>
      <c r="H1023" t="s">
        <v>1901</v>
      </c>
      <c r="I1023" t="s">
        <v>1897</v>
      </c>
    </row>
    <row r="1024" spans="1:9">
      <c r="A1024" t="s">
        <v>3406</v>
      </c>
      <c r="B1024" s="18">
        <v>2251118319</v>
      </c>
      <c r="C1024" t="s">
        <v>3407</v>
      </c>
      <c r="D1024" t="s">
        <v>3408</v>
      </c>
      <c r="E1024" t="s">
        <v>760</v>
      </c>
      <c r="G1024" t="s">
        <v>1895</v>
      </c>
      <c r="H1024" t="s">
        <v>1901</v>
      </c>
      <c r="I1024" t="s">
        <v>1897</v>
      </c>
    </row>
    <row r="1025" spans="1:9">
      <c r="A1025" t="s">
        <v>3409</v>
      </c>
      <c r="B1025" s="18">
        <v>2251118320</v>
      </c>
      <c r="C1025" t="s">
        <v>3410</v>
      </c>
      <c r="D1025" t="s">
        <v>2146</v>
      </c>
      <c r="E1025" t="s">
        <v>760</v>
      </c>
      <c r="G1025" t="s">
        <v>1895</v>
      </c>
      <c r="H1025" t="s">
        <v>1901</v>
      </c>
      <c r="I1025" t="s">
        <v>1897</v>
      </c>
    </row>
    <row r="1026" spans="1:9">
      <c r="A1026" t="s">
        <v>3411</v>
      </c>
      <c r="B1026" s="18">
        <v>2251118322</v>
      </c>
      <c r="C1026" t="s">
        <v>3412</v>
      </c>
      <c r="D1026" t="s">
        <v>3354</v>
      </c>
      <c r="E1026" t="s">
        <v>765</v>
      </c>
      <c r="G1026" t="s">
        <v>1895</v>
      </c>
      <c r="H1026" t="s">
        <v>1901</v>
      </c>
      <c r="I1026" t="s">
        <v>1897</v>
      </c>
    </row>
    <row r="1027" spans="1:9">
      <c r="A1027" t="s">
        <v>3413</v>
      </c>
      <c r="B1027" s="18">
        <v>2251118325</v>
      </c>
      <c r="C1027" t="s">
        <v>3414</v>
      </c>
      <c r="D1027" t="s">
        <v>3415</v>
      </c>
      <c r="E1027" t="s">
        <v>760</v>
      </c>
      <c r="G1027" t="s">
        <v>1895</v>
      </c>
      <c r="H1027" t="s">
        <v>1901</v>
      </c>
      <c r="I1027" t="s">
        <v>1897</v>
      </c>
    </row>
    <row r="1028" spans="1:9">
      <c r="A1028" t="s">
        <v>3416</v>
      </c>
      <c r="B1028" s="18">
        <v>2251118333</v>
      </c>
      <c r="C1028" t="s">
        <v>3417</v>
      </c>
      <c r="D1028" t="s">
        <v>2146</v>
      </c>
      <c r="E1028" t="s">
        <v>760</v>
      </c>
      <c r="G1028" t="s">
        <v>1895</v>
      </c>
      <c r="H1028" t="s">
        <v>1896</v>
      </c>
      <c r="I1028" t="s">
        <v>1897</v>
      </c>
    </row>
    <row r="1029" spans="1:9">
      <c r="A1029" t="s">
        <v>3418</v>
      </c>
      <c r="B1029" s="18">
        <v>2254028407</v>
      </c>
      <c r="C1029" t="s">
        <v>3419</v>
      </c>
      <c r="D1029" t="s">
        <v>3420</v>
      </c>
      <c r="E1029" t="s">
        <v>760</v>
      </c>
      <c r="G1029" t="s">
        <v>1895</v>
      </c>
      <c r="H1029" t="s">
        <v>1901</v>
      </c>
      <c r="I1029" t="s">
        <v>1897</v>
      </c>
    </row>
    <row r="1030" spans="1:9">
      <c r="A1030" t="s">
        <v>3421</v>
      </c>
      <c r="B1030" s="18">
        <v>2254028409</v>
      </c>
      <c r="C1030" t="s">
        <v>3422</v>
      </c>
      <c r="D1030" t="s">
        <v>2141</v>
      </c>
      <c r="E1030" t="s">
        <v>765</v>
      </c>
      <c r="G1030" t="s">
        <v>1895</v>
      </c>
      <c r="H1030" t="s">
        <v>1901</v>
      </c>
      <c r="I1030" t="s">
        <v>1897</v>
      </c>
    </row>
    <row r="1031" spans="1:9">
      <c r="A1031" t="s">
        <v>3423</v>
      </c>
      <c r="B1031" s="18">
        <v>2254028410</v>
      </c>
      <c r="C1031" t="s">
        <v>3424</v>
      </c>
      <c r="D1031" t="s">
        <v>3233</v>
      </c>
      <c r="E1031" t="s">
        <v>765</v>
      </c>
      <c r="G1031" t="s">
        <v>1895</v>
      </c>
      <c r="H1031" t="s">
        <v>1908</v>
      </c>
      <c r="I1031" t="s">
        <v>1897</v>
      </c>
    </row>
    <row r="1032" spans="1:9">
      <c r="A1032" t="s">
        <v>3425</v>
      </c>
      <c r="B1032" s="18">
        <v>2254028411</v>
      </c>
      <c r="C1032" t="s">
        <v>3426</v>
      </c>
      <c r="D1032" t="s">
        <v>1926</v>
      </c>
      <c r="E1032" t="s">
        <v>760</v>
      </c>
      <c r="G1032" t="s">
        <v>1895</v>
      </c>
      <c r="H1032" t="s">
        <v>1901</v>
      </c>
      <c r="I1032" t="s">
        <v>1897</v>
      </c>
    </row>
    <row r="1033" spans="1:9">
      <c r="A1033" t="s">
        <v>3427</v>
      </c>
      <c r="B1033" s="18">
        <v>2254028412</v>
      </c>
      <c r="C1033" t="s">
        <v>3428</v>
      </c>
      <c r="D1033" t="s">
        <v>2764</v>
      </c>
      <c r="E1033" t="s">
        <v>765</v>
      </c>
      <c r="G1033" t="s">
        <v>1895</v>
      </c>
      <c r="H1033" t="s">
        <v>1896</v>
      </c>
      <c r="I1033" t="s">
        <v>1897</v>
      </c>
    </row>
    <row r="1034" spans="1:9">
      <c r="A1034" t="s">
        <v>3429</v>
      </c>
      <c r="B1034" s="18">
        <v>2254028419</v>
      </c>
      <c r="C1034" t="s">
        <v>3430</v>
      </c>
      <c r="D1034" t="s">
        <v>2515</v>
      </c>
      <c r="E1034" t="s">
        <v>760</v>
      </c>
      <c r="G1034" t="s">
        <v>1895</v>
      </c>
      <c r="H1034" t="s">
        <v>1901</v>
      </c>
      <c r="I1034" t="s">
        <v>1897</v>
      </c>
    </row>
    <row r="1035" spans="1:9">
      <c r="A1035" t="s">
        <v>3431</v>
      </c>
      <c r="B1035" s="18">
        <v>2254028413</v>
      </c>
      <c r="C1035" t="s">
        <v>3432</v>
      </c>
      <c r="D1035" t="s">
        <v>3433</v>
      </c>
      <c r="E1035" t="s">
        <v>765</v>
      </c>
      <c r="H1035" t="s">
        <v>1901</v>
      </c>
      <c r="I1035" t="s">
        <v>1897</v>
      </c>
    </row>
    <row r="1036" spans="1:9">
      <c r="A1036" t="s">
        <v>3434</v>
      </c>
      <c r="B1036" s="18">
        <v>2254028415</v>
      </c>
      <c r="C1036" t="s">
        <v>3435</v>
      </c>
      <c r="D1036" t="s">
        <v>3436</v>
      </c>
      <c r="E1036" t="s">
        <v>760</v>
      </c>
      <c r="G1036" t="s">
        <v>1895</v>
      </c>
      <c r="H1036" t="s">
        <v>1901</v>
      </c>
      <c r="I1036" t="s">
        <v>1897</v>
      </c>
    </row>
    <row r="1037" spans="1:9">
      <c r="A1037" t="s">
        <v>3437</v>
      </c>
      <c r="B1037" s="18">
        <v>2254028416</v>
      </c>
      <c r="C1037" t="s">
        <v>1735</v>
      </c>
      <c r="D1037" t="s">
        <v>3438</v>
      </c>
      <c r="E1037" t="s">
        <v>765</v>
      </c>
      <c r="G1037" t="s">
        <v>1895</v>
      </c>
      <c r="H1037" t="s">
        <v>1901</v>
      </c>
      <c r="I1037" t="s">
        <v>1897</v>
      </c>
    </row>
    <row r="1038" spans="1:9">
      <c r="A1038" t="s">
        <v>3439</v>
      </c>
      <c r="B1038" s="18">
        <v>2254028417</v>
      </c>
      <c r="C1038" t="s">
        <v>3440</v>
      </c>
      <c r="D1038" t="s">
        <v>3441</v>
      </c>
      <c r="E1038" t="s">
        <v>760</v>
      </c>
      <c r="G1038" t="s">
        <v>1895</v>
      </c>
      <c r="H1038" t="s">
        <v>1901</v>
      </c>
      <c r="I1038" t="s">
        <v>1897</v>
      </c>
    </row>
    <row r="1039" spans="1:9">
      <c r="A1039" t="s">
        <v>3442</v>
      </c>
      <c r="B1039" s="18">
        <v>2254028418</v>
      </c>
      <c r="C1039" t="s">
        <v>3443</v>
      </c>
      <c r="D1039" t="s">
        <v>1957</v>
      </c>
      <c r="E1039" t="s">
        <v>760</v>
      </c>
      <c r="G1039" t="s">
        <v>1895</v>
      </c>
      <c r="H1039" t="s">
        <v>1901</v>
      </c>
      <c r="I1039" t="s">
        <v>1897</v>
      </c>
    </row>
    <row r="1040" spans="1:9">
      <c r="A1040" t="s">
        <v>3444</v>
      </c>
      <c r="B1040" s="18">
        <v>2254028421</v>
      </c>
      <c r="C1040" t="s">
        <v>3445</v>
      </c>
      <c r="D1040" t="s">
        <v>2925</v>
      </c>
      <c r="E1040" t="s">
        <v>765</v>
      </c>
      <c r="G1040" t="s">
        <v>1895</v>
      </c>
      <c r="H1040" t="s">
        <v>1901</v>
      </c>
      <c r="I1040" t="s">
        <v>1897</v>
      </c>
    </row>
    <row r="1041" spans="1:9">
      <c r="A1041" t="s">
        <v>3446</v>
      </c>
      <c r="B1041" s="18">
        <v>2254028422</v>
      </c>
      <c r="C1041" t="s">
        <v>3447</v>
      </c>
      <c r="D1041" t="s">
        <v>2806</v>
      </c>
      <c r="E1041" t="s">
        <v>765</v>
      </c>
      <c r="G1041" t="s">
        <v>1895</v>
      </c>
      <c r="H1041" t="s">
        <v>1901</v>
      </c>
      <c r="I1041" t="s">
        <v>1897</v>
      </c>
    </row>
    <row r="1042" spans="1:9">
      <c r="A1042" t="s">
        <v>3448</v>
      </c>
      <c r="B1042" s="18">
        <v>2254028423</v>
      </c>
      <c r="C1042" t="s">
        <v>3449</v>
      </c>
      <c r="D1042" t="s">
        <v>3450</v>
      </c>
      <c r="E1042" t="s">
        <v>765</v>
      </c>
      <c r="G1042" t="s">
        <v>1895</v>
      </c>
      <c r="H1042" t="s">
        <v>1901</v>
      </c>
      <c r="I1042" t="s">
        <v>1897</v>
      </c>
    </row>
    <row r="1043" spans="1:9">
      <c r="A1043" t="s">
        <v>3451</v>
      </c>
      <c r="B1043" s="18">
        <v>2254028424</v>
      </c>
      <c r="C1043" t="s">
        <v>3452</v>
      </c>
      <c r="D1043" t="s">
        <v>2048</v>
      </c>
      <c r="E1043" t="s">
        <v>765</v>
      </c>
      <c r="G1043" t="s">
        <v>1895</v>
      </c>
      <c r="H1043" t="s">
        <v>1901</v>
      </c>
      <c r="I1043" t="s">
        <v>1897</v>
      </c>
    </row>
    <row r="1044" spans="1:9">
      <c r="A1044" t="s">
        <v>3453</v>
      </c>
      <c r="B1044" s="18">
        <v>2254028425</v>
      </c>
      <c r="C1044" t="s">
        <v>3454</v>
      </c>
      <c r="D1044" t="s">
        <v>2149</v>
      </c>
      <c r="E1044" t="s">
        <v>765</v>
      </c>
      <c r="G1044" t="s">
        <v>1895</v>
      </c>
      <c r="H1044" t="s">
        <v>1901</v>
      </c>
      <c r="I1044" t="s">
        <v>1897</v>
      </c>
    </row>
    <row r="1045" spans="1:9">
      <c r="A1045" t="s">
        <v>3455</v>
      </c>
      <c r="B1045" s="18">
        <v>2254028426</v>
      </c>
      <c r="C1045" t="s">
        <v>3456</v>
      </c>
      <c r="D1045" t="s">
        <v>3052</v>
      </c>
      <c r="E1045" t="s">
        <v>760</v>
      </c>
      <c r="I1045" t="s">
        <v>1897</v>
      </c>
    </row>
    <row r="1046" spans="1:9">
      <c r="A1046" t="s">
        <v>3457</v>
      </c>
      <c r="B1046" s="18">
        <v>2254028427</v>
      </c>
      <c r="C1046" t="s">
        <v>3458</v>
      </c>
      <c r="D1046" t="s">
        <v>2585</v>
      </c>
      <c r="E1046" t="s">
        <v>765</v>
      </c>
      <c r="G1046" t="s">
        <v>1895</v>
      </c>
      <c r="H1046" t="s">
        <v>1908</v>
      </c>
      <c r="I1046" t="s">
        <v>1897</v>
      </c>
    </row>
    <row r="1047" spans="1:9">
      <c r="A1047" t="s">
        <v>3459</v>
      </c>
      <c r="B1047" s="18">
        <v>2254028428</v>
      </c>
      <c r="C1047" t="s">
        <v>3460</v>
      </c>
      <c r="D1047" t="s">
        <v>2641</v>
      </c>
      <c r="E1047" t="s">
        <v>760</v>
      </c>
      <c r="G1047" t="s">
        <v>1895</v>
      </c>
      <c r="H1047" t="s">
        <v>1901</v>
      </c>
      <c r="I1047" t="s">
        <v>1897</v>
      </c>
    </row>
    <row r="1048" spans="1:9">
      <c r="A1048" t="s">
        <v>3461</v>
      </c>
      <c r="B1048" s="18">
        <v>2254028429</v>
      </c>
      <c r="C1048" t="s">
        <v>197</v>
      </c>
      <c r="D1048" t="s">
        <v>2650</v>
      </c>
      <c r="E1048" t="s">
        <v>760</v>
      </c>
      <c r="G1048" t="s">
        <v>1895</v>
      </c>
      <c r="H1048" t="s">
        <v>1908</v>
      </c>
      <c r="I1048" t="s">
        <v>1897</v>
      </c>
    </row>
    <row r="1049" spans="1:9">
      <c r="A1049" t="s">
        <v>3462</v>
      </c>
      <c r="B1049" s="18">
        <v>2254028430</v>
      </c>
      <c r="C1049" t="s">
        <v>3463</v>
      </c>
      <c r="D1049" t="s">
        <v>2274</v>
      </c>
      <c r="E1049" t="s">
        <v>765</v>
      </c>
      <c r="I1049" t="s">
        <v>1897</v>
      </c>
    </row>
    <row r="1050" spans="1:9">
      <c r="A1050" t="s">
        <v>3464</v>
      </c>
      <c r="B1050" s="18">
        <v>2254028431</v>
      </c>
      <c r="C1050" t="s">
        <v>3465</v>
      </c>
      <c r="D1050" t="s">
        <v>2764</v>
      </c>
      <c r="E1050" t="s">
        <v>765</v>
      </c>
      <c r="G1050" t="s">
        <v>1895</v>
      </c>
      <c r="H1050" t="s">
        <v>1901</v>
      </c>
      <c r="I1050" t="s">
        <v>1897</v>
      </c>
    </row>
    <row r="1051" spans="1:9">
      <c r="A1051" t="s">
        <v>3466</v>
      </c>
      <c r="B1051" s="18">
        <v>2254028433</v>
      </c>
      <c r="C1051" t="s">
        <v>3467</v>
      </c>
      <c r="D1051" t="s">
        <v>3468</v>
      </c>
      <c r="E1051" t="s">
        <v>760</v>
      </c>
      <c r="G1051" t="s">
        <v>1895</v>
      </c>
      <c r="H1051" t="s">
        <v>1901</v>
      </c>
      <c r="I1051" t="s">
        <v>1897</v>
      </c>
    </row>
    <row r="1052" spans="1:9">
      <c r="A1052" t="s">
        <v>3469</v>
      </c>
      <c r="B1052" s="18">
        <v>2254028434</v>
      </c>
      <c r="C1052" t="s">
        <v>3470</v>
      </c>
      <c r="D1052" t="s">
        <v>1914</v>
      </c>
      <c r="E1052" t="s">
        <v>765</v>
      </c>
      <c r="G1052" t="s">
        <v>1895</v>
      </c>
      <c r="H1052" t="s">
        <v>1901</v>
      </c>
      <c r="I1052" t="s">
        <v>1897</v>
      </c>
    </row>
    <row r="1053" spans="1:9">
      <c r="A1053" t="s">
        <v>3471</v>
      </c>
      <c r="B1053" s="18">
        <v>2254028435</v>
      </c>
      <c r="C1053" t="s">
        <v>3472</v>
      </c>
      <c r="D1053" t="s">
        <v>3473</v>
      </c>
      <c r="E1053" t="s">
        <v>760</v>
      </c>
      <c r="G1053" t="s">
        <v>1895</v>
      </c>
      <c r="H1053" t="s">
        <v>1901</v>
      </c>
      <c r="I1053" t="s">
        <v>1897</v>
      </c>
    </row>
    <row r="1054" spans="1:9">
      <c r="A1054" t="s">
        <v>3474</v>
      </c>
      <c r="B1054" s="18">
        <v>2254028437</v>
      </c>
      <c r="C1054" t="s">
        <v>3475</v>
      </c>
      <c r="D1054" t="s">
        <v>2138</v>
      </c>
      <c r="E1054" t="s">
        <v>765</v>
      </c>
      <c r="G1054" t="s">
        <v>1895</v>
      </c>
      <c r="H1054" t="s">
        <v>1908</v>
      </c>
      <c r="I1054" t="s">
        <v>1897</v>
      </c>
    </row>
    <row r="1055" spans="1:9">
      <c r="A1055" t="s">
        <v>3476</v>
      </c>
      <c r="B1055" s="18">
        <v>2254028438</v>
      </c>
      <c r="C1055" t="s">
        <v>3477</v>
      </c>
      <c r="D1055" t="s">
        <v>2490</v>
      </c>
      <c r="E1055" t="s">
        <v>765</v>
      </c>
      <c r="G1055" t="s">
        <v>1895</v>
      </c>
      <c r="H1055" t="s">
        <v>1901</v>
      </c>
      <c r="I1055" t="s">
        <v>1897</v>
      </c>
    </row>
    <row r="1056" spans="1:9">
      <c r="A1056" t="s">
        <v>3478</v>
      </c>
      <c r="B1056" s="18">
        <v>2254028441</v>
      </c>
      <c r="C1056" t="s">
        <v>3479</v>
      </c>
      <c r="D1056" t="s">
        <v>2141</v>
      </c>
      <c r="E1056" t="s">
        <v>760</v>
      </c>
      <c r="G1056" t="s">
        <v>1895</v>
      </c>
      <c r="H1056" t="s">
        <v>1901</v>
      </c>
      <c r="I1056" t="s">
        <v>1897</v>
      </c>
    </row>
    <row r="1057" spans="1:9">
      <c r="A1057" t="s">
        <v>3480</v>
      </c>
      <c r="B1057" s="18">
        <v>2254028442</v>
      </c>
      <c r="C1057" t="s">
        <v>3481</v>
      </c>
      <c r="D1057" t="s">
        <v>2425</v>
      </c>
      <c r="E1057" t="s">
        <v>765</v>
      </c>
      <c r="G1057" t="s">
        <v>1895</v>
      </c>
      <c r="H1057" t="s">
        <v>1901</v>
      </c>
      <c r="I1057" t="s">
        <v>1897</v>
      </c>
    </row>
    <row r="1058" spans="1:9">
      <c r="A1058" t="s">
        <v>3482</v>
      </c>
      <c r="B1058" s="18">
        <v>2254028443</v>
      </c>
      <c r="C1058" t="s">
        <v>3483</v>
      </c>
      <c r="D1058" t="s">
        <v>2269</v>
      </c>
      <c r="E1058" t="s">
        <v>760</v>
      </c>
      <c r="G1058" t="s">
        <v>1895</v>
      </c>
      <c r="H1058" t="s">
        <v>1896</v>
      </c>
      <c r="I1058" t="s">
        <v>1897</v>
      </c>
    </row>
    <row r="1059" spans="1:9">
      <c r="A1059" t="s">
        <v>3484</v>
      </c>
      <c r="B1059" s="18">
        <v>2254028444</v>
      </c>
      <c r="C1059" t="s">
        <v>3485</v>
      </c>
      <c r="D1059" t="s">
        <v>3378</v>
      </c>
      <c r="E1059" t="s">
        <v>765</v>
      </c>
      <c r="G1059" t="s">
        <v>1895</v>
      </c>
      <c r="H1059" t="s">
        <v>1901</v>
      </c>
      <c r="I1059" t="s">
        <v>1897</v>
      </c>
    </row>
    <row r="1060" spans="1:9">
      <c r="A1060" t="s">
        <v>3486</v>
      </c>
      <c r="B1060" s="18">
        <v>2254028445</v>
      </c>
      <c r="C1060" t="s">
        <v>3487</v>
      </c>
      <c r="D1060" t="s">
        <v>3488</v>
      </c>
      <c r="E1060" t="s">
        <v>765</v>
      </c>
      <c r="G1060" t="s">
        <v>1895</v>
      </c>
      <c r="H1060" t="s">
        <v>1901</v>
      </c>
      <c r="I1060" t="s">
        <v>1897</v>
      </c>
    </row>
    <row r="1061" spans="1:9">
      <c r="A1061" t="s">
        <v>3489</v>
      </c>
      <c r="B1061" s="18">
        <v>2254028446</v>
      </c>
      <c r="C1061" t="s">
        <v>3490</v>
      </c>
      <c r="D1061" t="s">
        <v>2095</v>
      </c>
      <c r="E1061" t="s">
        <v>765</v>
      </c>
      <c r="G1061" t="s">
        <v>1895</v>
      </c>
      <c r="H1061" t="s">
        <v>1901</v>
      </c>
      <c r="I1061" t="s">
        <v>1897</v>
      </c>
    </row>
    <row r="1062" spans="1:9">
      <c r="A1062" t="s">
        <v>3491</v>
      </c>
      <c r="B1062" s="18">
        <v>2254028448</v>
      </c>
      <c r="C1062" t="s">
        <v>3492</v>
      </c>
      <c r="D1062" t="s">
        <v>2498</v>
      </c>
      <c r="E1062" t="s">
        <v>765</v>
      </c>
      <c r="G1062" t="s">
        <v>1895</v>
      </c>
      <c r="H1062" t="s">
        <v>1901</v>
      </c>
      <c r="I1062" t="s">
        <v>1897</v>
      </c>
    </row>
    <row r="1063" spans="1:9">
      <c r="A1063" t="s">
        <v>3493</v>
      </c>
      <c r="B1063" s="18">
        <v>2254028449</v>
      </c>
      <c r="C1063" t="s">
        <v>3494</v>
      </c>
      <c r="D1063" t="s">
        <v>3495</v>
      </c>
      <c r="E1063" t="s">
        <v>765</v>
      </c>
      <c r="G1063" t="s">
        <v>1895</v>
      </c>
      <c r="H1063" t="s">
        <v>1901</v>
      </c>
      <c r="I1063" t="s">
        <v>1897</v>
      </c>
    </row>
    <row r="1064" spans="1:9">
      <c r="A1064" t="s">
        <v>3496</v>
      </c>
      <c r="B1064" s="18">
        <v>2254028450</v>
      </c>
      <c r="C1064" t="s">
        <v>3497</v>
      </c>
      <c r="D1064" t="s">
        <v>2744</v>
      </c>
      <c r="E1064" t="s">
        <v>765</v>
      </c>
      <c r="G1064" t="s">
        <v>1895</v>
      </c>
      <c r="H1064" t="s">
        <v>1901</v>
      </c>
      <c r="I1064" t="s">
        <v>1897</v>
      </c>
    </row>
    <row r="1065" spans="1:9">
      <c r="A1065" t="s">
        <v>3498</v>
      </c>
      <c r="B1065" s="18">
        <v>2254028451</v>
      </c>
      <c r="C1065" t="s">
        <v>3499</v>
      </c>
      <c r="D1065" t="s">
        <v>2450</v>
      </c>
      <c r="E1065" t="s">
        <v>765</v>
      </c>
      <c r="G1065" t="s">
        <v>1895</v>
      </c>
      <c r="H1065" t="s">
        <v>1901</v>
      </c>
      <c r="I1065" t="s">
        <v>1897</v>
      </c>
    </row>
    <row r="1066" spans="1:9">
      <c r="A1066" t="s">
        <v>3500</v>
      </c>
      <c r="B1066" s="18">
        <v>2254028452</v>
      </c>
      <c r="C1066" t="s">
        <v>3501</v>
      </c>
      <c r="D1066" t="s">
        <v>1950</v>
      </c>
      <c r="E1066" t="s">
        <v>765</v>
      </c>
      <c r="G1066" t="s">
        <v>1895</v>
      </c>
      <c r="H1066" t="s">
        <v>1901</v>
      </c>
      <c r="I1066" t="s">
        <v>1897</v>
      </c>
    </row>
    <row r="1067" spans="1:9">
      <c r="A1067" t="s">
        <v>3502</v>
      </c>
      <c r="B1067" s="18">
        <v>2254028453</v>
      </c>
      <c r="C1067" t="s">
        <v>3503</v>
      </c>
      <c r="D1067" t="s">
        <v>3504</v>
      </c>
      <c r="E1067" t="s">
        <v>760</v>
      </c>
      <c r="G1067" t="s">
        <v>1895</v>
      </c>
      <c r="H1067" t="s">
        <v>1901</v>
      </c>
      <c r="I1067" t="s">
        <v>1897</v>
      </c>
    </row>
    <row r="1068" spans="1:9">
      <c r="A1068" t="s">
        <v>3505</v>
      </c>
      <c r="B1068" s="18">
        <v>2254028454</v>
      </c>
      <c r="C1068" t="s">
        <v>3506</v>
      </c>
      <c r="D1068" t="s">
        <v>2016</v>
      </c>
      <c r="E1068" t="s">
        <v>760</v>
      </c>
      <c r="G1068" t="s">
        <v>1895</v>
      </c>
      <c r="H1068" t="s">
        <v>1901</v>
      </c>
      <c r="I1068" t="s">
        <v>1897</v>
      </c>
    </row>
    <row r="1069" spans="1:9">
      <c r="A1069" t="s">
        <v>3507</v>
      </c>
      <c r="B1069" s="18">
        <v>2254028455</v>
      </c>
      <c r="C1069" t="s">
        <v>3508</v>
      </c>
      <c r="D1069" t="s">
        <v>2447</v>
      </c>
      <c r="E1069" t="s">
        <v>765</v>
      </c>
      <c r="G1069" t="s">
        <v>1895</v>
      </c>
      <c r="H1069" t="s">
        <v>1908</v>
      </c>
      <c r="I1069" t="s">
        <v>1897</v>
      </c>
    </row>
    <row r="1070" spans="1:9">
      <c r="A1070" t="s">
        <v>3509</v>
      </c>
      <c r="B1070" s="18">
        <v>2254028458</v>
      </c>
      <c r="C1070" t="s">
        <v>3510</v>
      </c>
      <c r="D1070" t="s">
        <v>2953</v>
      </c>
      <c r="E1070" t="s">
        <v>765</v>
      </c>
      <c r="G1070" t="s">
        <v>1895</v>
      </c>
      <c r="H1070" t="s">
        <v>1901</v>
      </c>
      <c r="I1070" t="s">
        <v>1897</v>
      </c>
    </row>
    <row r="1071" spans="1:9">
      <c r="A1071" t="s">
        <v>3511</v>
      </c>
      <c r="B1071" s="18">
        <v>2254028460</v>
      </c>
      <c r="C1071" t="s">
        <v>3512</v>
      </c>
      <c r="D1071" t="s">
        <v>2051</v>
      </c>
      <c r="E1071" t="s">
        <v>765</v>
      </c>
      <c r="G1071" t="s">
        <v>1895</v>
      </c>
      <c r="H1071" t="s">
        <v>1901</v>
      </c>
      <c r="I1071" t="s">
        <v>1897</v>
      </c>
    </row>
    <row r="1072" spans="1:9">
      <c r="A1072" t="s">
        <v>3513</v>
      </c>
      <c r="B1072" s="18">
        <v>2254028457</v>
      </c>
      <c r="C1072" t="s">
        <v>3514</v>
      </c>
      <c r="D1072" t="s">
        <v>3408</v>
      </c>
      <c r="E1072" t="s">
        <v>765</v>
      </c>
      <c r="G1072" t="s">
        <v>1895</v>
      </c>
      <c r="H1072" t="s">
        <v>1901</v>
      </c>
      <c r="I1072" t="s">
        <v>1897</v>
      </c>
    </row>
    <row r="1073" spans="1:9">
      <c r="A1073" t="s">
        <v>3515</v>
      </c>
      <c r="B1073" s="18">
        <v>2254028461</v>
      </c>
      <c r="C1073" t="s">
        <v>956</v>
      </c>
      <c r="D1073" t="s">
        <v>2479</v>
      </c>
      <c r="E1073" t="s">
        <v>760</v>
      </c>
      <c r="G1073" t="s">
        <v>1895</v>
      </c>
      <c r="H1073" t="s">
        <v>1908</v>
      </c>
      <c r="I1073" t="s">
        <v>1897</v>
      </c>
    </row>
    <row r="1074" spans="1:9">
      <c r="A1074" t="s">
        <v>3516</v>
      </c>
      <c r="B1074" s="18">
        <v>2254028462</v>
      </c>
      <c r="C1074" t="s">
        <v>3517</v>
      </c>
      <c r="D1074" t="s">
        <v>2206</v>
      </c>
      <c r="E1074" t="s">
        <v>765</v>
      </c>
      <c r="G1074" t="s">
        <v>1895</v>
      </c>
      <c r="H1074" t="s">
        <v>1901</v>
      </c>
      <c r="I1074" t="s">
        <v>1897</v>
      </c>
    </row>
    <row r="1075" spans="1:9">
      <c r="A1075" t="s">
        <v>3518</v>
      </c>
      <c r="B1075" s="18">
        <v>2254028464</v>
      </c>
      <c r="C1075" t="s">
        <v>3519</v>
      </c>
      <c r="D1075" t="s">
        <v>2886</v>
      </c>
      <c r="E1075" t="s">
        <v>765</v>
      </c>
      <c r="G1075" t="s">
        <v>1895</v>
      </c>
      <c r="H1075" t="s">
        <v>1901</v>
      </c>
      <c r="I1075" t="s">
        <v>1897</v>
      </c>
    </row>
    <row r="1076" spans="1:9">
      <c r="A1076" t="s">
        <v>3520</v>
      </c>
      <c r="B1076" s="18">
        <v>2254028465</v>
      </c>
      <c r="C1076" t="s">
        <v>3521</v>
      </c>
      <c r="D1076" t="s">
        <v>2539</v>
      </c>
      <c r="E1076" t="s">
        <v>760</v>
      </c>
      <c r="G1076" t="s">
        <v>2135</v>
      </c>
      <c r="H1076" t="s">
        <v>1908</v>
      </c>
      <c r="I1076" t="s">
        <v>1897</v>
      </c>
    </row>
    <row r="1077" spans="1:9">
      <c r="A1077" t="s">
        <v>3522</v>
      </c>
      <c r="B1077" s="18">
        <v>2254028466</v>
      </c>
      <c r="C1077" t="s">
        <v>3523</v>
      </c>
      <c r="D1077" t="s">
        <v>2456</v>
      </c>
      <c r="E1077" t="s">
        <v>765</v>
      </c>
      <c r="G1077" t="s">
        <v>1895</v>
      </c>
      <c r="H1077" t="s">
        <v>1901</v>
      </c>
      <c r="I1077" t="s">
        <v>1897</v>
      </c>
    </row>
    <row r="1078" spans="1:9">
      <c r="A1078" t="s">
        <v>3524</v>
      </c>
      <c r="B1078" s="18">
        <v>2254028467</v>
      </c>
      <c r="C1078" t="s">
        <v>3525</v>
      </c>
      <c r="D1078" t="s">
        <v>3438</v>
      </c>
      <c r="E1078" t="s">
        <v>765</v>
      </c>
      <c r="G1078" t="s">
        <v>1895</v>
      </c>
      <c r="H1078" t="s">
        <v>1901</v>
      </c>
      <c r="I1078" t="s">
        <v>1897</v>
      </c>
    </row>
    <row r="1079" spans="1:9">
      <c r="A1079" t="s">
        <v>3526</v>
      </c>
      <c r="B1079" s="18">
        <v>2254028468</v>
      </c>
      <c r="C1079" t="s">
        <v>484</v>
      </c>
      <c r="D1079" t="s">
        <v>3527</v>
      </c>
      <c r="E1079" t="s">
        <v>765</v>
      </c>
      <c r="G1079" t="s">
        <v>1895</v>
      </c>
      <c r="H1079" t="s">
        <v>1901</v>
      </c>
      <c r="I1079" t="s">
        <v>1897</v>
      </c>
    </row>
    <row r="1080" spans="1:9">
      <c r="A1080" t="s">
        <v>3528</v>
      </c>
      <c r="B1080" s="18">
        <v>2254028469</v>
      </c>
      <c r="C1080" t="s">
        <v>3529</v>
      </c>
      <c r="D1080" t="s">
        <v>2979</v>
      </c>
      <c r="E1080" t="s">
        <v>765</v>
      </c>
      <c r="G1080" t="s">
        <v>1895</v>
      </c>
      <c r="H1080" t="s">
        <v>1901</v>
      </c>
      <c r="I1080" t="s">
        <v>1897</v>
      </c>
    </row>
    <row r="1081" spans="1:9">
      <c r="A1081" t="s">
        <v>3530</v>
      </c>
      <c r="B1081" s="18">
        <v>2254028470</v>
      </c>
      <c r="C1081" t="s">
        <v>3531</v>
      </c>
      <c r="D1081" t="s">
        <v>2601</v>
      </c>
      <c r="E1081" t="s">
        <v>760</v>
      </c>
      <c r="G1081" t="s">
        <v>1895</v>
      </c>
      <c r="H1081" t="s">
        <v>1901</v>
      </c>
      <c r="I1081" t="s">
        <v>1897</v>
      </c>
    </row>
    <row r="1082" spans="1:9">
      <c r="A1082" t="s">
        <v>3532</v>
      </c>
      <c r="B1082" s="18">
        <v>2254028471</v>
      </c>
      <c r="C1082" t="s">
        <v>3533</v>
      </c>
      <c r="D1082" t="s">
        <v>1900</v>
      </c>
      <c r="E1082" t="s">
        <v>765</v>
      </c>
      <c r="G1082" t="s">
        <v>1895</v>
      </c>
      <c r="H1082" t="s">
        <v>1901</v>
      </c>
      <c r="I1082" t="s">
        <v>1897</v>
      </c>
    </row>
    <row r="1083" spans="1:9">
      <c r="A1083" t="s">
        <v>3534</v>
      </c>
      <c r="B1083" s="18">
        <v>2254028472</v>
      </c>
      <c r="C1083" t="s">
        <v>3535</v>
      </c>
      <c r="D1083" t="s">
        <v>3536</v>
      </c>
      <c r="E1083" t="s">
        <v>760</v>
      </c>
      <c r="I1083" t="s">
        <v>1897</v>
      </c>
    </row>
    <row r="1084" spans="1:9">
      <c r="A1084" t="s">
        <v>3537</v>
      </c>
      <c r="B1084" s="18">
        <v>2254028473</v>
      </c>
      <c r="C1084" t="s">
        <v>3538</v>
      </c>
      <c r="D1084" t="s">
        <v>2444</v>
      </c>
      <c r="E1084" t="s">
        <v>760</v>
      </c>
      <c r="G1084" t="s">
        <v>1895</v>
      </c>
      <c r="H1084" t="s">
        <v>1901</v>
      </c>
      <c r="I1084" t="s">
        <v>1897</v>
      </c>
    </row>
    <row r="1085" spans="1:9">
      <c r="A1085" t="s">
        <v>3539</v>
      </c>
      <c r="B1085" s="18">
        <v>2254028474</v>
      </c>
      <c r="C1085" t="s">
        <v>3540</v>
      </c>
      <c r="D1085" t="s">
        <v>3438</v>
      </c>
      <c r="E1085" t="s">
        <v>765</v>
      </c>
      <c r="G1085" t="s">
        <v>1895</v>
      </c>
      <c r="H1085" t="s">
        <v>1901</v>
      </c>
      <c r="I1085" t="s">
        <v>1897</v>
      </c>
    </row>
    <row r="1086" spans="1:9">
      <c r="A1086" t="s">
        <v>3541</v>
      </c>
      <c r="B1086" s="18">
        <v>2254028475</v>
      </c>
      <c r="C1086" t="s">
        <v>3542</v>
      </c>
      <c r="D1086" t="s">
        <v>2209</v>
      </c>
      <c r="E1086" t="s">
        <v>765</v>
      </c>
      <c r="G1086" t="s">
        <v>1895</v>
      </c>
      <c r="H1086" t="s">
        <v>1901</v>
      </c>
      <c r="I1086" t="s">
        <v>1897</v>
      </c>
    </row>
    <row r="1087" spans="1:9">
      <c r="A1087" t="s">
        <v>3543</v>
      </c>
      <c r="B1087" s="18">
        <v>2254028476</v>
      </c>
      <c r="C1087" t="s">
        <v>3544</v>
      </c>
      <c r="D1087" t="s">
        <v>1981</v>
      </c>
      <c r="E1087" t="s">
        <v>760</v>
      </c>
      <c r="G1087" t="s">
        <v>1895</v>
      </c>
      <c r="H1087" t="s">
        <v>1908</v>
      </c>
      <c r="I1087" t="s">
        <v>1897</v>
      </c>
    </row>
    <row r="1088" spans="1:9">
      <c r="A1088" t="s">
        <v>3545</v>
      </c>
      <c r="B1088" s="18">
        <v>2254028478</v>
      </c>
      <c r="C1088" t="s">
        <v>3546</v>
      </c>
      <c r="D1088" t="s">
        <v>2841</v>
      </c>
      <c r="E1088" t="s">
        <v>760</v>
      </c>
      <c r="G1088" t="s">
        <v>1895</v>
      </c>
      <c r="H1088" t="s">
        <v>1901</v>
      </c>
      <c r="I1088" t="s">
        <v>1897</v>
      </c>
    </row>
    <row r="1089" spans="1:9">
      <c r="A1089" t="s">
        <v>3547</v>
      </c>
      <c r="B1089" s="18">
        <v>2254028477</v>
      </c>
      <c r="C1089" t="s">
        <v>3548</v>
      </c>
      <c r="D1089" t="s">
        <v>2829</v>
      </c>
      <c r="E1089" t="s">
        <v>760</v>
      </c>
      <c r="G1089" t="s">
        <v>1895</v>
      </c>
      <c r="H1089" t="s">
        <v>1901</v>
      </c>
      <c r="I1089" t="s">
        <v>1897</v>
      </c>
    </row>
    <row r="1090" spans="1:9">
      <c r="A1090" t="s">
        <v>3549</v>
      </c>
      <c r="B1090" s="18">
        <v>2254028479</v>
      </c>
      <c r="C1090" t="s">
        <v>3550</v>
      </c>
      <c r="D1090" t="s">
        <v>3162</v>
      </c>
      <c r="E1090" t="s">
        <v>765</v>
      </c>
      <c r="G1090" t="s">
        <v>1895</v>
      </c>
      <c r="H1090" t="s">
        <v>1901</v>
      </c>
      <c r="I1090" t="s">
        <v>1897</v>
      </c>
    </row>
    <row r="1091" spans="1:9">
      <c r="A1091" t="s">
        <v>3551</v>
      </c>
      <c r="B1091" s="18">
        <v>2254028481</v>
      </c>
      <c r="C1091" t="s">
        <v>3552</v>
      </c>
      <c r="D1091" t="s">
        <v>3553</v>
      </c>
      <c r="E1091" t="s">
        <v>765</v>
      </c>
      <c r="H1091" t="s">
        <v>1908</v>
      </c>
      <c r="I1091" t="s">
        <v>1897</v>
      </c>
    </row>
    <row r="1092" spans="1:9">
      <c r="A1092" t="s">
        <v>3554</v>
      </c>
      <c r="B1092" s="18">
        <v>2254028482</v>
      </c>
      <c r="C1092" t="s">
        <v>176</v>
      </c>
      <c r="D1092" t="s">
        <v>3555</v>
      </c>
      <c r="E1092" t="s">
        <v>765</v>
      </c>
      <c r="G1092" t="s">
        <v>1895</v>
      </c>
      <c r="H1092" t="s">
        <v>1901</v>
      </c>
      <c r="I1092" t="s">
        <v>1897</v>
      </c>
    </row>
    <row r="1093" spans="1:9">
      <c r="A1093" t="s">
        <v>3556</v>
      </c>
      <c r="B1093" s="18">
        <v>2254028483</v>
      </c>
      <c r="C1093" t="s">
        <v>3557</v>
      </c>
      <c r="D1093" t="s">
        <v>2938</v>
      </c>
      <c r="E1093" t="s">
        <v>765</v>
      </c>
      <c r="G1093" t="s">
        <v>1895</v>
      </c>
      <c r="H1093" t="s">
        <v>1901</v>
      </c>
      <c r="I1093" t="s">
        <v>1897</v>
      </c>
    </row>
    <row r="1094" spans="1:9">
      <c r="A1094" t="s">
        <v>3558</v>
      </c>
      <c r="B1094" s="18">
        <v>2254028480</v>
      </c>
      <c r="C1094" t="s">
        <v>2797</v>
      </c>
      <c r="D1094" t="s">
        <v>2982</v>
      </c>
      <c r="E1094" t="s">
        <v>760</v>
      </c>
      <c r="G1094" t="s">
        <v>1895</v>
      </c>
      <c r="H1094" t="s">
        <v>1908</v>
      </c>
      <c r="I1094" t="s">
        <v>1897</v>
      </c>
    </row>
    <row r="1095" spans="1:9">
      <c r="A1095" t="s">
        <v>3559</v>
      </c>
      <c r="B1095" s="18">
        <v>2254028484</v>
      </c>
      <c r="C1095" t="s">
        <v>3560</v>
      </c>
      <c r="D1095" t="s">
        <v>1900</v>
      </c>
      <c r="E1095" t="s">
        <v>765</v>
      </c>
      <c r="G1095" t="s">
        <v>1895</v>
      </c>
      <c r="H1095" t="s">
        <v>1901</v>
      </c>
      <c r="I1095" t="s">
        <v>1897</v>
      </c>
    </row>
    <row r="1096" spans="1:9">
      <c r="A1096" t="s">
        <v>3561</v>
      </c>
      <c r="B1096" s="18">
        <v>2254028485</v>
      </c>
      <c r="C1096" t="s">
        <v>3562</v>
      </c>
      <c r="D1096" t="s">
        <v>3563</v>
      </c>
      <c r="E1096" t="s">
        <v>760</v>
      </c>
      <c r="G1096" t="s">
        <v>1895</v>
      </c>
      <c r="H1096" t="s">
        <v>1901</v>
      </c>
      <c r="I1096" t="s">
        <v>1897</v>
      </c>
    </row>
    <row r="1097" spans="1:9">
      <c r="A1097" t="s">
        <v>3564</v>
      </c>
      <c r="B1097" s="18">
        <v>2254028490</v>
      </c>
      <c r="C1097" t="s">
        <v>3565</v>
      </c>
      <c r="D1097" t="s">
        <v>2054</v>
      </c>
      <c r="E1097" t="s">
        <v>765</v>
      </c>
      <c r="G1097" t="s">
        <v>1895</v>
      </c>
      <c r="H1097" t="s">
        <v>1901</v>
      </c>
      <c r="I1097" t="s">
        <v>1897</v>
      </c>
    </row>
    <row r="1098" spans="1:9">
      <c r="A1098" t="s">
        <v>3566</v>
      </c>
      <c r="B1098" s="18">
        <v>2254028491</v>
      </c>
      <c r="C1098" t="s">
        <v>3567</v>
      </c>
      <c r="D1098" t="s">
        <v>3568</v>
      </c>
      <c r="E1098" t="s">
        <v>765</v>
      </c>
      <c r="G1098" t="s">
        <v>1895</v>
      </c>
      <c r="H1098" t="s">
        <v>1901</v>
      </c>
      <c r="I1098" t="s">
        <v>1897</v>
      </c>
    </row>
    <row r="1099" spans="1:9">
      <c r="A1099" t="s">
        <v>3569</v>
      </c>
      <c r="B1099" s="18">
        <v>2254028487</v>
      </c>
      <c r="C1099" t="s">
        <v>3570</v>
      </c>
      <c r="D1099" t="s">
        <v>2647</v>
      </c>
      <c r="E1099" t="s">
        <v>765</v>
      </c>
      <c r="H1099" t="s">
        <v>1901</v>
      </c>
      <c r="I1099" t="s">
        <v>1897</v>
      </c>
    </row>
    <row r="1100" spans="1:9">
      <c r="A1100" t="s">
        <v>3571</v>
      </c>
      <c r="B1100" s="18">
        <v>2254028488</v>
      </c>
      <c r="C1100" t="s">
        <v>3572</v>
      </c>
      <c r="D1100" t="s">
        <v>2280</v>
      </c>
      <c r="E1100" t="s">
        <v>765</v>
      </c>
      <c r="G1100" t="s">
        <v>1895</v>
      </c>
      <c r="H1100" t="s">
        <v>1901</v>
      </c>
      <c r="I1100" t="s">
        <v>1897</v>
      </c>
    </row>
    <row r="1101" spans="1:9">
      <c r="A1101" t="s">
        <v>3573</v>
      </c>
      <c r="B1101" s="18">
        <v>2254028492</v>
      </c>
      <c r="C1101" t="s">
        <v>3574</v>
      </c>
      <c r="D1101" t="s">
        <v>3575</v>
      </c>
      <c r="E1101" t="s">
        <v>765</v>
      </c>
      <c r="G1101" t="s">
        <v>1895</v>
      </c>
      <c r="H1101" t="s">
        <v>1901</v>
      </c>
      <c r="I1101" t="s">
        <v>1897</v>
      </c>
    </row>
    <row r="1102" spans="1:9">
      <c r="A1102" t="s">
        <v>3576</v>
      </c>
      <c r="B1102" s="18">
        <v>2254028493</v>
      </c>
      <c r="C1102" t="s">
        <v>3577</v>
      </c>
      <c r="D1102" t="s">
        <v>1969</v>
      </c>
      <c r="E1102" t="s">
        <v>765</v>
      </c>
      <c r="G1102" t="s">
        <v>1895</v>
      </c>
      <c r="H1102" t="s">
        <v>1901</v>
      </c>
      <c r="I1102" t="s">
        <v>1897</v>
      </c>
    </row>
    <row r="1103" spans="1:9">
      <c r="A1103" t="s">
        <v>3578</v>
      </c>
      <c r="B1103" s="18">
        <v>2254028494</v>
      </c>
      <c r="C1103" t="s">
        <v>3579</v>
      </c>
      <c r="D1103" t="s">
        <v>2384</v>
      </c>
      <c r="E1103" t="s">
        <v>765</v>
      </c>
      <c r="G1103" t="s">
        <v>1895</v>
      </c>
      <c r="H1103" t="s">
        <v>1901</v>
      </c>
      <c r="I1103" t="s">
        <v>1897</v>
      </c>
    </row>
    <row r="1104" spans="1:9">
      <c r="A1104" t="s">
        <v>3580</v>
      </c>
      <c r="B1104" s="18">
        <v>2254028495</v>
      </c>
      <c r="C1104" t="s">
        <v>3581</v>
      </c>
      <c r="D1104" t="s">
        <v>3582</v>
      </c>
      <c r="E1104" t="s">
        <v>765</v>
      </c>
      <c r="G1104" t="s">
        <v>1895</v>
      </c>
      <c r="H1104" t="s">
        <v>1901</v>
      </c>
      <c r="I1104" t="s">
        <v>1897</v>
      </c>
    </row>
    <row r="1105" spans="1:9">
      <c r="A1105" t="s">
        <v>3583</v>
      </c>
      <c r="B1105" s="18">
        <v>2254028496</v>
      </c>
      <c r="C1105" t="s">
        <v>3584</v>
      </c>
      <c r="D1105" t="s">
        <v>2979</v>
      </c>
      <c r="E1105" t="s">
        <v>760</v>
      </c>
      <c r="G1105" t="s">
        <v>1895</v>
      </c>
      <c r="H1105" t="s">
        <v>1901</v>
      </c>
      <c r="I1105" t="s">
        <v>1897</v>
      </c>
    </row>
    <row r="1106" spans="1:9">
      <c r="A1106" t="s">
        <v>3585</v>
      </c>
      <c r="B1106" s="18">
        <v>2254028498</v>
      </c>
      <c r="C1106" t="s">
        <v>3586</v>
      </c>
      <c r="D1106" t="s">
        <v>2101</v>
      </c>
      <c r="E1106" t="s">
        <v>760</v>
      </c>
      <c r="G1106" t="s">
        <v>1895</v>
      </c>
      <c r="H1106" t="s">
        <v>1908</v>
      </c>
      <c r="I1106" t="s">
        <v>1897</v>
      </c>
    </row>
    <row r="1107" spans="1:9">
      <c r="A1107" t="s">
        <v>3587</v>
      </c>
      <c r="B1107" s="18">
        <v>2254028499</v>
      </c>
      <c r="C1107" t="s">
        <v>3588</v>
      </c>
      <c r="D1107" t="s">
        <v>3589</v>
      </c>
      <c r="E1107" t="s">
        <v>765</v>
      </c>
      <c r="G1107" t="s">
        <v>1895</v>
      </c>
      <c r="H1107" t="s">
        <v>1901</v>
      </c>
      <c r="I1107" t="s">
        <v>1897</v>
      </c>
    </row>
    <row r="1108" spans="1:9">
      <c r="A1108" t="s">
        <v>3590</v>
      </c>
      <c r="B1108" s="18">
        <v>2254028500</v>
      </c>
      <c r="C1108" t="s">
        <v>3591</v>
      </c>
      <c r="D1108" t="s">
        <v>2387</v>
      </c>
      <c r="E1108" t="s">
        <v>765</v>
      </c>
      <c r="G1108" t="s">
        <v>1895</v>
      </c>
      <c r="H1108" t="s">
        <v>1901</v>
      </c>
      <c r="I1108" t="s">
        <v>1897</v>
      </c>
    </row>
    <row r="1109" spans="1:9">
      <c r="A1109" t="s">
        <v>3592</v>
      </c>
      <c r="B1109" s="18">
        <v>2254028501</v>
      </c>
      <c r="C1109" t="s">
        <v>3593</v>
      </c>
      <c r="D1109" t="s">
        <v>1125</v>
      </c>
      <c r="E1109" t="s">
        <v>765</v>
      </c>
      <c r="H1109" t="s">
        <v>1896</v>
      </c>
      <c r="I1109" t="s">
        <v>1897</v>
      </c>
    </row>
    <row r="1110" spans="1:9">
      <c r="A1110" t="s">
        <v>3594</v>
      </c>
      <c r="B1110" s="18">
        <v>2254028503</v>
      </c>
      <c r="C1110" t="s">
        <v>3595</v>
      </c>
      <c r="D1110" t="s">
        <v>3589</v>
      </c>
      <c r="E1110" t="s">
        <v>765</v>
      </c>
      <c r="G1110" t="s">
        <v>1895</v>
      </c>
      <c r="H1110" t="s">
        <v>1901</v>
      </c>
      <c r="I1110" t="s">
        <v>1897</v>
      </c>
    </row>
    <row r="1111" spans="1:9">
      <c r="A1111" t="s">
        <v>3596</v>
      </c>
      <c r="B1111" s="18">
        <v>2254028504</v>
      </c>
      <c r="C1111" t="s">
        <v>3597</v>
      </c>
      <c r="D1111" t="s">
        <v>2212</v>
      </c>
      <c r="E1111" t="s">
        <v>765</v>
      </c>
      <c r="G1111" t="s">
        <v>1895</v>
      </c>
      <c r="H1111" t="s">
        <v>1901</v>
      </c>
      <c r="I1111" t="s">
        <v>1897</v>
      </c>
    </row>
    <row r="1112" spans="1:9">
      <c r="A1112" t="s">
        <v>3598</v>
      </c>
      <c r="B1112" s="18">
        <v>2254058581</v>
      </c>
      <c r="C1112" t="s">
        <v>3599</v>
      </c>
      <c r="D1112" t="s">
        <v>2794</v>
      </c>
      <c r="E1112" t="s">
        <v>765</v>
      </c>
      <c r="G1112" t="s">
        <v>1895</v>
      </c>
      <c r="H1112" t="s">
        <v>1908</v>
      </c>
      <c r="I1112" t="s">
        <v>1897</v>
      </c>
    </row>
    <row r="1113" spans="1:9">
      <c r="A1113" t="s">
        <v>3600</v>
      </c>
      <c r="B1113" s="18">
        <v>2254058582</v>
      </c>
      <c r="C1113" t="s">
        <v>3601</v>
      </c>
      <c r="D1113" t="s">
        <v>1900</v>
      </c>
      <c r="E1113" t="s">
        <v>765</v>
      </c>
      <c r="G1113" t="s">
        <v>1895</v>
      </c>
      <c r="H1113" t="s">
        <v>1901</v>
      </c>
      <c r="I1113" t="s">
        <v>1897</v>
      </c>
    </row>
    <row r="1114" spans="1:9">
      <c r="A1114" t="s">
        <v>3602</v>
      </c>
      <c r="B1114" s="18">
        <v>2254058583</v>
      </c>
      <c r="C1114" t="s">
        <v>3603</v>
      </c>
      <c r="D1114" t="s">
        <v>2384</v>
      </c>
      <c r="E1114" t="s">
        <v>765</v>
      </c>
      <c r="G1114" t="s">
        <v>1895</v>
      </c>
      <c r="H1114" t="s">
        <v>1901</v>
      </c>
      <c r="I1114" t="s">
        <v>1897</v>
      </c>
    </row>
    <row r="1115" spans="1:9">
      <c r="A1115" t="s">
        <v>3604</v>
      </c>
      <c r="B1115" s="18">
        <v>2254058587</v>
      </c>
      <c r="C1115" t="s">
        <v>3605</v>
      </c>
      <c r="D1115" t="s">
        <v>2138</v>
      </c>
      <c r="E1115" t="s">
        <v>760</v>
      </c>
      <c r="G1115" t="s">
        <v>1895</v>
      </c>
      <c r="H1115" t="s">
        <v>1896</v>
      </c>
      <c r="I1115" t="s">
        <v>1897</v>
      </c>
    </row>
    <row r="1116" spans="1:9">
      <c r="A1116" t="s">
        <v>3606</v>
      </c>
      <c r="B1116" s="18">
        <v>2254058584</v>
      </c>
      <c r="C1116" t="s">
        <v>3607</v>
      </c>
      <c r="D1116" t="s">
        <v>2104</v>
      </c>
      <c r="E1116" t="s">
        <v>760</v>
      </c>
      <c r="G1116" t="s">
        <v>1895</v>
      </c>
      <c r="H1116" t="s">
        <v>1908</v>
      </c>
      <c r="I1116" t="s">
        <v>1897</v>
      </c>
    </row>
    <row r="1117" spans="1:9">
      <c r="A1117" t="s">
        <v>3608</v>
      </c>
      <c r="B1117" s="18">
        <v>2254058585</v>
      </c>
      <c r="C1117" t="s">
        <v>3609</v>
      </c>
      <c r="D1117" t="s">
        <v>2239</v>
      </c>
      <c r="E1117" t="s">
        <v>760</v>
      </c>
      <c r="G1117" t="s">
        <v>1895</v>
      </c>
      <c r="H1117" t="s">
        <v>1896</v>
      </c>
      <c r="I1117" t="s">
        <v>1897</v>
      </c>
    </row>
    <row r="1118" spans="1:9">
      <c r="A1118" t="s">
        <v>3610</v>
      </c>
      <c r="B1118" s="18">
        <v>2254058586</v>
      </c>
      <c r="C1118" t="s">
        <v>3611</v>
      </c>
      <c r="D1118" t="s">
        <v>2832</v>
      </c>
      <c r="E1118" t="s">
        <v>760</v>
      </c>
      <c r="G1118" t="s">
        <v>1895</v>
      </c>
      <c r="H1118" t="s">
        <v>1896</v>
      </c>
      <c r="I1118" t="s">
        <v>1897</v>
      </c>
    </row>
    <row r="1119" spans="1:9">
      <c r="A1119" t="s">
        <v>3612</v>
      </c>
      <c r="B1119" s="18">
        <v>2254058588</v>
      </c>
      <c r="C1119" t="s">
        <v>3613</v>
      </c>
      <c r="D1119" t="s">
        <v>2561</v>
      </c>
      <c r="E1119" t="s">
        <v>760</v>
      </c>
      <c r="G1119" t="s">
        <v>1895</v>
      </c>
      <c r="H1119" t="s">
        <v>1901</v>
      </c>
      <c r="I1119" t="s">
        <v>1897</v>
      </c>
    </row>
    <row r="1120" spans="1:9">
      <c r="A1120" t="s">
        <v>3614</v>
      </c>
      <c r="B1120" s="18">
        <v>2254058589</v>
      </c>
      <c r="C1120" t="s">
        <v>3615</v>
      </c>
      <c r="D1120" t="s">
        <v>3616</v>
      </c>
      <c r="E1120" t="s">
        <v>760</v>
      </c>
      <c r="H1120" t="s">
        <v>1896</v>
      </c>
      <c r="I1120" t="s">
        <v>1897</v>
      </c>
    </row>
    <row r="1121" spans="1:9">
      <c r="A1121" t="s">
        <v>3617</v>
      </c>
      <c r="B1121" s="18">
        <v>2254058590</v>
      </c>
      <c r="C1121" t="s">
        <v>3618</v>
      </c>
      <c r="D1121" t="s">
        <v>2042</v>
      </c>
      <c r="E1121" t="s">
        <v>760</v>
      </c>
      <c r="G1121" t="s">
        <v>1895</v>
      </c>
      <c r="H1121" t="s">
        <v>1908</v>
      </c>
      <c r="I1121" t="s">
        <v>1897</v>
      </c>
    </row>
    <row r="1122" spans="1:9">
      <c r="A1122" t="s">
        <v>3619</v>
      </c>
      <c r="B1122" s="18">
        <v>2254058591</v>
      </c>
      <c r="C1122" t="s">
        <v>3620</v>
      </c>
      <c r="D1122" t="s">
        <v>2969</v>
      </c>
      <c r="E1122" t="s">
        <v>765</v>
      </c>
      <c r="I1122" t="s">
        <v>1897</v>
      </c>
    </row>
    <row r="1123" spans="1:9">
      <c r="A1123" t="s">
        <v>3621</v>
      </c>
      <c r="B1123" s="18">
        <v>2254058592</v>
      </c>
      <c r="C1123" t="s">
        <v>3622</v>
      </c>
      <c r="D1123" t="s">
        <v>3623</v>
      </c>
      <c r="E1123" t="s">
        <v>765</v>
      </c>
      <c r="H1123" t="s">
        <v>1896</v>
      </c>
      <c r="I1123" t="s">
        <v>1897</v>
      </c>
    </row>
    <row r="1124" spans="1:9">
      <c r="A1124" t="s">
        <v>3624</v>
      </c>
      <c r="B1124" s="18">
        <v>2254058593</v>
      </c>
      <c r="C1124" t="s">
        <v>3625</v>
      </c>
      <c r="D1124" t="s">
        <v>3626</v>
      </c>
      <c r="E1124" t="s">
        <v>760</v>
      </c>
      <c r="G1124" t="s">
        <v>1895</v>
      </c>
      <c r="H1124" t="s">
        <v>1896</v>
      </c>
      <c r="I1124" t="s">
        <v>1897</v>
      </c>
    </row>
    <row r="1125" spans="1:9">
      <c r="A1125" t="s">
        <v>3627</v>
      </c>
      <c r="B1125" s="18">
        <v>2254058596</v>
      </c>
      <c r="C1125" t="s">
        <v>3628</v>
      </c>
      <c r="D1125" t="s">
        <v>2644</v>
      </c>
      <c r="E1125" t="s">
        <v>760</v>
      </c>
      <c r="G1125" t="s">
        <v>1895</v>
      </c>
      <c r="H1125" t="s">
        <v>1901</v>
      </c>
      <c r="I1125" t="s">
        <v>1897</v>
      </c>
    </row>
    <row r="1126" spans="1:9">
      <c r="A1126" t="s">
        <v>3629</v>
      </c>
      <c r="B1126" s="18">
        <v>2254058594</v>
      </c>
      <c r="C1126" t="s">
        <v>3630</v>
      </c>
      <c r="D1126" t="s">
        <v>2913</v>
      </c>
      <c r="E1126" t="s">
        <v>765</v>
      </c>
      <c r="G1126" t="s">
        <v>1895</v>
      </c>
      <c r="H1126" t="s">
        <v>1901</v>
      </c>
      <c r="I1126" t="s">
        <v>1897</v>
      </c>
    </row>
    <row r="1127" spans="1:9">
      <c r="A1127" t="s">
        <v>3631</v>
      </c>
      <c r="B1127" s="18">
        <v>2254058595</v>
      </c>
      <c r="C1127" t="s">
        <v>3632</v>
      </c>
      <c r="D1127" t="s">
        <v>3633</v>
      </c>
      <c r="E1127" t="s">
        <v>765</v>
      </c>
      <c r="G1127" t="s">
        <v>1895</v>
      </c>
      <c r="H1127" t="s">
        <v>1901</v>
      </c>
      <c r="I1127" t="s">
        <v>1897</v>
      </c>
    </row>
    <row r="1128" spans="1:9">
      <c r="A1128" t="s">
        <v>3634</v>
      </c>
      <c r="B1128" s="18">
        <v>2254058597</v>
      </c>
      <c r="C1128" t="s">
        <v>3635</v>
      </c>
      <c r="D1128" t="s">
        <v>2361</v>
      </c>
      <c r="E1128" t="s">
        <v>765</v>
      </c>
      <c r="G1128" t="s">
        <v>1895</v>
      </c>
      <c r="H1128" t="s">
        <v>1901</v>
      </c>
      <c r="I1128" t="s">
        <v>1897</v>
      </c>
    </row>
    <row r="1129" spans="1:9">
      <c r="A1129" t="s">
        <v>3636</v>
      </c>
      <c r="B1129" s="18">
        <v>2254058598</v>
      </c>
      <c r="C1129" t="s">
        <v>3637</v>
      </c>
      <c r="D1129" t="s">
        <v>2920</v>
      </c>
      <c r="E1129" t="s">
        <v>765</v>
      </c>
      <c r="G1129" t="s">
        <v>1895</v>
      </c>
      <c r="H1129" t="s">
        <v>1901</v>
      </c>
      <c r="I1129" t="s">
        <v>1897</v>
      </c>
    </row>
    <row r="1130" spans="1:9">
      <c r="A1130" t="s">
        <v>3638</v>
      </c>
      <c r="B1130" s="18">
        <v>2254058599</v>
      </c>
      <c r="C1130" t="s">
        <v>3639</v>
      </c>
      <c r="D1130" t="s">
        <v>2558</v>
      </c>
      <c r="E1130" t="s">
        <v>765</v>
      </c>
      <c r="G1130" t="s">
        <v>1895</v>
      </c>
      <c r="H1130" t="s">
        <v>1901</v>
      </c>
      <c r="I1130" t="s">
        <v>1897</v>
      </c>
    </row>
    <row r="1131" spans="1:9">
      <c r="A1131" t="s">
        <v>3640</v>
      </c>
      <c r="B1131" s="18">
        <v>2254058601</v>
      </c>
      <c r="C1131" t="s">
        <v>3641</v>
      </c>
      <c r="D1131" t="s">
        <v>2604</v>
      </c>
      <c r="E1131" t="s">
        <v>765</v>
      </c>
      <c r="G1131" t="s">
        <v>1895</v>
      </c>
      <c r="H1131" t="s">
        <v>1901</v>
      </c>
      <c r="I1131" t="s">
        <v>1897</v>
      </c>
    </row>
    <row r="1132" spans="1:9">
      <c r="A1132" t="s">
        <v>3642</v>
      </c>
      <c r="B1132" s="18">
        <v>2254058600</v>
      </c>
      <c r="C1132" t="s">
        <v>3643</v>
      </c>
      <c r="D1132" t="s">
        <v>3644</v>
      </c>
      <c r="E1132" t="s">
        <v>765</v>
      </c>
      <c r="G1132" t="s">
        <v>1895</v>
      </c>
      <c r="H1132" t="s">
        <v>1896</v>
      </c>
      <c r="I1132" t="s">
        <v>1897</v>
      </c>
    </row>
    <row r="1133" spans="1:9">
      <c r="A1133" t="s">
        <v>3645</v>
      </c>
      <c r="B1133" s="18">
        <v>2254058602</v>
      </c>
      <c r="C1133" t="s">
        <v>3646</v>
      </c>
      <c r="D1133" t="s">
        <v>3040</v>
      </c>
      <c r="E1133" t="s">
        <v>765</v>
      </c>
      <c r="G1133" t="s">
        <v>1895</v>
      </c>
      <c r="H1133" t="s">
        <v>1901</v>
      </c>
      <c r="I1133" t="s">
        <v>1897</v>
      </c>
    </row>
    <row r="1134" spans="1:9">
      <c r="A1134" t="s">
        <v>3647</v>
      </c>
      <c r="B1134" s="18">
        <v>2254058603</v>
      </c>
      <c r="C1134" t="s">
        <v>3648</v>
      </c>
      <c r="D1134" t="s">
        <v>2428</v>
      </c>
      <c r="E1134" t="s">
        <v>765</v>
      </c>
      <c r="G1134" t="s">
        <v>1895</v>
      </c>
      <c r="H1134" t="s">
        <v>1901</v>
      </c>
      <c r="I1134" t="s">
        <v>1897</v>
      </c>
    </row>
    <row r="1135" spans="1:9">
      <c r="A1135" t="s">
        <v>3649</v>
      </c>
      <c r="B1135" s="18">
        <v>2254058604</v>
      </c>
      <c r="C1135" t="s">
        <v>3650</v>
      </c>
      <c r="D1135" t="s">
        <v>2302</v>
      </c>
      <c r="E1135" t="s">
        <v>760</v>
      </c>
      <c r="G1135" t="s">
        <v>1895</v>
      </c>
      <c r="H1135" t="s">
        <v>1901</v>
      </c>
      <c r="I1135" t="s">
        <v>1897</v>
      </c>
    </row>
    <row r="1136" spans="1:9">
      <c r="A1136" t="s">
        <v>3651</v>
      </c>
      <c r="B1136" s="18">
        <v>2254058605</v>
      </c>
      <c r="C1136" t="s">
        <v>3652</v>
      </c>
      <c r="D1136" t="s">
        <v>1987</v>
      </c>
      <c r="E1136" t="s">
        <v>760</v>
      </c>
      <c r="G1136" t="s">
        <v>1895</v>
      </c>
      <c r="H1136" t="s">
        <v>1896</v>
      </c>
      <c r="I1136" t="s">
        <v>1897</v>
      </c>
    </row>
    <row r="1137" spans="1:9">
      <c r="A1137" t="s">
        <v>3653</v>
      </c>
      <c r="B1137" s="18">
        <v>2254058606</v>
      </c>
      <c r="C1137" t="s">
        <v>3654</v>
      </c>
      <c r="D1137" t="s">
        <v>3655</v>
      </c>
      <c r="E1137" t="s">
        <v>765</v>
      </c>
      <c r="G1137" t="s">
        <v>1895</v>
      </c>
      <c r="H1137" t="s">
        <v>1908</v>
      </c>
      <c r="I1137" t="s">
        <v>1897</v>
      </c>
    </row>
    <row r="1138" spans="1:9">
      <c r="A1138" t="s">
        <v>3656</v>
      </c>
      <c r="B1138" s="18">
        <v>2254058607</v>
      </c>
      <c r="C1138" t="s">
        <v>3657</v>
      </c>
      <c r="D1138" t="s">
        <v>1929</v>
      </c>
      <c r="E1138" t="s">
        <v>765</v>
      </c>
      <c r="G1138" t="s">
        <v>1895</v>
      </c>
      <c r="H1138" t="s">
        <v>1901</v>
      </c>
      <c r="I1138" t="s">
        <v>1897</v>
      </c>
    </row>
    <row r="1139" spans="1:9">
      <c r="A1139" t="s">
        <v>3658</v>
      </c>
      <c r="B1139" s="18">
        <v>2254058608</v>
      </c>
      <c r="C1139" t="s">
        <v>3659</v>
      </c>
      <c r="D1139" t="s">
        <v>1972</v>
      </c>
      <c r="E1139" t="s">
        <v>765</v>
      </c>
      <c r="G1139" t="s">
        <v>1895</v>
      </c>
      <c r="H1139" t="s">
        <v>1901</v>
      </c>
      <c r="I1139" t="s">
        <v>1897</v>
      </c>
    </row>
    <row r="1140" spans="1:9">
      <c r="A1140" t="s">
        <v>3660</v>
      </c>
      <c r="B1140" s="18">
        <v>2254058609</v>
      </c>
      <c r="C1140" t="s">
        <v>1281</v>
      </c>
      <c r="D1140" t="s">
        <v>2134</v>
      </c>
      <c r="E1140" t="s">
        <v>760</v>
      </c>
      <c r="G1140" t="s">
        <v>1895</v>
      </c>
      <c r="H1140" t="s">
        <v>1901</v>
      </c>
      <c r="I1140" t="s">
        <v>1897</v>
      </c>
    </row>
    <row r="1141" spans="1:9">
      <c r="A1141" t="s">
        <v>3661</v>
      </c>
      <c r="B1141" s="18">
        <v>2254058610</v>
      </c>
      <c r="C1141" t="s">
        <v>3662</v>
      </c>
      <c r="D1141" t="s">
        <v>3633</v>
      </c>
      <c r="E1141" t="s">
        <v>760</v>
      </c>
      <c r="G1141" t="s">
        <v>2135</v>
      </c>
      <c r="H1141" t="s">
        <v>1908</v>
      </c>
      <c r="I1141" t="s">
        <v>1897</v>
      </c>
    </row>
    <row r="1142" spans="1:9">
      <c r="A1142" t="s">
        <v>3663</v>
      </c>
      <c r="B1142" s="18">
        <v>2254058611</v>
      </c>
      <c r="C1142" t="s">
        <v>1931</v>
      </c>
      <c r="D1142" t="s">
        <v>3354</v>
      </c>
      <c r="E1142" t="s">
        <v>760</v>
      </c>
      <c r="G1142" t="s">
        <v>1895</v>
      </c>
      <c r="H1142" t="s">
        <v>1901</v>
      </c>
      <c r="I1142" t="s">
        <v>1897</v>
      </c>
    </row>
    <row r="1143" spans="1:9">
      <c r="A1143" t="s">
        <v>3664</v>
      </c>
      <c r="B1143" s="18">
        <v>2254058612</v>
      </c>
      <c r="C1143" t="s">
        <v>3665</v>
      </c>
      <c r="D1143" t="s">
        <v>3040</v>
      </c>
      <c r="E1143" t="s">
        <v>760</v>
      </c>
      <c r="G1143" t="s">
        <v>1895</v>
      </c>
      <c r="H1143" t="s">
        <v>1908</v>
      </c>
      <c r="I1143" t="s">
        <v>1897</v>
      </c>
    </row>
    <row r="1144" spans="1:9">
      <c r="A1144" t="s">
        <v>3666</v>
      </c>
      <c r="B1144" s="18">
        <v>2254058613</v>
      </c>
      <c r="C1144" t="s">
        <v>3667</v>
      </c>
      <c r="D1144" t="s">
        <v>1981</v>
      </c>
      <c r="E1144" t="s">
        <v>760</v>
      </c>
      <c r="G1144" t="s">
        <v>1895</v>
      </c>
      <c r="H1144" t="s">
        <v>1901</v>
      </c>
      <c r="I1144" t="s">
        <v>1897</v>
      </c>
    </row>
    <row r="1145" spans="1:9">
      <c r="A1145" t="s">
        <v>3668</v>
      </c>
      <c r="B1145" s="18">
        <v>2254058614</v>
      </c>
      <c r="C1145" t="s">
        <v>3669</v>
      </c>
      <c r="D1145" t="s">
        <v>3670</v>
      </c>
      <c r="E1145" t="s">
        <v>765</v>
      </c>
      <c r="G1145" t="s">
        <v>1895</v>
      </c>
      <c r="H1145" t="s">
        <v>1901</v>
      </c>
      <c r="I1145" t="s">
        <v>1897</v>
      </c>
    </row>
    <row r="1146" spans="1:9">
      <c r="A1146" t="s">
        <v>3671</v>
      </c>
      <c r="B1146" s="18">
        <v>2254058615</v>
      </c>
      <c r="C1146" t="s">
        <v>3672</v>
      </c>
      <c r="D1146" t="s">
        <v>2988</v>
      </c>
      <c r="E1146" t="s">
        <v>765</v>
      </c>
      <c r="G1146" t="s">
        <v>1895</v>
      </c>
      <c r="H1146" t="s">
        <v>1901</v>
      </c>
      <c r="I1146" t="s">
        <v>1897</v>
      </c>
    </row>
    <row r="1147" spans="1:9">
      <c r="A1147" t="s">
        <v>3673</v>
      </c>
      <c r="B1147" s="18">
        <v>2254058616</v>
      </c>
      <c r="C1147" t="s">
        <v>3674</v>
      </c>
      <c r="D1147" t="s">
        <v>3675</v>
      </c>
      <c r="E1147" t="s">
        <v>760</v>
      </c>
      <c r="G1147" t="s">
        <v>1895</v>
      </c>
      <c r="H1147" t="s">
        <v>1896</v>
      </c>
      <c r="I1147" t="s">
        <v>1897</v>
      </c>
    </row>
    <row r="1148" spans="1:9">
      <c r="A1148" t="s">
        <v>3676</v>
      </c>
      <c r="B1148" s="18">
        <v>2254058617</v>
      </c>
      <c r="C1148" t="s">
        <v>3677</v>
      </c>
      <c r="D1148" t="s">
        <v>3678</v>
      </c>
      <c r="E1148" t="s">
        <v>760</v>
      </c>
      <c r="G1148" t="s">
        <v>1895</v>
      </c>
      <c r="H1148" t="s">
        <v>1901</v>
      </c>
      <c r="I1148" t="s">
        <v>1897</v>
      </c>
    </row>
    <row r="1149" spans="1:9">
      <c r="A1149" t="s">
        <v>3679</v>
      </c>
      <c r="B1149" s="18">
        <v>2254058618</v>
      </c>
      <c r="C1149" t="s">
        <v>2545</v>
      </c>
      <c r="D1149" t="s">
        <v>2650</v>
      </c>
      <c r="E1149" t="s">
        <v>760</v>
      </c>
      <c r="G1149" t="s">
        <v>1895</v>
      </c>
      <c r="H1149" t="s">
        <v>1901</v>
      </c>
      <c r="I1149" t="s">
        <v>1897</v>
      </c>
    </row>
    <row r="1150" spans="1:9">
      <c r="A1150" t="s">
        <v>3680</v>
      </c>
      <c r="B1150" s="18">
        <v>2254058619</v>
      </c>
      <c r="C1150" t="s">
        <v>3681</v>
      </c>
      <c r="D1150" t="s">
        <v>3682</v>
      </c>
      <c r="E1150" t="s">
        <v>765</v>
      </c>
      <c r="G1150" t="s">
        <v>1895</v>
      </c>
      <c r="H1150" t="s">
        <v>1901</v>
      </c>
      <c r="I1150" t="s">
        <v>1897</v>
      </c>
    </row>
    <row r="1151" spans="1:9">
      <c r="A1151" t="s">
        <v>3683</v>
      </c>
      <c r="B1151" s="18">
        <v>2254058620</v>
      </c>
      <c r="C1151" t="s">
        <v>3684</v>
      </c>
      <c r="D1151" t="s">
        <v>3685</v>
      </c>
      <c r="E1151" t="s">
        <v>765</v>
      </c>
      <c r="G1151" t="s">
        <v>1895</v>
      </c>
      <c r="H1151" t="s">
        <v>1901</v>
      </c>
      <c r="I1151" t="s">
        <v>1897</v>
      </c>
    </row>
    <row r="1152" spans="1:9">
      <c r="A1152" t="s">
        <v>3686</v>
      </c>
      <c r="B1152" s="18">
        <v>2254058621</v>
      </c>
      <c r="C1152" t="s">
        <v>3687</v>
      </c>
      <c r="D1152" t="s">
        <v>2013</v>
      </c>
      <c r="E1152" t="s">
        <v>765</v>
      </c>
      <c r="G1152" t="s">
        <v>1895</v>
      </c>
      <c r="H1152" t="s">
        <v>1896</v>
      </c>
      <c r="I1152" t="s">
        <v>1897</v>
      </c>
    </row>
    <row r="1153" spans="1:9">
      <c r="A1153" t="s">
        <v>3688</v>
      </c>
      <c r="B1153" s="18">
        <v>2254058622</v>
      </c>
      <c r="C1153" t="s">
        <v>3689</v>
      </c>
      <c r="D1153" t="s">
        <v>3690</v>
      </c>
      <c r="E1153" t="s">
        <v>765</v>
      </c>
      <c r="G1153" t="s">
        <v>1895</v>
      </c>
      <c r="H1153" t="s">
        <v>1901</v>
      </c>
      <c r="I1153" t="s">
        <v>1897</v>
      </c>
    </row>
    <row r="1154" spans="1:9">
      <c r="A1154" t="s">
        <v>3691</v>
      </c>
      <c r="B1154" s="18">
        <v>2254058623</v>
      </c>
      <c r="C1154" t="s">
        <v>3692</v>
      </c>
      <c r="D1154" t="s">
        <v>2387</v>
      </c>
      <c r="E1154" t="s">
        <v>765</v>
      </c>
      <c r="G1154" t="s">
        <v>1895</v>
      </c>
      <c r="H1154" t="s">
        <v>1901</v>
      </c>
      <c r="I1154" t="s">
        <v>1897</v>
      </c>
    </row>
    <row r="1155" spans="1:9">
      <c r="A1155" t="s">
        <v>3693</v>
      </c>
      <c r="B1155" s="18">
        <v>2254058624</v>
      </c>
      <c r="C1155" t="s">
        <v>3694</v>
      </c>
      <c r="D1155" t="s">
        <v>2141</v>
      </c>
      <c r="E1155" t="s">
        <v>765</v>
      </c>
      <c r="G1155" t="s">
        <v>1895</v>
      </c>
      <c r="H1155" t="s">
        <v>1901</v>
      </c>
      <c r="I1155" t="s">
        <v>1897</v>
      </c>
    </row>
    <row r="1156" spans="1:9">
      <c r="A1156" t="s">
        <v>3695</v>
      </c>
      <c r="B1156" s="18">
        <v>2254058625</v>
      </c>
      <c r="C1156" t="s">
        <v>3696</v>
      </c>
      <c r="D1156" t="s">
        <v>2816</v>
      </c>
      <c r="E1156" t="s">
        <v>765</v>
      </c>
      <c r="G1156" t="s">
        <v>1895</v>
      </c>
      <c r="H1156" t="s">
        <v>1901</v>
      </c>
      <c r="I1156" t="s">
        <v>1897</v>
      </c>
    </row>
    <row r="1157" spans="1:9">
      <c r="A1157" t="s">
        <v>3697</v>
      </c>
      <c r="B1157" s="18">
        <v>2254058627</v>
      </c>
      <c r="C1157" t="s">
        <v>3698</v>
      </c>
      <c r="D1157" t="s">
        <v>3096</v>
      </c>
      <c r="E1157" t="s">
        <v>765</v>
      </c>
      <c r="G1157" t="s">
        <v>1895</v>
      </c>
      <c r="H1157" t="s">
        <v>1901</v>
      </c>
      <c r="I1157" t="s">
        <v>1897</v>
      </c>
    </row>
    <row r="1158" spans="1:9">
      <c r="A1158" t="s">
        <v>3699</v>
      </c>
      <c r="B1158" s="18">
        <v>2254058628</v>
      </c>
      <c r="C1158" t="s">
        <v>3700</v>
      </c>
      <c r="D1158" t="s">
        <v>2855</v>
      </c>
      <c r="E1158" t="s">
        <v>765</v>
      </c>
      <c r="G1158" t="s">
        <v>1895</v>
      </c>
      <c r="H1158" t="s">
        <v>1901</v>
      </c>
      <c r="I1158" t="s">
        <v>1897</v>
      </c>
    </row>
    <row r="1159" spans="1:9">
      <c r="A1159" t="s">
        <v>3701</v>
      </c>
      <c r="B1159" s="18">
        <v>2254058631</v>
      </c>
      <c r="C1159" t="s">
        <v>3510</v>
      </c>
      <c r="D1159" t="s">
        <v>2824</v>
      </c>
      <c r="E1159" t="s">
        <v>765</v>
      </c>
      <c r="G1159" t="s">
        <v>1895</v>
      </c>
      <c r="H1159" t="s">
        <v>1896</v>
      </c>
      <c r="I1159" t="s">
        <v>1897</v>
      </c>
    </row>
    <row r="1160" spans="1:9">
      <c r="A1160" t="s">
        <v>3702</v>
      </c>
      <c r="B1160" s="18">
        <v>2254058632</v>
      </c>
      <c r="C1160" t="s">
        <v>3703</v>
      </c>
      <c r="D1160" t="s">
        <v>3165</v>
      </c>
      <c r="E1160" t="s">
        <v>765</v>
      </c>
      <c r="H1160" t="s">
        <v>1901</v>
      </c>
      <c r="I1160" t="s">
        <v>1897</v>
      </c>
    </row>
    <row r="1161" spans="1:9">
      <c r="A1161" t="s">
        <v>3704</v>
      </c>
      <c r="B1161" s="18">
        <v>2254058633</v>
      </c>
      <c r="C1161" t="s">
        <v>3705</v>
      </c>
      <c r="D1161" t="s">
        <v>2161</v>
      </c>
      <c r="E1161" t="s">
        <v>765</v>
      </c>
      <c r="G1161" t="s">
        <v>2135</v>
      </c>
      <c r="H1161" t="s">
        <v>1901</v>
      </c>
      <c r="I1161" t="s">
        <v>1897</v>
      </c>
    </row>
    <row r="1162" spans="1:9">
      <c r="A1162" t="s">
        <v>3706</v>
      </c>
      <c r="B1162" s="18">
        <v>2254058634</v>
      </c>
      <c r="C1162" t="s">
        <v>3707</v>
      </c>
      <c r="D1162" t="s">
        <v>2358</v>
      </c>
      <c r="E1162" t="s">
        <v>760</v>
      </c>
      <c r="G1162" t="s">
        <v>1895</v>
      </c>
      <c r="H1162" t="s">
        <v>1908</v>
      </c>
      <c r="I1162" t="s">
        <v>1897</v>
      </c>
    </row>
    <row r="1163" spans="1:9">
      <c r="A1163" t="s">
        <v>3708</v>
      </c>
      <c r="B1163" s="18">
        <v>2254058635</v>
      </c>
      <c r="C1163" t="s">
        <v>3709</v>
      </c>
      <c r="D1163" t="s">
        <v>1969</v>
      </c>
      <c r="E1163" t="s">
        <v>760</v>
      </c>
      <c r="G1163" t="s">
        <v>1895</v>
      </c>
      <c r="H1163" t="s">
        <v>1901</v>
      </c>
      <c r="I1163" t="s">
        <v>1897</v>
      </c>
    </row>
    <row r="1164" spans="1:9">
      <c r="A1164" t="s">
        <v>3710</v>
      </c>
      <c r="B1164" s="18">
        <v>2254058636</v>
      </c>
      <c r="C1164" t="s">
        <v>3711</v>
      </c>
      <c r="D1164" t="s">
        <v>3712</v>
      </c>
      <c r="E1164" t="s">
        <v>765</v>
      </c>
      <c r="G1164" t="s">
        <v>1895</v>
      </c>
      <c r="H1164" t="s">
        <v>1901</v>
      </c>
      <c r="I1164" t="s">
        <v>1897</v>
      </c>
    </row>
    <row r="1165" spans="1:9">
      <c r="A1165" t="s">
        <v>3713</v>
      </c>
      <c r="B1165" s="18">
        <v>2254058637</v>
      </c>
      <c r="C1165" t="s">
        <v>3714</v>
      </c>
      <c r="D1165" t="s">
        <v>3715</v>
      </c>
      <c r="E1165" t="s">
        <v>760</v>
      </c>
      <c r="H1165" t="s">
        <v>1901</v>
      </c>
      <c r="I1165" t="s">
        <v>1897</v>
      </c>
    </row>
    <row r="1166" spans="1:9">
      <c r="A1166" t="s">
        <v>3716</v>
      </c>
      <c r="B1166" s="18">
        <v>2254058638</v>
      </c>
      <c r="C1166" t="s">
        <v>3717</v>
      </c>
      <c r="D1166" t="s">
        <v>2031</v>
      </c>
      <c r="E1166" t="s">
        <v>760</v>
      </c>
      <c r="G1166" t="s">
        <v>1895</v>
      </c>
      <c r="H1166" t="s">
        <v>1901</v>
      </c>
      <c r="I1166" t="s">
        <v>1897</v>
      </c>
    </row>
    <row r="1167" spans="1:9">
      <c r="A1167" t="s">
        <v>3718</v>
      </c>
      <c r="B1167" s="18">
        <v>2254058639</v>
      </c>
      <c r="C1167" t="s">
        <v>3719</v>
      </c>
      <c r="D1167" t="s">
        <v>2384</v>
      </c>
      <c r="E1167" t="s">
        <v>760</v>
      </c>
      <c r="G1167" t="s">
        <v>1895</v>
      </c>
      <c r="H1167" t="s">
        <v>1901</v>
      </c>
      <c r="I1167" t="s">
        <v>1897</v>
      </c>
    </row>
    <row r="1168" spans="1:9">
      <c r="A1168" t="s">
        <v>3720</v>
      </c>
      <c r="B1168" s="18">
        <v>2254058641</v>
      </c>
      <c r="C1168" t="s">
        <v>3353</v>
      </c>
      <c r="D1168" t="s">
        <v>3721</v>
      </c>
      <c r="E1168" t="s">
        <v>765</v>
      </c>
      <c r="G1168" t="s">
        <v>1895</v>
      </c>
      <c r="H1168" t="s">
        <v>1901</v>
      </c>
      <c r="I1168" t="s">
        <v>1897</v>
      </c>
    </row>
    <row r="1169" spans="1:9">
      <c r="A1169" t="s">
        <v>3722</v>
      </c>
      <c r="B1169" s="18">
        <v>2254058642</v>
      </c>
      <c r="C1169" t="s">
        <v>3723</v>
      </c>
      <c r="D1169" t="s">
        <v>2384</v>
      </c>
      <c r="E1169" t="s">
        <v>760</v>
      </c>
      <c r="G1169" t="s">
        <v>1895</v>
      </c>
      <c r="H1169" t="s">
        <v>1901</v>
      </c>
      <c r="I1169" t="s">
        <v>1897</v>
      </c>
    </row>
    <row r="1170" spans="1:9">
      <c r="A1170" t="s">
        <v>3724</v>
      </c>
      <c r="B1170" s="18">
        <v>2254058640</v>
      </c>
      <c r="C1170" t="s">
        <v>3725</v>
      </c>
      <c r="D1170" t="s">
        <v>2764</v>
      </c>
      <c r="E1170" t="s">
        <v>765</v>
      </c>
      <c r="G1170" t="s">
        <v>1895</v>
      </c>
      <c r="H1170" t="s">
        <v>1901</v>
      </c>
      <c r="I1170" t="s">
        <v>1897</v>
      </c>
    </row>
    <row r="1171" spans="1:9">
      <c r="A1171" t="s">
        <v>3726</v>
      </c>
      <c r="B1171" s="18">
        <v>2254058643</v>
      </c>
      <c r="C1171" t="s">
        <v>3727</v>
      </c>
      <c r="D1171" t="s">
        <v>3488</v>
      </c>
      <c r="E1171" t="s">
        <v>765</v>
      </c>
      <c r="G1171" t="s">
        <v>1895</v>
      </c>
      <c r="H1171" t="s">
        <v>1901</v>
      </c>
      <c r="I1171" t="s">
        <v>1897</v>
      </c>
    </row>
    <row r="1172" spans="1:9">
      <c r="A1172" t="s">
        <v>3728</v>
      </c>
      <c r="B1172" s="18">
        <v>2254058644</v>
      </c>
      <c r="C1172" t="s">
        <v>3729</v>
      </c>
      <c r="D1172" t="s">
        <v>3730</v>
      </c>
      <c r="E1172" t="s">
        <v>765</v>
      </c>
      <c r="G1172" t="s">
        <v>1895</v>
      </c>
      <c r="H1172" t="s">
        <v>1908</v>
      </c>
      <c r="I1172" t="s">
        <v>1897</v>
      </c>
    </row>
    <row r="1173" spans="1:9">
      <c r="A1173" t="s">
        <v>3731</v>
      </c>
      <c r="B1173" s="18">
        <v>2254058648</v>
      </c>
      <c r="C1173" t="s">
        <v>3732</v>
      </c>
      <c r="D1173" t="s">
        <v>3733</v>
      </c>
      <c r="E1173" t="s">
        <v>765</v>
      </c>
      <c r="G1173" t="s">
        <v>1895</v>
      </c>
      <c r="H1173" t="s">
        <v>1901</v>
      </c>
      <c r="I1173" t="s">
        <v>1897</v>
      </c>
    </row>
    <row r="1174" spans="1:9">
      <c r="A1174" t="s">
        <v>3734</v>
      </c>
      <c r="B1174" s="18">
        <v>2254058646</v>
      </c>
      <c r="C1174" t="s">
        <v>3735</v>
      </c>
      <c r="D1174" t="s">
        <v>2161</v>
      </c>
      <c r="E1174" t="s">
        <v>765</v>
      </c>
      <c r="G1174" t="s">
        <v>1895</v>
      </c>
      <c r="H1174" t="s">
        <v>1908</v>
      </c>
      <c r="I1174" t="s">
        <v>1897</v>
      </c>
    </row>
    <row r="1175" spans="1:9">
      <c r="A1175" t="s">
        <v>3736</v>
      </c>
      <c r="B1175" s="18">
        <v>2254058647</v>
      </c>
      <c r="C1175" t="s">
        <v>3735</v>
      </c>
      <c r="D1175" t="s">
        <v>3589</v>
      </c>
      <c r="E1175" t="s">
        <v>765</v>
      </c>
      <c r="G1175" t="s">
        <v>1895</v>
      </c>
      <c r="H1175" t="s">
        <v>1908</v>
      </c>
      <c r="I1175" t="s">
        <v>1897</v>
      </c>
    </row>
    <row r="1176" spans="1:9">
      <c r="A1176" t="s">
        <v>3737</v>
      </c>
      <c r="B1176" s="18">
        <v>2254058649</v>
      </c>
      <c r="C1176" t="s">
        <v>3738</v>
      </c>
      <c r="D1176" t="s">
        <v>3739</v>
      </c>
      <c r="E1176" t="s">
        <v>765</v>
      </c>
      <c r="G1176" t="s">
        <v>1895</v>
      </c>
      <c r="H1176" t="s">
        <v>1901</v>
      </c>
      <c r="I1176" t="s">
        <v>1897</v>
      </c>
    </row>
    <row r="1177" spans="1:9">
      <c r="A1177" t="s">
        <v>3740</v>
      </c>
      <c r="B1177" s="18">
        <v>2254058651</v>
      </c>
      <c r="C1177" t="s">
        <v>3741</v>
      </c>
      <c r="D1177" t="s">
        <v>2007</v>
      </c>
      <c r="E1177" t="s">
        <v>765</v>
      </c>
      <c r="G1177" t="s">
        <v>1895</v>
      </c>
      <c r="H1177" t="s">
        <v>1908</v>
      </c>
      <c r="I1177" t="s">
        <v>1897</v>
      </c>
    </row>
    <row r="1178" spans="1:9">
      <c r="A1178" t="s">
        <v>3742</v>
      </c>
      <c r="B1178" s="18">
        <v>2254058650</v>
      </c>
      <c r="C1178" t="s">
        <v>3743</v>
      </c>
      <c r="D1178" t="s">
        <v>2878</v>
      </c>
      <c r="E1178" t="s">
        <v>765</v>
      </c>
      <c r="G1178" t="s">
        <v>1895</v>
      </c>
      <c r="H1178" t="s">
        <v>1908</v>
      </c>
      <c r="I1178" t="s">
        <v>1897</v>
      </c>
    </row>
    <row r="1179" spans="1:9">
      <c r="A1179" t="s">
        <v>3744</v>
      </c>
      <c r="B1179" s="18">
        <v>2254058652</v>
      </c>
      <c r="C1179" t="s">
        <v>3745</v>
      </c>
      <c r="D1179" t="s">
        <v>3178</v>
      </c>
      <c r="E1179" t="s">
        <v>765</v>
      </c>
      <c r="G1179" t="s">
        <v>1895</v>
      </c>
      <c r="H1179" t="s">
        <v>1901</v>
      </c>
      <c r="I1179" t="s">
        <v>1897</v>
      </c>
    </row>
    <row r="1180" spans="1:9">
      <c r="A1180" t="s">
        <v>3746</v>
      </c>
      <c r="B1180" s="18">
        <v>2254058645</v>
      </c>
      <c r="C1180" t="s">
        <v>3747</v>
      </c>
      <c r="D1180" t="s">
        <v>2177</v>
      </c>
      <c r="E1180" t="s">
        <v>765</v>
      </c>
      <c r="G1180" t="s">
        <v>1895</v>
      </c>
      <c r="H1180" t="s">
        <v>1901</v>
      </c>
      <c r="I1180" t="s">
        <v>1897</v>
      </c>
    </row>
    <row r="1181" spans="1:9">
      <c r="A1181" t="s">
        <v>3748</v>
      </c>
      <c r="B1181" s="18">
        <v>2254058653</v>
      </c>
      <c r="C1181" t="s">
        <v>3749</v>
      </c>
      <c r="D1181" t="s">
        <v>3420</v>
      </c>
      <c r="E1181" t="s">
        <v>765</v>
      </c>
      <c r="G1181" t="s">
        <v>1895</v>
      </c>
      <c r="H1181" t="s">
        <v>1896</v>
      </c>
      <c r="I1181" t="s">
        <v>1897</v>
      </c>
    </row>
    <row r="1182" spans="1:9">
      <c r="A1182" t="s">
        <v>3750</v>
      </c>
      <c r="B1182" s="18">
        <v>2254058654</v>
      </c>
      <c r="C1182" t="s">
        <v>3751</v>
      </c>
      <c r="D1182" t="s">
        <v>3752</v>
      </c>
      <c r="E1182" t="s">
        <v>765</v>
      </c>
      <c r="G1182" t="s">
        <v>1895</v>
      </c>
      <c r="H1182" t="s">
        <v>1896</v>
      </c>
      <c r="I1182" t="s">
        <v>1897</v>
      </c>
    </row>
    <row r="1183" spans="1:9">
      <c r="A1183" t="s">
        <v>3753</v>
      </c>
      <c r="B1183" s="18">
        <v>2254058655</v>
      </c>
      <c r="C1183" t="s">
        <v>35</v>
      </c>
      <c r="D1183" t="s">
        <v>2013</v>
      </c>
      <c r="E1183" t="s">
        <v>765</v>
      </c>
      <c r="G1183" t="s">
        <v>1895</v>
      </c>
      <c r="H1183" t="s">
        <v>1901</v>
      </c>
      <c r="I1183" t="s">
        <v>1897</v>
      </c>
    </row>
    <row r="1184" spans="1:9">
      <c r="A1184" t="s">
        <v>3754</v>
      </c>
      <c r="B1184" s="18">
        <v>2254058656</v>
      </c>
      <c r="C1184" t="s">
        <v>3755</v>
      </c>
      <c r="D1184" t="s">
        <v>2310</v>
      </c>
      <c r="E1184" t="s">
        <v>765</v>
      </c>
      <c r="G1184" t="s">
        <v>1895</v>
      </c>
      <c r="H1184" t="s">
        <v>1901</v>
      </c>
      <c r="I1184" t="s">
        <v>1897</v>
      </c>
    </row>
    <row r="1185" spans="1:9">
      <c r="A1185" t="s">
        <v>3756</v>
      </c>
      <c r="B1185" s="18">
        <v>2254058657</v>
      </c>
      <c r="C1185" t="s">
        <v>3757</v>
      </c>
      <c r="D1185" t="s">
        <v>3363</v>
      </c>
      <c r="E1185" t="s">
        <v>765</v>
      </c>
      <c r="G1185" t="s">
        <v>1895</v>
      </c>
      <c r="H1185" t="s">
        <v>1901</v>
      </c>
      <c r="I1185" t="s">
        <v>1897</v>
      </c>
    </row>
    <row r="1186" spans="1:9">
      <c r="A1186" t="s">
        <v>3758</v>
      </c>
      <c r="B1186" s="18">
        <v>2254058658</v>
      </c>
      <c r="C1186" t="s">
        <v>3759</v>
      </c>
      <c r="D1186" t="s">
        <v>775</v>
      </c>
      <c r="E1186" t="s">
        <v>765</v>
      </c>
      <c r="G1186" t="s">
        <v>1895</v>
      </c>
      <c r="H1186" t="s">
        <v>1901</v>
      </c>
      <c r="I1186" t="s">
        <v>1897</v>
      </c>
    </row>
    <row r="1187" spans="1:9">
      <c r="A1187" t="s">
        <v>3760</v>
      </c>
      <c r="B1187" s="18">
        <v>2254058659</v>
      </c>
      <c r="C1187" t="s">
        <v>3761</v>
      </c>
      <c r="D1187" t="s">
        <v>3049</v>
      </c>
      <c r="E1187" t="s">
        <v>765</v>
      </c>
      <c r="G1187" t="s">
        <v>1895</v>
      </c>
      <c r="H1187" t="s">
        <v>1908</v>
      </c>
      <c r="I1187" t="s">
        <v>1897</v>
      </c>
    </row>
    <row r="1188" spans="1:9">
      <c r="A1188">
        <v>221482022</v>
      </c>
      <c r="B1188" s="18">
        <v>2151017340</v>
      </c>
      <c r="C1188" t="s">
        <v>3762</v>
      </c>
      <c r="D1188" t="s">
        <v>3763</v>
      </c>
      <c r="E1188" t="s">
        <v>760</v>
      </c>
      <c r="I1188" t="s">
        <v>3764</v>
      </c>
    </row>
    <row r="1189" spans="1:9">
      <c r="A1189" t="s">
        <v>3765</v>
      </c>
      <c r="B1189" s="18">
        <v>2151017341</v>
      </c>
      <c r="C1189" t="s">
        <v>3766</v>
      </c>
      <c r="D1189" t="s">
        <v>3767</v>
      </c>
      <c r="E1189" t="s">
        <v>760</v>
      </c>
      <c r="I1189" t="s">
        <v>3764</v>
      </c>
    </row>
    <row r="1190" spans="1:9">
      <c r="A1190" t="s">
        <v>3768</v>
      </c>
      <c r="B1190" s="18">
        <v>2151017342</v>
      </c>
      <c r="C1190" t="s">
        <v>298</v>
      </c>
      <c r="D1190" t="s">
        <v>3769</v>
      </c>
      <c r="E1190" t="s">
        <v>765</v>
      </c>
      <c r="I1190" t="s">
        <v>3764</v>
      </c>
    </row>
    <row r="1191" spans="1:9">
      <c r="A1191" t="s">
        <v>3770</v>
      </c>
      <c r="B1191" s="18">
        <v>2151017343</v>
      </c>
      <c r="C1191" t="s">
        <v>300</v>
      </c>
      <c r="D1191" t="s">
        <v>3771</v>
      </c>
      <c r="E1191" t="s">
        <v>765</v>
      </c>
      <c r="I1191" t="s">
        <v>3764</v>
      </c>
    </row>
    <row r="1192" spans="1:9">
      <c r="A1192" t="s">
        <v>3772</v>
      </c>
      <c r="B1192" s="18">
        <v>2151017344</v>
      </c>
      <c r="C1192" t="s">
        <v>440</v>
      </c>
      <c r="D1192" t="s">
        <v>3773</v>
      </c>
      <c r="E1192" t="s">
        <v>760</v>
      </c>
      <c r="I1192" t="s">
        <v>3764</v>
      </c>
    </row>
    <row r="1193" spans="1:9">
      <c r="A1193" t="s">
        <v>3774</v>
      </c>
      <c r="B1193" s="18">
        <v>2151017345</v>
      </c>
      <c r="C1193" t="s">
        <v>3775</v>
      </c>
      <c r="D1193" t="s">
        <v>3776</v>
      </c>
      <c r="E1193" t="s">
        <v>765</v>
      </c>
      <c r="I1193" t="s">
        <v>3764</v>
      </c>
    </row>
    <row r="1194" spans="1:9">
      <c r="A1194">
        <v>272960721</v>
      </c>
      <c r="B1194" s="18">
        <v>2151017346</v>
      </c>
      <c r="C1194" t="s">
        <v>3777</v>
      </c>
      <c r="D1194" t="s">
        <v>3778</v>
      </c>
      <c r="E1194" t="s">
        <v>760</v>
      </c>
      <c r="I1194" t="s">
        <v>3764</v>
      </c>
    </row>
    <row r="1195" spans="1:9">
      <c r="A1195">
        <v>225834507</v>
      </c>
      <c r="B1195" s="18">
        <v>2151017347</v>
      </c>
      <c r="C1195" t="s">
        <v>272</v>
      </c>
      <c r="D1195" t="s">
        <v>3779</v>
      </c>
      <c r="E1195" t="s">
        <v>765</v>
      </c>
      <c r="I1195" t="s">
        <v>3764</v>
      </c>
    </row>
    <row r="1196" spans="1:9">
      <c r="A1196" t="s">
        <v>3780</v>
      </c>
      <c r="B1196" s="18">
        <v>2151017348</v>
      </c>
      <c r="C1196" t="s">
        <v>3781</v>
      </c>
      <c r="D1196" t="s">
        <v>2770</v>
      </c>
      <c r="E1196" t="s">
        <v>760</v>
      </c>
      <c r="I1196" t="s">
        <v>3764</v>
      </c>
    </row>
    <row r="1197" spans="1:9">
      <c r="A1197">
        <v>225629937</v>
      </c>
      <c r="B1197" s="18">
        <v>2151017349</v>
      </c>
      <c r="C1197" t="s">
        <v>3782</v>
      </c>
      <c r="D1197" t="s">
        <v>3783</v>
      </c>
      <c r="E1197" t="s">
        <v>760</v>
      </c>
      <c r="I1197" t="s">
        <v>3764</v>
      </c>
    </row>
    <row r="1198" spans="1:9">
      <c r="A1198" t="s">
        <v>3784</v>
      </c>
      <c r="B1198" s="18">
        <v>2151017350</v>
      </c>
      <c r="C1198" t="s">
        <v>3785</v>
      </c>
      <c r="D1198" t="s">
        <v>2266</v>
      </c>
      <c r="E1198" t="s">
        <v>765</v>
      </c>
      <c r="I1198" t="s">
        <v>3764</v>
      </c>
    </row>
    <row r="1199" spans="1:9">
      <c r="A1199" t="s">
        <v>3786</v>
      </c>
      <c r="B1199" s="18">
        <v>2151017351</v>
      </c>
      <c r="C1199" t="s">
        <v>490</v>
      </c>
      <c r="D1199" t="s">
        <v>3787</v>
      </c>
      <c r="E1199" t="s">
        <v>760</v>
      </c>
      <c r="I1199" t="s">
        <v>3764</v>
      </c>
    </row>
    <row r="1200" spans="1:9">
      <c r="A1200" t="s">
        <v>3788</v>
      </c>
      <c r="B1200" s="18">
        <v>2151017352</v>
      </c>
      <c r="C1200" t="s">
        <v>3789</v>
      </c>
      <c r="D1200" t="s">
        <v>3790</v>
      </c>
      <c r="E1200" t="s">
        <v>760</v>
      </c>
      <c r="I1200" t="s">
        <v>3764</v>
      </c>
    </row>
    <row r="1201" spans="1:9">
      <c r="A1201">
        <v>261586696</v>
      </c>
      <c r="B1201" s="18">
        <v>2151017353</v>
      </c>
      <c r="C1201" t="s">
        <v>292</v>
      </c>
      <c r="D1201" t="s">
        <v>3791</v>
      </c>
      <c r="E1201" t="s">
        <v>760</v>
      </c>
      <c r="I1201" t="s">
        <v>3764</v>
      </c>
    </row>
    <row r="1202" spans="1:9">
      <c r="A1202">
        <v>301863418</v>
      </c>
      <c r="B1202" s="18">
        <v>2151017354</v>
      </c>
      <c r="C1202" t="s">
        <v>3792</v>
      </c>
      <c r="D1202" t="s">
        <v>3793</v>
      </c>
      <c r="E1202" t="s">
        <v>760</v>
      </c>
      <c r="I1202" t="s">
        <v>3764</v>
      </c>
    </row>
    <row r="1203" spans="1:9">
      <c r="A1203">
        <v>382033498</v>
      </c>
      <c r="B1203" s="18">
        <v>2151017355</v>
      </c>
      <c r="C1203" t="s">
        <v>3794</v>
      </c>
      <c r="D1203" t="s">
        <v>3795</v>
      </c>
      <c r="E1203" t="s">
        <v>760</v>
      </c>
      <c r="I1203" t="s">
        <v>3764</v>
      </c>
    </row>
    <row r="1204" spans="1:9">
      <c r="A1204" t="s">
        <v>3796</v>
      </c>
      <c r="B1204" s="18">
        <v>2151017356</v>
      </c>
      <c r="C1204" t="s">
        <v>262</v>
      </c>
      <c r="D1204" t="s">
        <v>3797</v>
      </c>
      <c r="E1204" t="s">
        <v>765</v>
      </c>
      <c r="I1204" t="s">
        <v>3764</v>
      </c>
    </row>
    <row r="1205" spans="1:9">
      <c r="A1205">
        <v>312537877</v>
      </c>
      <c r="B1205" s="18">
        <v>2151017357</v>
      </c>
      <c r="C1205" t="s">
        <v>3798</v>
      </c>
      <c r="D1205" t="s">
        <v>3799</v>
      </c>
      <c r="E1205" t="s">
        <v>760</v>
      </c>
      <c r="I1205" t="s">
        <v>3764</v>
      </c>
    </row>
    <row r="1206" spans="1:9">
      <c r="A1206" t="s">
        <v>3800</v>
      </c>
      <c r="B1206" s="18">
        <v>2151017358</v>
      </c>
      <c r="C1206" t="s">
        <v>3801</v>
      </c>
      <c r="D1206" t="s">
        <v>3802</v>
      </c>
      <c r="E1206" t="s">
        <v>760</v>
      </c>
      <c r="I1206" t="s">
        <v>3764</v>
      </c>
    </row>
    <row r="1207" spans="1:9">
      <c r="A1207" t="s">
        <v>3803</v>
      </c>
      <c r="B1207" s="18">
        <v>2151017359</v>
      </c>
      <c r="C1207" t="s">
        <v>3804</v>
      </c>
      <c r="D1207" t="s">
        <v>3805</v>
      </c>
      <c r="E1207" t="s">
        <v>760</v>
      </c>
      <c r="I1207" t="s">
        <v>3764</v>
      </c>
    </row>
    <row r="1208" spans="1:9">
      <c r="A1208">
        <v>215586679</v>
      </c>
      <c r="B1208" s="18">
        <v>2151017360</v>
      </c>
      <c r="C1208" t="s">
        <v>3806</v>
      </c>
      <c r="D1208" t="s">
        <v>3807</v>
      </c>
      <c r="E1208" t="s">
        <v>760</v>
      </c>
      <c r="I1208" t="s">
        <v>3764</v>
      </c>
    </row>
    <row r="1209" spans="1:9">
      <c r="A1209" t="s">
        <v>3808</v>
      </c>
      <c r="B1209" s="18">
        <v>2151017361</v>
      </c>
      <c r="C1209" t="s">
        <v>603</v>
      </c>
      <c r="D1209" t="s">
        <v>3809</v>
      </c>
      <c r="E1209" t="s">
        <v>760</v>
      </c>
      <c r="I1209" t="s">
        <v>3764</v>
      </c>
    </row>
    <row r="1210" spans="1:9">
      <c r="A1210">
        <v>272932747</v>
      </c>
      <c r="B1210" s="18">
        <v>2151017362</v>
      </c>
      <c r="C1210" t="s">
        <v>3810</v>
      </c>
      <c r="D1210" t="s">
        <v>3811</v>
      </c>
      <c r="E1210" t="s">
        <v>760</v>
      </c>
      <c r="I1210" t="s">
        <v>3764</v>
      </c>
    </row>
    <row r="1211" spans="1:9">
      <c r="A1211" t="s">
        <v>3812</v>
      </c>
      <c r="B1211" s="18">
        <v>2151017363</v>
      </c>
      <c r="C1211" t="s">
        <v>3813</v>
      </c>
      <c r="D1211" t="s">
        <v>3814</v>
      </c>
      <c r="E1211" t="s">
        <v>760</v>
      </c>
      <c r="I1211" t="s">
        <v>3764</v>
      </c>
    </row>
    <row r="1212" spans="1:9">
      <c r="A1212">
        <v>261642006</v>
      </c>
      <c r="B1212" s="18">
        <v>2151017364</v>
      </c>
      <c r="C1212" t="s">
        <v>3815</v>
      </c>
      <c r="D1212" t="s">
        <v>3816</v>
      </c>
      <c r="E1212" t="s">
        <v>760</v>
      </c>
      <c r="I1212" t="s">
        <v>3764</v>
      </c>
    </row>
    <row r="1213" spans="1:9">
      <c r="A1213" t="s">
        <v>3817</v>
      </c>
      <c r="B1213" s="18">
        <v>2151017365</v>
      </c>
      <c r="C1213" t="s">
        <v>1383</v>
      </c>
      <c r="D1213" t="s">
        <v>3776</v>
      </c>
      <c r="E1213" t="s">
        <v>760</v>
      </c>
      <c r="I1213" t="s">
        <v>3764</v>
      </c>
    </row>
    <row r="1214" spans="1:9">
      <c r="A1214" t="s">
        <v>3818</v>
      </c>
      <c r="B1214" s="18">
        <v>2151047366</v>
      </c>
      <c r="C1214" t="s">
        <v>3819</v>
      </c>
      <c r="D1214" t="s">
        <v>3820</v>
      </c>
      <c r="E1214" t="s">
        <v>760</v>
      </c>
      <c r="I1214" t="s">
        <v>3764</v>
      </c>
    </row>
    <row r="1215" spans="1:9">
      <c r="A1215" t="s">
        <v>3821</v>
      </c>
      <c r="B1215" s="18">
        <v>2151047367</v>
      </c>
      <c r="C1215" t="s">
        <v>3822</v>
      </c>
      <c r="D1215" t="s">
        <v>1436</v>
      </c>
      <c r="E1215" t="s">
        <v>760</v>
      </c>
      <c r="I1215" t="s">
        <v>3764</v>
      </c>
    </row>
    <row r="1216" spans="1:9">
      <c r="A1216" t="s">
        <v>3823</v>
      </c>
      <c r="B1216" s="18">
        <v>2151047368</v>
      </c>
      <c r="C1216" t="s">
        <v>442</v>
      </c>
      <c r="D1216" t="s">
        <v>3824</v>
      </c>
      <c r="E1216" t="s">
        <v>760</v>
      </c>
      <c r="I1216" t="s">
        <v>3764</v>
      </c>
    </row>
    <row r="1217" spans="1:9">
      <c r="A1217" t="s">
        <v>3825</v>
      </c>
      <c r="B1217" s="18">
        <v>2151047369</v>
      </c>
      <c r="C1217" t="s">
        <v>3826</v>
      </c>
      <c r="D1217" t="s">
        <v>1301</v>
      </c>
      <c r="E1217" t="s">
        <v>760</v>
      </c>
      <c r="I1217" t="s">
        <v>3764</v>
      </c>
    </row>
    <row r="1218" spans="1:9">
      <c r="A1218" t="s">
        <v>3827</v>
      </c>
      <c r="B1218" s="18">
        <v>2151047370</v>
      </c>
      <c r="C1218" t="s">
        <v>3828</v>
      </c>
      <c r="D1218" t="s">
        <v>3829</v>
      </c>
      <c r="E1218" t="s">
        <v>760</v>
      </c>
      <c r="I1218" t="s">
        <v>3764</v>
      </c>
    </row>
    <row r="1219" spans="1:9">
      <c r="A1219" t="s">
        <v>3830</v>
      </c>
      <c r="B1219" s="18">
        <v>2151067371</v>
      </c>
      <c r="C1219" t="s">
        <v>228</v>
      </c>
      <c r="D1219" t="s">
        <v>3831</v>
      </c>
      <c r="E1219" t="s">
        <v>760</v>
      </c>
      <c r="I1219" t="s">
        <v>3764</v>
      </c>
    </row>
    <row r="1220" spans="1:9">
      <c r="A1220" t="s">
        <v>3832</v>
      </c>
      <c r="B1220" s="18">
        <v>2151067372</v>
      </c>
      <c r="C1220" t="s">
        <v>3833</v>
      </c>
      <c r="D1220" t="s">
        <v>3834</v>
      </c>
      <c r="E1220" t="s">
        <v>765</v>
      </c>
      <c r="I1220" t="s">
        <v>3764</v>
      </c>
    </row>
    <row r="1221" spans="1:9">
      <c r="A1221" t="s">
        <v>3835</v>
      </c>
      <c r="B1221" s="18">
        <v>2151067373</v>
      </c>
      <c r="C1221" t="s">
        <v>3836</v>
      </c>
      <c r="D1221" t="s">
        <v>3805</v>
      </c>
      <c r="E1221" t="s">
        <v>760</v>
      </c>
      <c r="I1221" t="s">
        <v>3764</v>
      </c>
    </row>
    <row r="1222" spans="1:9">
      <c r="A1222">
        <v>382050563</v>
      </c>
      <c r="B1222" s="18">
        <v>2154027374</v>
      </c>
      <c r="C1222" t="s">
        <v>3837</v>
      </c>
      <c r="D1222" t="s">
        <v>3838</v>
      </c>
      <c r="E1222" t="s">
        <v>760</v>
      </c>
      <c r="I1222" t="s">
        <v>3764</v>
      </c>
    </row>
    <row r="1223" spans="1:9">
      <c r="A1223">
        <v>233341973</v>
      </c>
      <c r="B1223" s="18">
        <v>2154027375</v>
      </c>
      <c r="C1223" t="s">
        <v>3839</v>
      </c>
      <c r="D1223" t="s">
        <v>3840</v>
      </c>
      <c r="E1223" t="s">
        <v>765</v>
      </c>
      <c r="I1223" t="s">
        <v>3764</v>
      </c>
    </row>
    <row r="1224" spans="1:9">
      <c r="A1224" t="s">
        <v>3841</v>
      </c>
      <c r="B1224" s="18">
        <v>2154027376</v>
      </c>
      <c r="C1224" t="s">
        <v>3842</v>
      </c>
      <c r="D1224" t="s">
        <v>3843</v>
      </c>
      <c r="E1224" t="s">
        <v>765</v>
      </c>
      <c r="I1224" t="s">
        <v>3764</v>
      </c>
    </row>
    <row r="1225" spans="1:9">
      <c r="A1225">
        <v>251302854</v>
      </c>
      <c r="B1225" s="18">
        <v>2154027377</v>
      </c>
      <c r="C1225" t="s">
        <v>3844</v>
      </c>
      <c r="D1225" t="s">
        <v>3845</v>
      </c>
      <c r="E1225" t="s">
        <v>760</v>
      </c>
      <c r="I1225" t="s">
        <v>3764</v>
      </c>
    </row>
    <row r="1226" spans="1:9">
      <c r="A1226" t="s">
        <v>3846</v>
      </c>
      <c r="B1226" s="18">
        <v>2154027378</v>
      </c>
      <c r="C1226" t="s">
        <v>3847</v>
      </c>
      <c r="D1226" t="s">
        <v>3848</v>
      </c>
      <c r="E1226" t="s">
        <v>765</v>
      </c>
      <c r="I1226" t="s">
        <v>3764</v>
      </c>
    </row>
    <row r="1227" spans="1:9">
      <c r="A1227">
        <v>187617302</v>
      </c>
      <c r="B1227" s="18">
        <v>2154027379</v>
      </c>
      <c r="C1227" t="s">
        <v>3849</v>
      </c>
      <c r="D1227" t="s">
        <v>3850</v>
      </c>
      <c r="E1227" t="s">
        <v>765</v>
      </c>
      <c r="I1227" t="s">
        <v>3764</v>
      </c>
    </row>
    <row r="1228" spans="1:9">
      <c r="A1228">
        <v>187799641</v>
      </c>
      <c r="B1228" s="18">
        <v>2154037380</v>
      </c>
      <c r="C1228" t="s">
        <v>153</v>
      </c>
      <c r="D1228" t="s">
        <v>1439</v>
      </c>
      <c r="E1228" t="s">
        <v>765</v>
      </c>
      <c r="I1228" t="s">
        <v>3764</v>
      </c>
    </row>
    <row r="1229" spans="1:9">
      <c r="A1229">
        <v>321812427</v>
      </c>
      <c r="B1229" s="18">
        <v>2154037381</v>
      </c>
      <c r="C1229" t="s">
        <v>3851</v>
      </c>
      <c r="D1229" t="s">
        <v>3852</v>
      </c>
      <c r="E1229" t="s">
        <v>765</v>
      </c>
      <c r="I1229" t="s">
        <v>3764</v>
      </c>
    </row>
    <row r="1230" spans="1:9">
      <c r="A1230" t="s">
        <v>3853</v>
      </c>
      <c r="B1230" s="18">
        <v>2154037382</v>
      </c>
      <c r="C1230" t="s">
        <v>3854</v>
      </c>
      <c r="D1230" t="s">
        <v>3855</v>
      </c>
      <c r="E1230" t="s">
        <v>765</v>
      </c>
      <c r="I1230" t="s">
        <v>3764</v>
      </c>
    </row>
    <row r="1231" spans="1:9">
      <c r="A1231" t="s">
        <v>3856</v>
      </c>
      <c r="B1231" s="18">
        <v>2154037383</v>
      </c>
      <c r="C1231" t="s">
        <v>3857</v>
      </c>
      <c r="D1231" t="s">
        <v>3218</v>
      </c>
      <c r="E1231" t="s">
        <v>765</v>
      </c>
      <c r="I1231" t="s">
        <v>3764</v>
      </c>
    </row>
    <row r="1232" spans="1:9">
      <c r="A1232" t="s">
        <v>3858</v>
      </c>
      <c r="B1232" s="18">
        <v>2154037384</v>
      </c>
      <c r="C1232" t="s">
        <v>158</v>
      </c>
      <c r="D1232" t="s">
        <v>3859</v>
      </c>
      <c r="E1232" t="s">
        <v>765</v>
      </c>
      <c r="I1232" t="s">
        <v>3764</v>
      </c>
    </row>
    <row r="1233" spans="1:9">
      <c r="A1233" t="s">
        <v>3860</v>
      </c>
      <c r="B1233" s="18">
        <v>2154077385</v>
      </c>
      <c r="C1233" t="s">
        <v>3861</v>
      </c>
      <c r="D1233" t="s">
        <v>3862</v>
      </c>
      <c r="E1233" t="s">
        <v>765</v>
      </c>
      <c r="I1233" t="s">
        <v>3764</v>
      </c>
    </row>
    <row r="1234" spans="1:9">
      <c r="A1234">
        <v>245426514</v>
      </c>
      <c r="B1234" s="18">
        <v>2154077386</v>
      </c>
      <c r="C1234" t="s">
        <v>144</v>
      </c>
      <c r="D1234" t="s">
        <v>3863</v>
      </c>
      <c r="E1234" t="s">
        <v>765</v>
      </c>
      <c r="I1234" t="s">
        <v>3764</v>
      </c>
    </row>
    <row r="1235" spans="1:9">
      <c r="A1235">
        <v>233363388</v>
      </c>
      <c r="B1235" s="18">
        <v>2154077387</v>
      </c>
      <c r="C1235" t="s">
        <v>137</v>
      </c>
      <c r="D1235" t="s">
        <v>3864</v>
      </c>
      <c r="E1235" t="s">
        <v>765</v>
      </c>
      <c r="I1235" t="s">
        <v>3764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96"/>
  <sheetViews>
    <sheetView topLeftCell="A1115" workbookViewId="0">
      <selection activeCell="E1126" sqref="E1126"/>
    </sheetView>
  </sheetViews>
  <sheetFormatPr defaultRowHeight="15"/>
  <cols>
    <col min="2" max="2" width="12.7109375" customWidth="1"/>
    <col min="3" max="3" width="26.42578125" customWidth="1"/>
    <col min="4" max="4" width="9.140625" customWidth="1"/>
    <col min="5" max="5" width="11.7109375" customWidth="1"/>
    <col min="6" max="6" width="57.28515625" customWidth="1"/>
    <col min="7" max="7" width="14.5703125" customWidth="1"/>
    <col min="8" max="8" width="11.7109375" customWidth="1"/>
    <col min="9" max="9" width="59.42578125" customWidth="1"/>
    <col min="10" max="10" width="13.28515625" customWidth="1"/>
    <col min="11" max="11" width="8" customWidth="1"/>
    <col min="12" max="12" width="17.5703125" customWidth="1"/>
    <col min="13" max="13" width="131.7109375" customWidth="1"/>
    <col min="14" max="14" width="21.5703125" customWidth="1"/>
    <col min="15" max="15" width="16" customWidth="1"/>
    <col min="16" max="16" width="26" customWidth="1"/>
    <col min="17" max="17" width="16.42578125" customWidth="1"/>
    <col min="18" max="18" width="15.42578125" customWidth="1"/>
    <col min="19" max="19" width="32.28515625" style="32" customWidth="1"/>
    <col min="20" max="20" width="28.5703125" customWidth="1"/>
    <col min="21" max="21" width="5.7109375" customWidth="1"/>
    <col min="22" max="22" width="30" customWidth="1"/>
    <col min="23" max="23" width="15.7109375" customWidth="1"/>
    <col min="258" max="258" width="12.7109375" customWidth="1"/>
    <col min="259" max="259" width="26.42578125" customWidth="1"/>
    <col min="260" max="260" width="9.140625" customWidth="1"/>
    <col min="261" max="261" width="11.7109375" customWidth="1"/>
    <col min="262" max="262" width="57.28515625" customWidth="1"/>
    <col min="263" max="263" width="14.5703125" customWidth="1"/>
    <col min="264" max="264" width="11.7109375" customWidth="1"/>
    <col min="265" max="265" width="59.42578125" customWidth="1"/>
    <col min="266" max="266" width="13.28515625" customWidth="1"/>
    <col min="267" max="267" width="8" customWidth="1"/>
    <col min="268" max="268" width="17.5703125" customWidth="1"/>
    <col min="269" max="269" width="131.7109375" customWidth="1"/>
    <col min="270" max="270" width="21.5703125" customWidth="1"/>
    <col min="271" max="271" width="16" customWidth="1"/>
    <col min="272" max="272" width="26" customWidth="1"/>
    <col min="273" max="273" width="16.42578125" customWidth="1"/>
    <col min="274" max="274" width="15.42578125" customWidth="1"/>
    <col min="275" max="275" width="32.28515625" customWidth="1"/>
    <col min="276" max="276" width="28.5703125" customWidth="1"/>
    <col min="277" max="277" width="5.7109375" customWidth="1"/>
    <col min="278" max="278" width="30" customWidth="1"/>
    <col min="279" max="279" width="15.7109375" customWidth="1"/>
    <col min="514" max="514" width="12.7109375" customWidth="1"/>
    <col min="515" max="515" width="26.42578125" customWidth="1"/>
    <col min="516" max="516" width="9.140625" customWidth="1"/>
    <col min="517" max="517" width="11.7109375" customWidth="1"/>
    <col min="518" max="518" width="57.28515625" customWidth="1"/>
    <col min="519" max="519" width="14.5703125" customWidth="1"/>
    <col min="520" max="520" width="11.7109375" customWidth="1"/>
    <col min="521" max="521" width="59.42578125" customWidth="1"/>
    <col min="522" max="522" width="13.28515625" customWidth="1"/>
    <col min="523" max="523" width="8" customWidth="1"/>
    <col min="524" max="524" width="17.5703125" customWidth="1"/>
    <col min="525" max="525" width="131.7109375" customWidth="1"/>
    <col min="526" max="526" width="21.5703125" customWidth="1"/>
    <col min="527" max="527" width="16" customWidth="1"/>
    <col min="528" max="528" width="26" customWidth="1"/>
    <col min="529" max="529" width="16.42578125" customWidth="1"/>
    <col min="530" max="530" width="15.42578125" customWidth="1"/>
    <col min="531" max="531" width="32.28515625" customWidth="1"/>
    <col min="532" max="532" width="28.5703125" customWidth="1"/>
    <col min="533" max="533" width="5.7109375" customWidth="1"/>
    <col min="534" max="534" width="30" customWidth="1"/>
    <col min="535" max="535" width="15.7109375" customWidth="1"/>
    <col min="770" max="770" width="12.7109375" customWidth="1"/>
    <col min="771" max="771" width="26.42578125" customWidth="1"/>
    <col min="772" max="772" width="9.140625" customWidth="1"/>
    <col min="773" max="773" width="11.7109375" customWidth="1"/>
    <col min="774" max="774" width="57.28515625" customWidth="1"/>
    <col min="775" max="775" width="14.5703125" customWidth="1"/>
    <col min="776" max="776" width="11.7109375" customWidth="1"/>
    <col min="777" max="777" width="59.42578125" customWidth="1"/>
    <col min="778" max="778" width="13.28515625" customWidth="1"/>
    <col min="779" max="779" width="8" customWidth="1"/>
    <col min="780" max="780" width="17.5703125" customWidth="1"/>
    <col min="781" max="781" width="131.7109375" customWidth="1"/>
    <col min="782" max="782" width="21.5703125" customWidth="1"/>
    <col min="783" max="783" width="16" customWidth="1"/>
    <col min="784" max="784" width="26" customWidth="1"/>
    <col min="785" max="785" width="16.42578125" customWidth="1"/>
    <col min="786" max="786" width="15.42578125" customWidth="1"/>
    <col min="787" max="787" width="32.28515625" customWidth="1"/>
    <col min="788" max="788" width="28.5703125" customWidth="1"/>
    <col min="789" max="789" width="5.7109375" customWidth="1"/>
    <col min="790" max="790" width="30" customWidth="1"/>
    <col min="791" max="791" width="15.7109375" customWidth="1"/>
    <col min="1026" max="1026" width="12.7109375" customWidth="1"/>
    <col min="1027" max="1027" width="26.42578125" customWidth="1"/>
    <col min="1028" max="1028" width="9.140625" customWidth="1"/>
    <col min="1029" max="1029" width="11.7109375" customWidth="1"/>
    <col min="1030" max="1030" width="57.28515625" customWidth="1"/>
    <col min="1031" max="1031" width="14.5703125" customWidth="1"/>
    <col min="1032" max="1032" width="11.7109375" customWidth="1"/>
    <col min="1033" max="1033" width="59.42578125" customWidth="1"/>
    <col min="1034" max="1034" width="13.28515625" customWidth="1"/>
    <col min="1035" max="1035" width="8" customWidth="1"/>
    <col min="1036" max="1036" width="17.5703125" customWidth="1"/>
    <col min="1037" max="1037" width="131.7109375" customWidth="1"/>
    <col min="1038" max="1038" width="21.5703125" customWidth="1"/>
    <col min="1039" max="1039" width="16" customWidth="1"/>
    <col min="1040" max="1040" width="26" customWidth="1"/>
    <col min="1041" max="1041" width="16.42578125" customWidth="1"/>
    <col min="1042" max="1042" width="15.42578125" customWidth="1"/>
    <col min="1043" max="1043" width="32.28515625" customWidth="1"/>
    <col min="1044" max="1044" width="28.5703125" customWidth="1"/>
    <col min="1045" max="1045" width="5.7109375" customWidth="1"/>
    <col min="1046" max="1046" width="30" customWidth="1"/>
    <col min="1047" max="1047" width="15.7109375" customWidth="1"/>
    <col min="1282" max="1282" width="12.7109375" customWidth="1"/>
    <col min="1283" max="1283" width="26.42578125" customWidth="1"/>
    <col min="1284" max="1284" width="9.140625" customWidth="1"/>
    <col min="1285" max="1285" width="11.7109375" customWidth="1"/>
    <col min="1286" max="1286" width="57.28515625" customWidth="1"/>
    <col min="1287" max="1287" width="14.5703125" customWidth="1"/>
    <col min="1288" max="1288" width="11.7109375" customWidth="1"/>
    <col min="1289" max="1289" width="59.42578125" customWidth="1"/>
    <col min="1290" max="1290" width="13.28515625" customWidth="1"/>
    <col min="1291" max="1291" width="8" customWidth="1"/>
    <col min="1292" max="1292" width="17.5703125" customWidth="1"/>
    <col min="1293" max="1293" width="131.7109375" customWidth="1"/>
    <col min="1294" max="1294" width="21.5703125" customWidth="1"/>
    <col min="1295" max="1295" width="16" customWidth="1"/>
    <col min="1296" max="1296" width="26" customWidth="1"/>
    <col min="1297" max="1297" width="16.42578125" customWidth="1"/>
    <col min="1298" max="1298" width="15.42578125" customWidth="1"/>
    <col min="1299" max="1299" width="32.28515625" customWidth="1"/>
    <col min="1300" max="1300" width="28.5703125" customWidth="1"/>
    <col min="1301" max="1301" width="5.7109375" customWidth="1"/>
    <col min="1302" max="1302" width="30" customWidth="1"/>
    <col min="1303" max="1303" width="15.7109375" customWidth="1"/>
    <col min="1538" max="1538" width="12.7109375" customWidth="1"/>
    <col min="1539" max="1539" width="26.42578125" customWidth="1"/>
    <col min="1540" max="1540" width="9.140625" customWidth="1"/>
    <col min="1541" max="1541" width="11.7109375" customWidth="1"/>
    <col min="1542" max="1542" width="57.28515625" customWidth="1"/>
    <col min="1543" max="1543" width="14.5703125" customWidth="1"/>
    <col min="1544" max="1544" width="11.7109375" customWidth="1"/>
    <col min="1545" max="1545" width="59.42578125" customWidth="1"/>
    <col min="1546" max="1546" width="13.28515625" customWidth="1"/>
    <col min="1547" max="1547" width="8" customWidth="1"/>
    <col min="1548" max="1548" width="17.5703125" customWidth="1"/>
    <col min="1549" max="1549" width="131.7109375" customWidth="1"/>
    <col min="1550" max="1550" width="21.5703125" customWidth="1"/>
    <col min="1551" max="1551" width="16" customWidth="1"/>
    <col min="1552" max="1552" width="26" customWidth="1"/>
    <col min="1553" max="1553" width="16.42578125" customWidth="1"/>
    <col min="1554" max="1554" width="15.42578125" customWidth="1"/>
    <col min="1555" max="1555" width="32.28515625" customWidth="1"/>
    <col min="1556" max="1556" width="28.5703125" customWidth="1"/>
    <col min="1557" max="1557" width="5.7109375" customWidth="1"/>
    <col min="1558" max="1558" width="30" customWidth="1"/>
    <col min="1559" max="1559" width="15.7109375" customWidth="1"/>
    <col min="1794" max="1794" width="12.7109375" customWidth="1"/>
    <col min="1795" max="1795" width="26.42578125" customWidth="1"/>
    <col min="1796" max="1796" width="9.140625" customWidth="1"/>
    <col min="1797" max="1797" width="11.7109375" customWidth="1"/>
    <col min="1798" max="1798" width="57.28515625" customWidth="1"/>
    <col min="1799" max="1799" width="14.5703125" customWidth="1"/>
    <col min="1800" max="1800" width="11.7109375" customWidth="1"/>
    <col min="1801" max="1801" width="59.42578125" customWidth="1"/>
    <col min="1802" max="1802" width="13.28515625" customWidth="1"/>
    <col min="1803" max="1803" width="8" customWidth="1"/>
    <col min="1804" max="1804" width="17.5703125" customWidth="1"/>
    <col min="1805" max="1805" width="131.7109375" customWidth="1"/>
    <col min="1806" max="1806" width="21.5703125" customWidth="1"/>
    <col min="1807" max="1807" width="16" customWidth="1"/>
    <col min="1808" max="1808" width="26" customWidth="1"/>
    <col min="1809" max="1809" width="16.42578125" customWidth="1"/>
    <col min="1810" max="1810" width="15.42578125" customWidth="1"/>
    <col min="1811" max="1811" width="32.28515625" customWidth="1"/>
    <col min="1812" max="1812" width="28.5703125" customWidth="1"/>
    <col min="1813" max="1813" width="5.7109375" customWidth="1"/>
    <col min="1814" max="1814" width="30" customWidth="1"/>
    <col min="1815" max="1815" width="15.7109375" customWidth="1"/>
    <col min="2050" max="2050" width="12.7109375" customWidth="1"/>
    <col min="2051" max="2051" width="26.42578125" customWidth="1"/>
    <col min="2052" max="2052" width="9.140625" customWidth="1"/>
    <col min="2053" max="2053" width="11.7109375" customWidth="1"/>
    <col min="2054" max="2054" width="57.28515625" customWidth="1"/>
    <col min="2055" max="2055" width="14.5703125" customWidth="1"/>
    <col min="2056" max="2056" width="11.7109375" customWidth="1"/>
    <col min="2057" max="2057" width="59.42578125" customWidth="1"/>
    <col min="2058" max="2058" width="13.28515625" customWidth="1"/>
    <col min="2059" max="2059" width="8" customWidth="1"/>
    <col min="2060" max="2060" width="17.5703125" customWidth="1"/>
    <col min="2061" max="2061" width="131.7109375" customWidth="1"/>
    <col min="2062" max="2062" width="21.5703125" customWidth="1"/>
    <col min="2063" max="2063" width="16" customWidth="1"/>
    <col min="2064" max="2064" width="26" customWidth="1"/>
    <col min="2065" max="2065" width="16.42578125" customWidth="1"/>
    <col min="2066" max="2066" width="15.42578125" customWidth="1"/>
    <col min="2067" max="2067" width="32.28515625" customWidth="1"/>
    <col min="2068" max="2068" width="28.5703125" customWidth="1"/>
    <col min="2069" max="2069" width="5.7109375" customWidth="1"/>
    <col min="2070" max="2070" width="30" customWidth="1"/>
    <col min="2071" max="2071" width="15.7109375" customWidth="1"/>
    <col min="2306" max="2306" width="12.7109375" customWidth="1"/>
    <col min="2307" max="2307" width="26.42578125" customWidth="1"/>
    <col min="2308" max="2308" width="9.140625" customWidth="1"/>
    <col min="2309" max="2309" width="11.7109375" customWidth="1"/>
    <col min="2310" max="2310" width="57.28515625" customWidth="1"/>
    <col min="2311" max="2311" width="14.5703125" customWidth="1"/>
    <col min="2312" max="2312" width="11.7109375" customWidth="1"/>
    <col min="2313" max="2313" width="59.42578125" customWidth="1"/>
    <col min="2314" max="2314" width="13.28515625" customWidth="1"/>
    <col min="2315" max="2315" width="8" customWidth="1"/>
    <col min="2316" max="2316" width="17.5703125" customWidth="1"/>
    <col min="2317" max="2317" width="131.7109375" customWidth="1"/>
    <col min="2318" max="2318" width="21.5703125" customWidth="1"/>
    <col min="2319" max="2319" width="16" customWidth="1"/>
    <col min="2320" max="2320" width="26" customWidth="1"/>
    <col min="2321" max="2321" width="16.42578125" customWidth="1"/>
    <col min="2322" max="2322" width="15.42578125" customWidth="1"/>
    <col min="2323" max="2323" width="32.28515625" customWidth="1"/>
    <col min="2324" max="2324" width="28.5703125" customWidth="1"/>
    <col min="2325" max="2325" width="5.7109375" customWidth="1"/>
    <col min="2326" max="2326" width="30" customWidth="1"/>
    <col min="2327" max="2327" width="15.7109375" customWidth="1"/>
    <col min="2562" max="2562" width="12.7109375" customWidth="1"/>
    <col min="2563" max="2563" width="26.42578125" customWidth="1"/>
    <col min="2564" max="2564" width="9.140625" customWidth="1"/>
    <col min="2565" max="2565" width="11.7109375" customWidth="1"/>
    <col min="2566" max="2566" width="57.28515625" customWidth="1"/>
    <col min="2567" max="2567" width="14.5703125" customWidth="1"/>
    <col min="2568" max="2568" width="11.7109375" customWidth="1"/>
    <col min="2569" max="2569" width="59.42578125" customWidth="1"/>
    <col min="2570" max="2570" width="13.28515625" customWidth="1"/>
    <col min="2571" max="2571" width="8" customWidth="1"/>
    <col min="2572" max="2572" width="17.5703125" customWidth="1"/>
    <col min="2573" max="2573" width="131.7109375" customWidth="1"/>
    <col min="2574" max="2574" width="21.5703125" customWidth="1"/>
    <col min="2575" max="2575" width="16" customWidth="1"/>
    <col min="2576" max="2576" width="26" customWidth="1"/>
    <col min="2577" max="2577" width="16.42578125" customWidth="1"/>
    <col min="2578" max="2578" width="15.42578125" customWidth="1"/>
    <col min="2579" max="2579" width="32.28515625" customWidth="1"/>
    <col min="2580" max="2580" width="28.5703125" customWidth="1"/>
    <col min="2581" max="2581" width="5.7109375" customWidth="1"/>
    <col min="2582" max="2582" width="30" customWidth="1"/>
    <col min="2583" max="2583" width="15.7109375" customWidth="1"/>
    <col min="2818" max="2818" width="12.7109375" customWidth="1"/>
    <col min="2819" max="2819" width="26.42578125" customWidth="1"/>
    <col min="2820" max="2820" width="9.140625" customWidth="1"/>
    <col min="2821" max="2821" width="11.7109375" customWidth="1"/>
    <col min="2822" max="2822" width="57.28515625" customWidth="1"/>
    <col min="2823" max="2823" width="14.5703125" customWidth="1"/>
    <col min="2824" max="2824" width="11.7109375" customWidth="1"/>
    <col min="2825" max="2825" width="59.42578125" customWidth="1"/>
    <col min="2826" max="2826" width="13.28515625" customWidth="1"/>
    <col min="2827" max="2827" width="8" customWidth="1"/>
    <col min="2828" max="2828" width="17.5703125" customWidth="1"/>
    <col min="2829" max="2829" width="131.7109375" customWidth="1"/>
    <col min="2830" max="2830" width="21.5703125" customWidth="1"/>
    <col min="2831" max="2831" width="16" customWidth="1"/>
    <col min="2832" max="2832" width="26" customWidth="1"/>
    <col min="2833" max="2833" width="16.42578125" customWidth="1"/>
    <col min="2834" max="2834" width="15.42578125" customWidth="1"/>
    <col min="2835" max="2835" width="32.28515625" customWidth="1"/>
    <col min="2836" max="2836" width="28.5703125" customWidth="1"/>
    <col min="2837" max="2837" width="5.7109375" customWidth="1"/>
    <col min="2838" max="2838" width="30" customWidth="1"/>
    <col min="2839" max="2839" width="15.7109375" customWidth="1"/>
    <col min="3074" max="3074" width="12.7109375" customWidth="1"/>
    <col min="3075" max="3075" width="26.42578125" customWidth="1"/>
    <col min="3076" max="3076" width="9.140625" customWidth="1"/>
    <col min="3077" max="3077" width="11.7109375" customWidth="1"/>
    <col min="3078" max="3078" width="57.28515625" customWidth="1"/>
    <col min="3079" max="3079" width="14.5703125" customWidth="1"/>
    <col min="3080" max="3080" width="11.7109375" customWidth="1"/>
    <col min="3081" max="3081" width="59.42578125" customWidth="1"/>
    <col min="3082" max="3082" width="13.28515625" customWidth="1"/>
    <col min="3083" max="3083" width="8" customWidth="1"/>
    <col min="3084" max="3084" width="17.5703125" customWidth="1"/>
    <col min="3085" max="3085" width="131.7109375" customWidth="1"/>
    <col min="3086" max="3086" width="21.5703125" customWidth="1"/>
    <col min="3087" max="3087" width="16" customWidth="1"/>
    <col min="3088" max="3088" width="26" customWidth="1"/>
    <col min="3089" max="3089" width="16.42578125" customWidth="1"/>
    <col min="3090" max="3090" width="15.42578125" customWidth="1"/>
    <col min="3091" max="3091" width="32.28515625" customWidth="1"/>
    <col min="3092" max="3092" width="28.5703125" customWidth="1"/>
    <col min="3093" max="3093" width="5.7109375" customWidth="1"/>
    <col min="3094" max="3094" width="30" customWidth="1"/>
    <col min="3095" max="3095" width="15.7109375" customWidth="1"/>
    <col min="3330" max="3330" width="12.7109375" customWidth="1"/>
    <col min="3331" max="3331" width="26.42578125" customWidth="1"/>
    <col min="3332" max="3332" width="9.140625" customWidth="1"/>
    <col min="3333" max="3333" width="11.7109375" customWidth="1"/>
    <col min="3334" max="3334" width="57.28515625" customWidth="1"/>
    <col min="3335" max="3335" width="14.5703125" customWidth="1"/>
    <col min="3336" max="3336" width="11.7109375" customWidth="1"/>
    <col min="3337" max="3337" width="59.42578125" customWidth="1"/>
    <col min="3338" max="3338" width="13.28515625" customWidth="1"/>
    <col min="3339" max="3339" width="8" customWidth="1"/>
    <col min="3340" max="3340" width="17.5703125" customWidth="1"/>
    <col min="3341" max="3341" width="131.7109375" customWidth="1"/>
    <col min="3342" max="3342" width="21.5703125" customWidth="1"/>
    <col min="3343" max="3343" width="16" customWidth="1"/>
    <col min="3344" max="3344" width="26" customWidth="1"/>
    <col min="3345" max="3345" width="16.42578125" customWidth="1"/>
    <col min="3346" max="3346" width="15.42578125" customWidth="1"/>
    <col min="3347" max="3347" width="32.28515625" customWidth="1"/>
    <col min="3348" max="3348" width="28.5703125" customWidth="1"/>
    <col min="3349" max="3349" width="5.7109375" customWidth="1"/>
    <col min="3350" max="3350" width="30" customWidth="1"/>
    <col min="3351" max="3351" width="15.7109375" customWidth="1"/>
    <col min="3586" max="3586" width="12.7109375" customWidth="1"/>
    <col min="3587" max="3587" width="26.42578125" customWidth="1"/>
    <col min="3588" max="3588" width="9.140625" customWidth="1"/>
    <col min="3589" max="3589" width="11.7109375" customWidth="1"/>
    <col min="3590" max="3590" width="57.28515625" customWidth="1"/>
    <col min="3591" max="3591" width="14.5703125" customWidth="1"/>
    <col min="3592" max="3592" width="11.7109375" customWidth="1"/>
    <col min="3593" max="3593" width="59.42578125" customWidth="1"/>
    <col min="3594" max="3594" width="13.28515625" customWidth="1"/>
    <col min="3595" max="3595" width="8" customWidth="1"/>
    <col min="3596" max="3596" width="17.5703125" customWidth="1"/>
    <col min="3597" max="3597" width="131.7109375" customWidth="1"/>
    <col min="3598" max="3598" width="21.5703125" customWidth="1"/>
    <col min="3599" max="3599" width="16" customWidth="1"/>
    <col min="3600" max="3600" width="26" customWidth="1"/>
    <col min="3601" max="3601" width="16.42578125" customWidth="1"/>
    <col min="3602" max="3602" width="15.42578125" customWidth="1"/>
    <col min="3603" max="3603" width="32.28515625" customWidth="1"/>
    <col min="3604" max="3604" width="28.5703125" customWidth="1"/>
    <col min="3605" max="3605" width="5.7109375" customWidth="1"/>
    <col min="3606" max="3606" width="30" customWidth="1"/>
    <col min="3607" max="3607" width="15.7109375" customWidth="1"/>
    <col min="3842" max="3842" width="12.7109375" customWidth="1"/>
    <col min="3843" max="3843" width="26.42578125" customWidth="1"/>
    <col min="3844" max="3844" width="9.140625" customWidth="1"/>
    <col min="3845" max="3845" width="11.7109375" customWidth="1"/>
    <col min="3846" max="3846" width="57.28515625" customWidth="1"/>
    <col min="3847" max="3847" width="14.5703125" customWidth="1"/>
    <col min="3848" max="3848" width="11.7109375" customWidth="1"/>
    <col min="3849" max="3849" width="59.42578125" customWidth="1"/>
    <col min="3850" max="3850" width="13.28515625" customWidth="1"/>
    <col min="3851" max="3851" width="8" customWidth="1"/>
    <col min="3852" max="3852" width="17.5703125" customWidth="1"/>
    <col min="3853" max="3853" width="131.7109375" customWidth="1"/>
    <col min="3854" max="3854" width="21.5703125" customWidth="1"/>
    <col min="3855" max="3855" width="16" customWidth="1"/>
    <col min="3856" max="3856" width="26" customWidth="1"/>
    <col min="3857" max="3857" width="16.42578125" customWidth="1"/>
    <col min="3858" max="3858" width="15.42578125" customWidth="1"/>
    <col min="3859" max="3859" width="32.28515625" customWidth="1"/>
    <col min="3860" max="3860" width="28.5703125" customWidth="1"/>
    <col min="3861" max="3861" width="5.7109375" customWidth="1"/>
    <col min="3862" max="3862" width="30" customWidth="1"/>
    <col min="3863" max="3863" width="15.7109375" customWidth="1"/>
    <col min="4098" max="4098" width="12.7109375" customWidth="1"/>
    <col min="4099" max="4099" width="26.42578125" customWidth="1"/>
    <col min="4100" max="4100" width="9.140625" customWidth="1"/>
    <col min="4101" max="4101" width="11.7109375" customWidth="1"/>
    <col min="4102" max="4102" width="57.28515625" customWidth="1"/>
    <col min="4103" max="4103" width="14.5703125" customWidth="1"/>
    <col min="4104" max="4104" width="11.7109375" customWidth="1"/>
    <col min="4105" max="4105" width="59.42578125" customWidth="1"/>
    <col min="4106" max="4106" width="13.28515625" customWidth="1"/>
    <col min="4107" max="4107" width="8" customWidth="1"/>
    <col min="4108" max="4108" width="17.5703125" customWidth="1"/>
    <col min="4109" max="4109" width="131.7109375" customWidth="1"/>
    <col min="4110" max="4110" width="21.5703125" customWidth="1"/>
    <col min="4111" max="4111" width="16" customWidth="1"/>
    <col min="4112" max="4112" width="26" customWidth="1"/>
    <col min="4113" max="4113" width="16.42578125" customWidth="1"/>
    <col min="4114" max="4114" width="15.42578125" customWidth="1"/>
    <col min="4115" max="4115" width="32.28515625" customWidth="1"/>
    <col min="4116" max="4116" width="28.5703125" customWidth="1"/>
    <col min="4117" max="4117" width="5.7109375" customWidth="1"/>
    <col min="4118" max="4118" width="30" customWidth="1"/>
    <col min="4119" max="4119" width="15.7109375" customWidth="1"/>
    <col min="4354" max="4354" width="12.7109375" customWidth="1"/>
    <col min="4355" max="4355" width="26.42578125" customWidth="1"/>
    <col min="4356" max="4356" width="9.140625" customWidth="1"/>
    <col min="4357" max="4357" width="11.7109375" customWidth="1"/>
    <col min="4358" max="4358" width="57.28515625" customWidth="1"/>
    <col min="4359" max="4359" width="14.5703125" customWidth="1"/>
    <col min="4360" max="4360" width="11.7109375" customWidth="1"/>
    <col min="4361" max="4361" width="59.42578125" customWidth="1"/>
    <col min="4362" max="4362" width="13.28515625" customWidth="1"/>
    <col min="4363" max="4363" width="8" customWidth="1"/>
    <col min="4364" max="4364" width="17.5703125" customWidth="1"/>
    <col min="4365" max="4365" width="131.7109375" customWidth="1"/>
    <col min="4366" max="4366" width="21.5703125" customWidth="1"/>
    <col min="4367" max="4367" width="16" customWidth="1"/>
    <col min="4368" max="4368" width="26" customWidth="1"/>
    <col min="4369" max="4369" width="16.42578125" customWidth="1"/>
    <col min="4370" max="4370" width="15.42578125" customWidth="1"/>
    <col min="4371" max="4371" width="32.28515625" customWidth="1"/>
    <col min="4372" max="4372" width="28.5703125" customWidth="1"/>
    <col min="4373" max="4373" width="5.7109375" customWidth="1"/>
    <col min="4374" max="4374" width="30" customWidth="1"/>
    <col min="4375" max="4375" width="15.7109375" customWidth="1"/>
    <col min="4610" max="4610" width="12.7109375" customWidth="1"/>
    <col min="4611" max="4611" width="26.42578125" customWidth="1"/>
    <col min="4612" max="4612" width="9.140625" customWidth="1"/>
    <col min="4613" max="4613" width="11.7109375" customWidth="1"/>
    <col min="4614" max="4614" width="57.28515625" customWidth="1"/>
    <col min="4615" max="4615" width="14.5703125" customWidth="1"/>
    <col min="4616" max="4616" width="11.7109375" customWidth="1"/>
    <col min="4617" max="4617" width="59.42578125" customWidth="1"/>
    <col min="4618" max="4618" width="13.28515625" customWidth="1"/>
    <col min="4619" max="4619" width="8" customWidth="1"/>
    <col min="4620" max="4620" width="17.5703125" customWidth="1"/>
    <col min="4621" max="4621" width="131.7109375" customWidth="1"/>
    <col min="4622" max="4622" width="21.5703125" customWidth="1"/>
    <col min="4623" max="4623" width="16" customWidth="1"/>
    <col min="4624" max="4624" width="26" customWidth="1"/>
    <col min="4625" max="4625" width="16.42578125" customWidth="1"/>
    <col min="4626" max="4626" width="15.42578125" customWidth="1"/>
    <col min="4627" max="4627" width="32.28515625" customWidth="1"/>
    <col min="4628" max="4628" width="28.5703125" customWidth="1"/>
    <col min="4629" max="4629" width="5.7109375" customWidth="1"/>
    <col min="4630" max="4630" width="30" customWidth="1"/>
    <col min="4631" max="4631" width="15.7109375" customWidth="1"/>
    <col min="4866" max="4866" width="12.7109375" customWidth="1"/>
    <col min="4867" max="4867" width="26.42578125" customWidth="1"/>
    <col min="4868" max="4868" width="9.140625" customWidth="1"/>
    <col min="4869" max="4869" width="11.7109375" customWidth="1"/>
    <col min="4870" max="4870" width="57.28515625" customWidth="1"/>
    <col min="4871" max="4871" width="14.5703125" customWidth="1"/>
    <col min="4872" max="4872" width="11.7109375" customWidth="1"/>
    <col min="4873" max="4873" width="59.42578125" customWidth="1"/>
    <col min="4874" max="4874" width="13.28515625" customWidth="1"/>
    <col min="4875" max="4875" width="8" customWidth="1"/>
    <col min="4876" max="4876" width="17.5703125" customWidth="1"/>
    <col min="4877" max="4877" width="131.7109375" customWidth="1"/>
    <col min="4878" max="4878" width="21.5703125" customWidth="1"/>
    <col min="4879" max="4879" width="16" customWidth="1"/>
    <col min="4880" max="4880" width="26" customWidth="1"/>
    <col min="4881" max="4881" width="16.42578125" customWidth="1"/>
    <col min="4882" max="4882" width="15.42578125" customWidth="1"/>
    <col min="4883" max="4883" width="32.28515625" customWidth="1"/>
    <col min="4884" max="4884" width="28.5703125" customWidth="1"/>
    <col min="4885" max="4885" width="5.7109375" customWidth="1"/>
    <col min="4886" max="4886" width="30" customWidth="1"/>
    <col min="4887" max="4887" width="15.7109375" customWidth="1"/>
    <col min="5122" max="5122" width="12.7109375" customWidth="1"/>
    <col min="5123" max="5123" width="26.42578125" customWidth="1"/>
    <col min="5124" max="5124" width="9.140625" customWidth="1"/>
    <col min="5125" max="5125" width="11.7109375" customWidth="1"/>
    <col min="5126" max="5126" width="57.28515625" customWidth="1"/>
    <col min="5127" max="5127" width="14.5703125" customWidth="1"/>
    <col min="5128" max="5128" width="11.7109375" customWidth="1"/>
    <col min="5129" max="5129" width="59.42578125" customWidth="1"/>
    <col min="5130" max="5130" width="13.28515625" customWidth="1"/>
    <col min="5131" max="5131" width="8" customWidth="1"/>
    <col min="5132" max="5132" width="17.5703125" customWidth="1"/>
    <col min="5133" max="5133" width="131.7109375" customWidth="1"/>
    <col min="5134" max="5134" width="21.5703125" customWidth="1"/>
    <col min="5135" max="5135" width="16" customWidth="1"/>
    <col min="5136" max="5136" width="26" customWidth="1"/>
    <col min="5137" max="5137" width="16.42578125" customWidth="1"/>
    <col min="5138" max="5138" width="15.42578125" customWidth="1"/>
    <col min="5139" max="5139" width="32.28515625" customWidth="1"/>
    <col min="5140" max="5140" width="28.5703125" customWidth="1"/>
    <col min="5141" max="5141" width="5.7109375" customWidth="1"/>
    <col min="5142" max="5142" width="30" customWidth="1"/>
    <col min="5143" max="5143" width="15.7109375" customWidth="1"/>
    <col min="5378" max="5378" width="12.7109375" customWidth="1"/>
    <col min="5379" max="5379" width="26.42578125" customWidth="1"/>
    <col min="5380" max="5380" width="9.140625" customWidth="1"/>
    <col min="5381" max="5381" width="11.7109375" customWidth="1"/>
    <col min="5382" max="5382" width="57.28515625" customWidth="1"/>
    <col min="5383" max="5383" width="14.5703125" customWidth="1"/>
    <col min="5384" max="5384" width="11.7109375" customWidth="1"/>
    <col min="5385" max="5385" width="59.42578125" customWidth="1"/>
    <col min="5386" max="5386" width="13.28515625" customWidth="1"/>
    <col min="5387" max="5387" width="8" customWidth="1"/>
    <col min="5388" max="5388" width="17.5703125" customWidth="1"/>
    <col min="5389" max="5389" width="131.7109375" customWidth="1"/>
    <col min="5390" max="5390" width="21.5703125" customWidth="1"/>
    <col min="5391" max="5391" width="16" customWidth="1"/>
    <col min="5392" max="5392" width="26" customWidth="1"/>
    <col min="5393" max="5393" width="16.42578125" customWidth="1"/>
    <col min="5394" max="5394" width="15.42578125" customWidth="1"/>
    <col min="5395" max="5395" width="32.28515625" customWidth="1"/>
    <col min="5396" max="5396" width="28.5703125" customWidth="1"/>
    <col min="5397" max="5397" width="5.7109375" customWidth="1"/>
    <col min="5398" max="5398" width="30" customWidth="1"/>
    <col min="5399" max="5399" width="15.7109375" customWidth="1"/>
    <col min="5634" max="5634" width="12.7109375" customWidth="1"/>
    <col min="5635" max="5635" width="26.42578125" customWidth="1"/>
    <col min="5636" max="5636" width="9.140625" customWidth="1"/>
    <col min="5637" max="5637" width="11.7109375" customWidth="1"/>
    <col min="5638" max="5638" width="57.28515625" customWidth="1"/>
    <col min="5639" max="5639" width="14.5703125" customWidth="1"/>
    <col min="5640" max="5640" width="11.7109375" customWidth="1"/>
    <col min="5641" max="5641" width="59.42578125" customWidth="1"/>
    <col min="5642" max="5642" width="13.28515625" customWidth="1"/>
    <col min="5643" max="5643" width="8" customWidth="1"/>
    <col min="5644" max="5644" width="17.5703125" customWidth="1"/>
    <col min="5645" max="5645" width="131.7109375" customWidth="1"/>
    <col min="5646" max="5646" width="21.5703125" customWidth="1"/>
    <col min="5647" max="5647" width="16" customWidth="1"/>
    <col min="5648" max="5648" width="26" customWidth="1"/>
    <col min="5649" max="5649" width="16.42578125" customWidth="1"/>
    <col min="5650" max="5650" width="15.42578125" customWidth="1"/>
    <col min="5651" max="5651" width="32.28515625" customWidth="1"/>
    <col min="5652" max="5652" width="28.5703125" customWidth="1"/>
    <col min="5653" max="5653" width="5.7109375" customWidth="1"/>
    <col min="5654" max="5654" width="30" customWidth="1"/>
    <col min="5655" max="5655" width="15.7109375" customWidth="1"/>
    <col min="5890" max="5890" width="12.7109375" customWidth="1"/>
    <col min="5891" max="5891" width="26.42578125" customWidth="1"/>
    <col min="5892" max="5892" width="9.140625" customWidth="1"/>
    <col min="5893" max="5893" width="11.7109375" customWidth="1"/>
    <col min="5894" max="5894" width="57.28515625" customWidth="1"/>
    <col min="5895" max="5895" width="14.5703125" customWidth="1"/>
    <col min="5896" max="5896" width="11.7109375" customWidth="1"/>
    <col min="5897" max="5897" width="59.42578125" customWidth="1"/>
    <col min="5898" max="5898" width="13.28515625" customWidth="1"/>
    <col min="5899" max="5899" width="8" customWidth="1"/>
    <col min="5900" max="5900" width="17.5703125" customWidth="1"/>
    <col min="5901" max="5901" width="131.7109375" customWidth="1"/>
    <col min="5902" max="5902" width="21.5703125" customWidth="1"/>
    <col min="5903" max="5903" width="16" customWidth="1"/>
    <col min="5904" max="5904" width="26" customWidth="1"/>
    <col min="5905" max="5905" width="16.42578125" customWidth="1"/>
    <col min="5906" max="5906" width="15.42578125" customWidth="1"/>
    <col min="5907" max="5907" width="32.28515625" customWidth="1"/>
    <col min="5908" max="5908" width="28.5703125" customWidth="1"/>
    <col min="5909" max="5909" width="5.7109375" customWidth="1"/>
    <col min="5910" max="5910" width="30" customWidth="1"/>
    <col min="5911" max="5911" width="15.7109375" customWidth="1"/>
    <col min="6146" max="6146" width="12.7109375" customWidth="1"/>
    <col min="6147" max="6147" width="26.42578125" customWidth="1"/>
    <col min="6148" max="6148" width="9.140625" customWidth="1"/>
    <col min="6149" max="6149" width="11.7109375" customWidth="1"/>
    <col min="6150" max="6150" width="57.28515625" customWidth="1"/>
    <col min="6151" max="6151" width="14.5703125" customWidth="1"/>
    <col min="6152" max="6152" width="11.7109375" customWidth="1"/>
    <col min="6153" max="6153" width="59.42578125" customWidth="1"/>
    <col min="6154" max="6154" width="13.28515625" customWidth="1"/>
    <col min="6155" max="6155" width="8" customWidth="1"/>
    <col min="6156" max="6156" width="17.5703125" customWidth="1"/>
    <col min="6157" max="6157" width="131.7109375" customWidth="1"/>
    <col min="6158" max="6158" width="21.5703125" customWidth="1"/>
    <col min="6159" max="6159" width="16" customWidth="1"/>
    <col min="6160" max="6160" width="26" customWidth="1"/>
    <col min="6161" max="6161" width="16.42578125" customWidth="1"/>
    <col min="6162" max="6162" width="15.42578125" customWidth="1"/>
    <col min="6163" max="6163" width="32.28515625" customWidth="1"/>
    <col min="6164" max="6164" width="28.5703125" customWidth="1"/>
    <col min="6165" max="6165" width="5.7109375" customWidth="1"/>
    <col min="6166" max="6166" width="30" customWidth="1"/>
    <col min="6167" max="6167" width="15.7109375" customWidth="1"/>
    <col min="6402" max="6402" width="12.7109375" customWidth="1"/>
    <col min="6403" max="6403" width="26.42578125" customWidth="1"/>
    <col min="6404" max="6404" width="9.140625" customWidth="1"/>
    <col min="6405" max="6405" width="11.7109375" customWidth="1"/>
    <col min="6406" max="6406" width="57.28515625" customWidth="1"/>
    <col min="6407" max="6407" width="14.5703125" customWidth="1"/>
    <col min="6408" max="6408" width="11.7109375" customWidth="1"/>
    <col min="6409" max="6409" width="59.42578125" customWidth="1"/>
    <col min="6410" max="6410" width="13.28515625" customWidth="1"/>
    <col min="6411" max="6411" width="8" customWidth="1"/>
    <col min="6412" max="6412" width="17.5703125" customWidth="1"/>
    <col min="6413" max="6413" width="131.7109375" customWidth="1"/>
    <col min="6414" max="6414" width="21.5703125" customWidth="1"/>
    <col min="6415" max="6415" width="16" customWidth="1"/>
    <col min="6416" max="6416" width="26" customWidth="1"/>
    <col min="6417" max="6417" width="16.42578125" customWidth="1"/>
    <col min="6418" max="6418" width="15.42578125" customWidth="1"/>
    <col min="6419" max="6419" width="32.28515625" customWidth="1"/>
    <col min="6420" max="6420" width="28.5703125" customWidth="1"/>
    <col min="6421" max="6421" width="5.7109375" customWidth="1"/>
    <col min="6422" max="6422" width="30" customWidth="1"/>
    <col min="6423" max="6423" width="15.7109375" customWidth="1"/>
    <col min="6658" max="6658" width="12.7109375" customWidth="1"/>
    <col min="6659" max="6659" width="26.42578125" customWidth="1"/>
    <col min="6660" max="6660" width="9.140625" customWidth="1"/>
    <col min="6661" max="6661" width="11.7109375" customWidth="1"/>
    <col min="6662" max="6662" width="57.28515625" customWidth="1"/>
    <col min="6663" max="6663" width="14.5703125" customWidth="1"/>
    <col min="6664" max="6664" width="11.7109375" customWidth="1"/>
    <col min="6665" max="6665" width="59.42578125" customWidth="1"/>
    <col min="6666" max="6666" width="13.28515625" customWidth="1"/>
    <col min="6667" max="6667" width="8" customWidth="1"/>
    <col min="6668" max="6668" width="17.5703125" customWidth="1"/>
    <col min="6669" max="6669" width="131.7109375" customWidth="1"/>
    <col min="6670" max="6670" width="21.5703125" customWidth="1"/>
    <col min="6671" max="6671" width="16" customWidth="1"/>
    <col min="6672" max="6672" width="26" customWidth="1"/>
    <col min="6673" max="6673" width="16.42578125" customWidth="1"/>
    <col min="6674" max="6674" width="15.42578125" customWidth="1"/>
    <col min="6675" max="6675" width="32.28515625" customWidth="1"/>
    <col min="6676" max="6676" width="28.5703125" customWidth="1"/>
    <col min="6677" max="6677" width="5.7109375" customWidth="1"/>
    <col min="6678" max="6678" width="30" customWidth="1"/>
    <col min="6679" max="6679" width="15.7109375" customWidth="1"/>
    <col min="6914" max="6914" width="12.7109375" customWidth="1"/>
    <col min="6915" max="6915" width="26.42578125" customWidth="1"/>
    <col min="6916" max="6916" width="9.140625" customWidth="1"/>
    <col min="6917" max="6917" width="11.7109375" customWidth="1"/>
    <col min="6918" max="6918" width="57.28515625" customWidth="1"/>
    <col min="6919" max="6919" width="14.5703125" customWidth="1"/>
    <col min="6920" max="6920" width="11.7109375" customWidth="1"/>
    <col min="6921" max="6921" width="59.42578125" customWidth="1"/>
    <col min="6922" max="6922" width="13.28515625" customWidth="1"/>
    <col min="6923" max="6923" width="8" customWidth="1"/>
    <col min="6924" max="6924" width="17.5703125" customWidth="1"/>
    <col min="6925" max="6925" width="131.7109375" customWidth="1"/>
    <col min="6926" max="6926" width="21.5703125" customWidth="1"/>
    <col min="6927" max="6927" width="16" customWidth="1"/>
    <col min="6928" max="6928" width="26" customWidth="1"/>
    <col min="6929" max="6929" width="16.42578125" customWidth="1"/>
    <col min="6930" max="6930" width="15.42578125" customWidth="1"/>
    <col min="6931" max="6931" width="32.28515625" customWidth="1"/>
    <col min="6932" max="6932" width="28.5703125" customWidth="1"/>
    <col min="6933" max="6933" width="5.7109375" customWidth="1"/>
    <col min="6934" max="6934" width="30" customWidth="1"/>
    <col min="6935" max="6935" width="15.7109375" customWidth="1"/>
    <col min="7170" max="7170" width="12.7109375" customWidth="1"/>
    <col min="7171" max="7171" width="26.42578125" customWidth="1"/>
    <col min="7172" max="7172" width="9.140625" customWidth="1"/>
    <col min="7173" max="7173" width="11.7109375" customWidth="1"/>
    <col min="7174" max="7174" width="57.28515625" customWidth="1"/>
    <col min="7175" max="7175" width="14.5703125" customWidth="1"/>
    <col min="7176" max="7176" width="11.7109375" customWidth="1"/>
    <col min="7177" max="7177" width="59.42578125" customWidth="1"/>
    <col min="7178" max="7178" width="13.28515625" customWidth="1"/>
    <col min="7179" max="7179" width="8" customWidth="1"/>
    <col min="7180" max="7180" width="17.5703125" customWidth="1"/>
    <col min="7181" max="7181" width="131.7109375" customWidth="1"/>
    <col min="7182" max="7182" width="21.5703125" customWidth="1"/>
    <col min="7183" max="7183" width="16" customWidth="1"/>
    <col min="7184" max="7184" width="26" customWidth="1"/>
    <col min="7185" max="7185" width="16.42578125" customWidth="1"/>
    <col min="7186" max="7186" width="15.42578125" customWidth="1"/>
    <col min="7187" max="7187" width="32.28515625" customWidth="1"/>
    <col min="7188" max="7188" width="28.5703125" customWidth="1"/>
    <col min="7189" max="7189" width="5.7109375" customWidth="1"/>
    <col min="7190" max="7190" width="30" customWidth="1"/>
    <col min="7191" max="7191" width="15.7109375" customWidth="1"/>
    <col min="7426" max="7426" width="12.7109375" customWidth="1"/>
    <col min="7427" max="7427" width="26.42578125" customWidth="1"/>
    <col min="7428" max="7428" width="9.140625" customWidth="1"/>
    <col min="7429" max="7429" width="11.7109375" customWidth="1"/>
    <col min="7430" max="7430" width="57.28515625" customWidth="1"/>
    <col min="7431" max="7431" width="14.5703125" customWidth="1"/>
    <col min="7432" max="7432" width="11.7109375" customWidth="1"/>
    <col min="7433" max="7433" width="59.42578125" customWidth="1"/>
    <col min="7434" max="7434" width="13.28515625" customWidth="1"/>
    <col min="7435" max="7435" width="8" customWidth="1"/>
    <col min="7436" max="7436" width="17.5703125" customWidth="1"/>
    <col min="7437" max="7437" width="131.7109375" customWidth="1"/>
    <col min="7438" max="7438" width="21.5703125" customWidth="1"/>
    <col min="7439" max="7439" width="16" customWidth="1"/>
    <col min="7440" max="7440" width="26" customWidth="1"/>
    <col min="7441" max="7441" width="16.42578125" customWidth="1"/>
    <col min="7442" max="7442" width="15.42578125" customWidth="1"/>
    <col min="7443" max="7443" width="32.28515625" customWidth="1"/>
    <col min="7444" max="7444" width="28.5703125" customWidth="1"/>
    <col min="7445" max="7445" width="5.7109375" customWidth="1"/>
    <col min="7446" max="7446" width="30" customWidth="1"/>
    <col min="7447" max="7447" width="15.7109375" customWidth="1"/>
    <col min="7682" max="7682" width="12.7109375" customWidth="1"/>
    <col min="7683" max="7683" width="26.42578125" customWidth="1"/>
    <col min="7684" max="7684" width="9.140625" customWidth="1"/>
    <col min="7685" max="7685" width="11.7109375" customWidth="1"/>
    <col min="7686" max="7686" width="57.28515625" customWidth="1"/>
    <col min="7687" max="7687" width="14.5703125" customWidth="1"/>
    <col min="7688" max="7688" width="11.7109375" customWidth="1"/>
    <col min="7689" max="7689" width="59.42578125" customWidth="1"/>
    <col min="7690" max="7690" width="13.28515625" customWidth="1"/>
    <col min="7691" max="7691" width="8" customWidth="1"/>
    <col min="7692" max="7692" width="17.5703125" customWidth="1"/>
    <col min="7693" max="7693" width="131.7109375" customWidth="1"/>
    <col min="7694" max="7694" width="21.5703125" customWidth="1"/>
    <col min="7695" max="7695" width="16" customWidth="1"/>
    <col min="7696" max="7696" width="26" customWidth="1"/>
    <col min="7697" max="7697" width="16.42578125" customWidth="1"/>
    <col min="7698" max="7698" width="15.42578125" customWidth="1"/>
    <col min="7699" max="7699" width="32.28515625" customWidth="1"/>
    <col min="7700" max="7700" width="28.5703125" customWidth="1"/>
    <col min="7701" max="7701" width="5.7109375" customWidth="1"/>
    <col min="7702" max="7702" width="30" customWidth="1"/>
    <col min="7703" max="7703" width="15.7109375" customWidth="1"/>
    <col min="7938" max="7938" width="12.7109375" customWidth="1"/>
    <col min="7939" max="7939" width="26.42578125" customWidth="1"/>
    <col min="7940" max="7940" width="9.140625" customWidth="1"/>
    <col min="7941" max="7941" width="11.7109375" customWidth="1"/>
    <col min="7942" max="7942" width="57.28515625" customWidth="1"/>
    <col min="7943" max="7943" width="14.5703125" customWidth="1"/>
    <col min="7944" max="7944" width="11.7109375" customWidth="1"/>
    <col min="7945" max="7945" width="59.42578125" customWidth="1"/>
    <col min="7946" max="7946" width="13.28515625" customWidth="1"/>
    <col min="7947" max="7947" width="8" customWidth="1"/>
    <col min="7948" max="7948" width="17.5703125" customWidth="1"/>
    <col min="7949" max="7949" width="131.7109375" customWidth="1"/>
    <col min="7950" max="7950" width="21.5703125" customWidth="1"/>
    <col min="7951" max="7951" width="16" customWidth="1"/>
    <col min="7952" max="7952" width="26" customWidth="1"/>
    <col min="7953" max="7953" width="16.42578125" customWidth="1"/>
    <col min="7954" max="7954" width="15.42578125" customWidth="1"/>
    <col min="7955" max="7955" width="32.28515625" customWidth="1"/>
    <col min="7956" max="7956" width="28.5703125" customWidth="1"/>
    <col min="7957" max="7957" width="5.7109375" customWidth="1"/>
    <col min="7958" max="7958" width="30" customWidth="1"/>
    <col min="7959" max="7959" width="15.7109375" customWidth="1"/>
    <col min="8194" max="8194" width="12.7109375" customWidth="1"/>
    <col min="8195" max="8195" width="26.42578125" customWidth="1"/>
    <col min="8196" max="8196" width="9.140625" customWidth="1"/>
    <col min="8197" max="8197" width="11.7109375" customWidth="1"/>
    <col min="8198" max="8198" width="57.28515625" customWidth="1"/>
    <col min="8199" max="8199" width="14.5703125" customWidth="1"/>
    <col min="8200" max="8200" width="11.7109375" customWidth="1"/>
    <col min="8201" max="8201" width="59.42578125" customWidth="1"/>
    <col min="8202" max="8202" width="13.28515625" customWidth="1"/>
    <col min="8203" max="8203" width="8" customWidth="1"/>
    <col min="8204" max="8204" width="17.5703125" customWidth="1"/>
    <col min="8205" max="8205" width="131.7109375" customWidth="1"/>
    <col min="8206" max="8206" width="21.5703125" customWidth="1"/>
    <col min="8207" max="8207" width="16" customWidth="1"/>
    <col min="8208" max="8208" width="26" customWidth="1"/>
    <col min="8209" max="8209" width="16.42578125" customWidth="1"/>
    <col min="8210" max="8210" width="15.42578125" customWidth="1"/>
    <col min="8211" max="8211" width="32.28515625" customWidth="1"/>
    <col min="8212" max="8212" width="28.5703125" customWidth="1"/>
    <col min="8213" max="8213" width="5.7109375" customWidth="1"/>
    <col min="8214" max="8214" width="30" customWidth="1"/>
    <col min="8215" max="8215" width="15.7109375" customWidth="1"/>
    <col min="8450" max="8450" width="12.7109375" customWidth="1"/>
    <col min="8451" max="8451" width="26.42578125" customWidth="1"/>
    <col min="8452" max="8452" width="9.140625" customWidth="1"/>
    <col min="8453" max="8453" width="11.7109375" customWidth="1"/>
    <col min="8454" max="8454" width="57.28515625" customWidth="1"/>
    <col min="8455" max="8455" width="14.5703125" customWidth="1"/>
    <col min="8456" max="8456" width="11.7109375" customWidth="1"/>
    <col min="8457" max="8457" width="59.42578125" customWidth="1"/>
    <col min="8458" max="8458" width="13.28515625" customWidth="1"/>
    <col min="8459" max="8459" width="8" customWidth="1"/>
    <col min="8460" max="8460" width="17.5703125" customWidth="1"/>
    <col min="8461" max="8461" width="131.7109375" customWidth="1"/>
    <col min="8462" max="8462" width="21.5703125" customWidth="1"/>
    <col min="8463" max="8463" width="16" customWidth="1"/>
    <col min="8464" max="8464" width="26" customWidth="1"/>
    <col min="8465" max="8465" width="16.42578125" customWidth="1"/>
    <col min="8466" max="8466" width="15.42578125" customWidth="1"/>
    <col min="8467" max="8467" width="32.28515625" customWidth="1"/>
    <col min="8468" max="8468" width="28.5703125" customWidth="1"/>
    <col min="8469" max="8469" width="5.7109375" customWidth="1"/>
    <col min="8470" max="8470" width="30" customWidth="1"/>
    <col min="8471" max="8471" width="15.7109375" customWidth="1"/>
    <col min="8706" max="8706" width="12.7109375" customWidth="1"/>
    <col min="8707" max="8707" width="26.42578125" customWidth="1"/>
    <col min="8708" max="8708" width="9.140625" customWidth="1"/>
    <col min="8709" max="8709" width="11.7109375" customWidth="1"/>
    <col min="8710" max="8710" width="57.28515625" customWidth="1"/>
    <col min="8711" max="8711" width="14.5703125" customWidth="1"/>
    <col min="8712" max="8712" width="11.7109375" customWidth="1"/>
    <col min="8713" max="8713" width="59.42578125" customWidth="1"/>
    <col min="8714" max="8714" width="13.28515625" customWidth="1"/>
    <col min="8715" max="8715" width="8" customWidth="1"/>
    <col min="8716" max="8716" width="17.5703125" customWidth="1"/>
    <col min="8717" max="8717" width="131.7109375" customWidth="1"/>
    <col min="8718" max="8718" width="21.5703125" customWidth="1"/>
    <col min="8719" max="8719" width="16" customWidth="1"/>
    <col min="8720" max="8720" width="26" customWidth="1"/>
    <col min="8721" max="8721" width="16.42578125" customWidth="1"/>
    <col min="8722" max="8722" width="15.42578125" customWidth="1"/>
    <col min="8723" max="8723" width="32.28515625" customWidth="1"/>
    <col min="8724" max="8724" width="28.5703125" customWidth="1"/>
    <col min="8725" max="8725" width="5.7109375" customWidth="1"/>
    <col min="8726" max="8726" width="30" customWidth="1"/>
    <col min="8727" max="8727" width="15.7109375" customWidth="1"/>
    <col min="8962" max="8962" width="12.7109375" customWidth="1"/>
    <col min="8963" max="8963" width="26.42578125" customWidth="1"/>
    <col min="8964" max="8964" width="9.140625" customWidth="1"/>
    <col min="8965" max="8965" width="11.7109375" customWidth="1"/>
    <col min="8966" max="8966" width="57.28515625" customWidth="1"/>
    <col min="8967" max="8967" width="14.5703125" customWidth="1"/>
    <col min="8968" max="8968" width="11.7109375" customWidth="1"/>
    <col min="8969" max="8969" width="59.42578125" customWidth="1"/>
    <col min="8970" max="8970" width="13.28515625" customWidth="1"/>
    <col min="8971" max="8971" width="8" customWidth="1"/>
    <col min="8972" max="8972" width="17.5703125" customWidth="1"/>
    <col min="8973" max="8973" width="131.7109375" customWidth="1"/>
    <col min="8974" max="8974" width="21.5703125" customWidth="1"/>
    <col min="8975" max="8975" width="16" customWidth="1"/>
    <col min="8976" max="8976" width="26" customWidth="1"/>
    <col min="8977" max="8977" width="16.42578125" customWidth="1"/>
    <col min="8978" max="8978" width="15.42578125" customWidth="1"/>
    <col min="8979" max="8979" width="32.28515625" customWidth="1"/>
    <col min="8980" max="8980" width="28.5703125" customWidth="1"/>
    <col min="8981" max="8981" width="5.7109375" customWidth="1"/>
    <col min="8982" max="8982" width="30" customWidth="1"/>
    <col min="8983" max="8983" width="15.7109375" customWidth="1"/>
    <col min="9218" max="9218" width="12.7109375" customWidth="1"/>
    <col min="9219" max="9219" width="26.42578125" customWidth="1"/>
    <col min="9220" max="9220" width="9.140625" customWidth="1"/>
    <col min="9221" max="9221" width="11.7109375" customWidth="1"/>
    <col min="9222" max="9222" width="57.28515625" customWidth="1"/>
    <col min="9223" max="9223" width="14.5703125" customWidth="1"/>
    <col min="9224" max="9224" width="11.7109375" customWidth="1"/>
    <col min="9225" max="9225" width="59.42578125" customWidth="1"/>
    <col min="9226" max="9226" width="13.28515625" customWidth="1"/>
    <col min="9227" max="9227" width="8" customWidth="1"/>
    <col min="9228" max="9228" width="17.5703125" customWidth="1"/>
    <col min="9229" max="9229" width="131.7109375" customWidth="1"/>
    <col min="9230" max="9230" width="21.5703125" customWidth="1"/>
    <col min="9231" max="9231" width="16" customWidth="1"/>
    <col min="9232" max="9232" width="26" customWidth="1"/>
    <col min="9233" max="9233" width="16.42578125" customWidth="1"/>
    <col min="9234" max="9234" width="15.42578125" customWidth="1"/>
    <col min="9235" max="9235" width="32.28515625" customWidth="1"/>
    <col min="9236" max="9236" width="28.5703125" customWidth="1"/>
    <col min="9237" max="9237" width="5.7109375" customWidth="1"/>
    <col min="9238" max="9238" width="30" customWidth="1"/>
    <col min="9239" max="9239" width="15.7109375" customWidth="1"/>
    <col min="9474" max="9474" width="12.7109375" customWidth="1"/>
    <col min="9475" max="9475" width="26.42578125" customWidth="1"/>
    <col min="9476" max="9476" width="9.140625" customWidth="1"/>
    <col min="9477" max="9477" width="11.7109375" customWidth="1"/>
    <col min="9478" max="9478" width="57.28515625" customWidth="1"/>
    <col min="9479" max="9479" width="14.5703125" customWidth="1"/>
    <col min="9480" max="9480" width="11.7109375" customWidth="1"/>
    <col min="9481" max="9481" width="59.42578125" customWidth="1"/>
    <col min="9482" max="9482" width="13.28515625" customWidth="1"/>
    <col min="9483" max="9483" width="8" customWidth="1"/>
    <col min="9484" max="9484" width="17.5703125" customWidth="1"/>
    <col min="9485" max="9485" width="131.7109375" customWidth="1"/>
    <col min="9486" max="9486" width="21.5703125" customWidth="1"/>
    <col min="9487" max="9487" width="16" customWidth="1"/>
    <col min="9488" max="9488" width="26" customWidth="1"/>
    <col min="9489" max="9489" width="16.42578125" customWidth="1"/>
    <col min="9490" max="9490" width="15.42578125" customWidth="1"/>
    <col min="9491" max="9491" width="32.28515625" customWidth="1"/>
    <col min="9492" max="9492" width="28.5703125" customWidth="1"/>
    <col min="9493" max="9493" width="5.7109375" customWidth="1"/>
    <col min="9494" max="9494" width="30" customWidth="1"/>
    <col min="9495" max="9495" width="15.7109375" customWidth="1"/>
    <col min="9730" max="9730" width="12.7109375" customWidth="1"/>
    <col min="9731" max="9731" width="26.42578125" customWidth="1"/>
    <col min="9732" max="9732" width="9.140625" customWidth="1"/>
    <col min="9733" max="9733" width="11.7109375" customWidth="1"/>
    <col min="9734" max="9734" width="57.28515625" customWidth="1"/>
    <col min="9735" max="9735" width="14.5703125" customWidth="1"/>
    <col min="9736" max="9736" width="11.7109375" customWidth="1"/>
    <col min="9737" max="9737" width="59.42578125" customWidth="1"/>
    <col min="9738" max="9738" width="13.28515625" customWidth="1"/>
    <col min="9739" max="9739" width="8" customWidth="1"/>
    <col min="9740" max="9740" width="17.5703125" customWidth="1"/>
    <col min="9741" max="9741" width="131.7109375" customWidth="1"/>
    <col min="9742" max="9742" width="21.5703125" customWidth="1"/>
    <col min="9743" max="9743" width="16" customWidth="1"/>
    <col min="9744" max="9744" width="26" customWidth="1"/>
    <col min="9745" max="9745" width="16.42578125" customWidth="1"/>
    <col min="9746" max="9746" width="15.42578125" customWidth="1"/>
    <col min="9747" max="9747" width="32.28515625" customWidth="1"/>
    <col min="9748" max="9748" width="28.5703125" customWidth="1"/>
    <col min="9749" max="9749" width="5.7109375" customWidth="1"/>
    <col min="9750" max="9750" width="30" customWidth="1"/>
    <col min="9751" max="9751" width="15.7109375" customWidth="1"/>
    <col min="9986" max="9986" width="12.7109375" customWidth="1"/>
    <col min="9987" max="9987" width="26.42578125" customWidth="1"/>
    <col min="9988" max="9988" width="9.140625" customWidth="1"/>
    <col min="9989" max="9989" width="11.7109375" customWidth="1"/>
    <col min="9990" max="9990" width="57.28515625" customWidth="1"/>
    <col min="9991" max="9991" width="14.5703125" customWidth="1"/>
    <col min="9992" max="9992" width="11.7109375" customWidth="1"/>
    <col min="9993" max="9993" width="59.42578125" customWidth="1"/>
    <col min="9994" max="9994" width="13.28515625" customWidth="1"/>
    <col min="9995" max="9995" width="8" customWidth="1"/>
    <col min="9996" max="9996" width="17.5703125" customWidth="1"/>
    <col min="9997" max="9997" width="131.7109375" customWidth="1"/>
    <col min="9998" max="9998" width="21.5703125" customWidth="1"/>
    <col min="9999" max="9999" width="16" customWidth="1"/>
    <col min="10000" max="10000" width="26" customWidth="1"/>
    <col min="10001" max="10001" width="16.42578125" customWidth="1"/>
    <col min="10002" max="10002" width="15.42578125" customWidth="1"/>
    <col min="10003" max="10003" width="32.28515625" customWidth="1"/>
    <col min="10004" max="10004" width="28.5703125" customWidth="1"/>
    <col min="10005" max="10005" width="5.7109375" customWidth="1"/>
    <col min="10006" max="10006" width="30" customWidth="1"/>
    <col min="10007" max="10007" width="15.7109375" customWidth="1"/>
    <col min="10242" max="10242" width="12.7109375" customWidth="1"/>
    <col min="10243" max="10243" width="26.42578125" customWidth="1"/>
    <col min="10244" max="10244" width="9.140625" customWidth="1"/>
    <col min="10245" max="10245" width="11.7109375" customWidth="1"/>
    <col min="10246" max="10246" width="57.28515625" customWidth="1"/>
    <col min="10247" max="10247" width="14.5703125" customWidth="1"/>
    <col min="10248" max="10248" width="11.7109375" customWidth="1"/>
    <col min="10249" max="10249" width="59.42578125" customWidth="1"/>
    <col min="10250" max="10250" width="13.28515625" customWidth="1"/>
    <col min="10251" max="10251" width="8" customWidth="1"/>
    <col min="10252" max="10252" width="17.5703125" customWidth="1"/>
    <col min="10253" max="10253" width="131.7109375" customWidth="1"/>
    <col min="10254" max="10254" width="21.5703125" customWidth="1"/>
    <col min="10255" max="10255" width="16" customWidth="1"/>
    <col min="10256" max="10256" width="26" customWidth="1"/>
    <col min="10257" max="10257" width="16.42578125" customWidth="1"/>
    <col min="10258" max="10258" width="15.42578125" customWidth="1"/>
    <col min="10259" max="10259" width="32.28515625" customWidth="1"/>
    <col min="10260" max="10260" width="28.5703125" customWidth="1"/>
    <col min="10261" max="10261" width="5.7109375" customWidth="1"/>
    <col min="10262" max="10262" width="30" customWidth="1"/>
    <col min="10263" max="10263" width="15.7109375" customWidth="1"/>
    <col min="10498" max="10498" width="12.7109375" customWidth="1"/>
    <col min="10499" max="10499" width="26.42578125" customWidth="1"/>
    <col min="10500" max="10500" width="9.140625" customWidth="1"/>
    <col min="10501" max="10501" width="11.7109375" customWidth="1"/>
    <col min="10502" max="10502" width="57.28515625" customWidth="1"/>
    <col min="10503" max="10503" width="14.5703125" customWidth="1"/>
    <col min="10504" max="10504" width="11.7109375" customWidth="1"/>
    <col min="10505" max="10505" width="59.42578125" customWidth="1"/>
    <col min="10506" max="10506" width="13.28515625" customWidth="1"/>
    <col min="10507" max="10507" width="8" customWidth="1"/>
    <col min="10508" max="10508" width="17.5703125" customWidth="1"/>
    <col min="10509" max="10509" width="131.7109375" customWidth="1"/>
    <col min="10510" max="10510" width="21.5703125" customWidth="1"/>
    <col min="10511" max="10511" width="16" customWidth="1"/>
    <col min="10512" max="10512" width="26" customWidth="1"/>
    <col min="10513" max="10513" width="16.42578125" customWidth="1"/>
    <col min="10514" max="10514" width="15.42578125" customWidth="1"/>
    <col min="10515" max="10515" width="32.28515625" customWidth="1"/>
    <col min="10516" max="10516" width="28.5703125" customWidth="1"/>
    <col min="10517" max="10517" width="5.7109375" customWidth="1"/>
    <col min="10518" max="10518" width="30" customWidth="1"/>
    <col min="10519" max="10519" width="15.7109375" customWidth="1"/>
    <col min="10754" max="10754" width="12.7109375" customWidth="1"/>
    <col min="10755" max="10755" width="26.42578125" customWidth="1"/>
    <col min="10756" max="10756" width="9.140625" customWidth="1"/>
    <col min="10757" max="10757" width="11.7109375" customWidth="1"/>
    <col min="10758" max="10758" width="57.28515625" customWidth="1"/>
    <col min="10759" max="10759" width="14.5703125" customWidth="1"/>
    <col min="10760" max="10760" width="11.7109375" customWidth="1"/>
    <col min="10761" max="10761" width="59.42578125" customWidth="1"/>
    <col min="10762" max="10762" width="13.28515625" customWidth="1"/>
    <col min="10763" max="10763" width="8" customWidth="1"/>
    <col min="10764" max="10764" width="17.5703125" customWidth="1"/>
    <col min="10765" max="10765" width="131.7109375" customWidth="1"/>
    <col min="10766" max="10766" width="21.5703125" customWidth="1"/>
    <col min="10767" max="10767" width="16" customWidth="1"/>
    <col min="10768" max="10768" width="26" customWidth="1"/>
    <col min="10769" max="10769" width="16.42578125" customWidth="1"/>
    <col min="10770" max="10770" width="15.42578125" customWidth="1"/>
    <col min="10771" max="10771" width="32.28515625" customWidth="1"/>
    <col min="10772" max="10772" width="28.5703125" customWidth="1"/>
    <col min="10773" max="10773" width="5.7109375" customWidth="1"/>
    <col min="10774" max="10774" width="30" customWidth="1"/>
    <col min="10775" max="10775" width="15.7109375" customWidth="1"/>
    <col min="11010" max="11010" width="12.7109375" customWidth="1"/>
    <col min="11011" max="11011" width="26.42578125" customWidth="1"/>
    <col min="11012" max="11012" width="9.140625" customWidth="1"/>
    <col min="11013" max="11013" width="11.7109375" customWidth="1"/>
    <col min="11014" max="11014" width="57.28515625" customWidth="1"/>
    <col min="11015" max="11015" width="14.5703125" customWidth="1"/>
    <col min="11016" max="11016" width="11.7109375" customWidth="1"/>
    <col min="11017" max="11017" width="59.42578125" customWidth="1"/>
    <col min="11018" max="11018" width="13.28515625" customWidth="1"/>
    <col min="11019" max="11019" width="8" customWidth="1"/>
    <col min="11020" max="11020" width="17.5703125" customWidth="1"/>
    <col min="11021" max="11021" width="131.7109375" customWidth="1"/>
    <col min="11022" max="11022" width="21.5703125" customWidth="1"/>
    <col min="11023" max="11023" width="16" customWidth="1"/>
    <col min="11024" max="11024" width="26" customWidth="1"/>
    <col min="11025" max="11025" width="16.42578125" customWidth="1"/>
    <col min="11026" max="11026" width="15.42578125" customWidth="1"/>
    <col min="11027" max="11027" width="32.28515625" customWidth="1"/>
    <col min="11028" max="11028" width="28.5703125" customWidth="1"/>
    <col min="11029" max="11029" width="5.7109375" customWidth="1"/>
    <col min="11030" max="11030" width="30" customWidth="1"/>
    <col min="11031" max="11031" width="15.7109375" customWidth="1"/>
    <col min="11266" max="11266" width="12.7109375" customWidth="1"/>
    <col min="11267" max="11267" width="26.42578125" customWidth="1"/>
    <col min="11268" max="11268" width="9.140625" customWidth="1"/>
    <col min="11269" max="11269" width="11.7109375" customWidth="1"/>
    <col min="11270" max="11270" width="57.28515625" customWidth="1"/>
    <col min="11271" max="11271" width="14.5703125" customWidth="1"/>
    <col min="11272" max="11272" width="11.7109375" customWidth="1"/>
    <col min="11273" max="11273" width="59.42578125" customWidth="1"/>
    <col min="11274" max="11274" width="13.28515625" customWidth="1"/>
    <col min="11275" max="11275" width="8" customWidth="1"/>
    <col min="11276" max="11276" width="17.5703125" customWidth="1"/>
    <col min="11277" max="11277" width="131.7109375" customWidth="1"/>
    <col min="11278" max="11278" width="21.5703125" customWidth="1"/>
    <col min="11279" max="11279" width="16" customWidth="1"/>
    <col min="11280" max="11280" width="26" customWidth="1"/>
    <col min="11281" max="11281" width="16.42578125" customWidth="1"/>
    <col min="11282" max="11282" width="15.42578125" customWidth="1"/>
    <col min="11283" max="11283" width="32.28515625" customWidth="1"/>
    <col min="11284" max="11284" width="28.5703125" customWidth="1"/>
    <col min="11285" max="11285" width="5.7109375" customWidth="1"/>
    <col min="11286" max="11286" width="30" customWidth="1"/>
    <col min="11287" max="11287" width="15.7109375" customWidth="1"/>
    <col min="11522" max="11522" width="12.7109375" customWidth="1"/>
    <col min="11523" max="11523" width="26.42578125" customWidth="1"/>
    <col min="11524" max="11524" width="9.140625" customWidth="1"/>
    <col min="11525" max="11525" width="11.7109375" customWidth="1"/>
    <col min="11526" max="11526" width="57.28515625" customWidth="1"/>
    <col min="11527" max="11527" width="14.5703125" customWidth="1"/>
    <col min="11528" max="11528" width="11.7109375" customWidth="1"/>
    <col min="11529" max="11529" width="59.42578125" customWidth="1"/>
    <col min="11530" max="11530" width="13.28515625" customWidth="1"/>
    <col min="11531" max="11531" width="8" customWidth="1"/>
    <col min="11532" max="11532" width="17.5703125" customWidth="1"/>
    <col min="11533" max="11533" width="131.7109375" customWidth="1"/>
    <col min="11534" max="11534" width="21.5703125" customWidth="1"/>
    <col min="11535" max="11535" width="16" customWidth="1"/>
    <col min="11536" max="11536" width="26" customWidth="1"/>
    <col min="11537" max="11537" width="16.42578125" customWidth="1"/>
    <col min="11538" max="11538" width="15.42578125" customWidth="1"/>
    <col min="11539" max="11539" width="32.28515625" customWidth="1"/>
    <col min="11540" max="11540" width="28.5703125" customWidth="1"/>
    <col min="11541" max="11541" width="5.7109375" customWidth="1"/>
    <col min="11542" max="11542" width="30" customWidth="1"/>
    <col min="11543" max="11543" width="15.7109375" customWidth="1"/>
    <col min="11778" max="11778" width="12.7109375" customWidth="1"/>
    <col min="11779" max="11779" width="26.42578125" customWidth="1"/>
    <col min="11780" max="11780" width="9.140625" customWidth="1"/>
    <col min="11781" max="11781" width="11.7109375" customWidth="1"/>
    <col min="11782" max="11782" width="57.28515625" customWidth="1"/>
    <col min="11783" max="11783" width="14.5703125" customWidth="1"/>
    <col min="11784" max="11784" width="11.7109375" customWidth="1"/>
    <col min="11785" max="11785" width="59.42578125" customWidth="1"/>
    <col min="11786" max="11786" width="13.28515625" customWidth="1"/>
    <col min="11787" max="11787" width="8" customWidth="1"/>
    <col min="11788" max="11788" width="17.5703125" customWidth="1"/>
    <col min="11789" max="11789" width="131.7109375" customWidth="1"/>
    <col min="11790" max="11790" width="21.5703125" customWidth="1"/>
    <col min="11791" max="11791" width="16" customWidth="1"/>
    <col min="11792" max="11792" width="26" customWidth="1"/>
    <col min="11793" max="11793" width="16.42578125" customWidth="1"/>
    <col min="11794" max="11794" width="15.42578125" customWidth="1"/>
    <col min="11795" max="11795" width="32.28515625" customWidth="1"/>
    <col min="11796" max="11796" width="28.5703125" customWidth="1"/>
    <col min="11797" max="11797" width="5.7109375" customWidth="1"/>
    <col min="11798" max="11798" width="30" customWidth="1"/>
    <col min="11799" max="11799" width="15.7109375" customWidth="1"/>
    <col min="12034" max="12034" width="12.7109375" customWidth="1"/>
    <col min="12035" max="12035" width="26.42578125" customWidth="1"/>
    <col min="12036" max="12036" width="9.140625" customWidth="1"/>
    <col min="12037" max="12037" width="11.7109375" customWidth="1"/>
    <col min="12038" max="12038" width="57.28515625" customWidth="1"/>
    <col min="12039" max="12039" width="14.5703125" customWidth="1"/>
    <col min="12040" max="12040" width="11.7109375" customWidth="1"/>
    <col min="12041" max="12041" width="59.42578125" customWidth="1"/>
    <col min="12042" max="12042" width="13.28515625" customWidth="1"/>
    <col min="12043" max="12043" width="8" customWidth="1"/>
    <col min="12044" max="12044" width="17.5703125" customWidth="1"/>
    <col min="12045" max="12045" width="131.7109375" customWidth="1"/>
    <col min="12046" max="12046" width="21.5703125" customWidth="1"/>
    <col min="12047" max="12047" width="16" customWidth="1"/>
    <col min="12048" max="12048" width="26" customWidth="1"/>
    <col min="12049" max="12049" width="16.42578125" customWidth="1"/>
    <col min="12050" max="12050" width="15.42578125" customWidth="1"/>
    <col min="12051" max="12051" width="32.28515625" customWidth="1"/>
    <col min="12052" max="12052" width="28.5703125" customWidth="1"/>
    <col min="12053" max="12053" width="5.7109375" customWidth="1"/>
    <col min="12054" max="12054" width="30" customWidth="1"/>
    <col min="12055" max="12055" width="15.7109375" customWidth="1"/>
    <col min="12290" max="12290" width="12.7109375" customWidth="1"/>
    <col min="12291" max="12291" width="26.42578125" customWidth="1"/>
    <col min="12292" max="12292" width="9.140625" customWidth="1"/>
    <col min="12293" max="12293" width="11.7109375" customWidth="1"/>
    <col min="12294" max="12294" width="57.28515625" customWidth="1"/>
    <col min="12295" max="12295" width="14.5703125" customWidth="1"/>
    <col min="12296" max="12296" width="11.7109375" customWidth="1"/>
    <col min="12297" max="12297" width="59.42578125" customWidth="1"/>
    <col min="12298" max="12298" width="13.28515625" customWidth="1"/>
    <col min="12299" max="12299" width="8" customWidth="1"/>
    <col min="12300" max="12300" width="17.5703125" customWidth="1"/>
    <col min="12301" max="12301" width="131.7109375" customWidth="1"/>
    <col min="12302" max="12302" width="21.5703125" customWidth="1"/>
    <col min="12303" max="12303" width="16" customWidth="1"/>
    <col min="12304" max="12304" width="26" customWidth="1"/>
    <col min="12305" max="12305" width="16.42578125" customWidth="1"/>
    <col min="12306" max="12306" width="15.42578125" customWidth="1"/>
    <col min="12307" max="12307" width="32.28515625" customWidth="1"/>
    <col min="12308" max="12308" width="28.5703125" customWidth="1"/>
    <col min="12309" max="12309" width="5.7109375" customWidth="1"/>
    <col min="12310" max="12310" width="30" customWidth="1"/>
    <col min="12311" max="12311" width="15.7109375" customWidth="1"/>
    <col min="12546" max="12546" width="12.7109375" customWidth="1"/>
    <col min="12547" max="12547" width="26.42578125" customWidth="1"/>
    <col min="12548" max="12548" width="9.140625" customWidth="1"/>
    <col min="12549" max="12549" width="11.7109375" customWidth="1"/>
    <col min="12550" max="12550" width="57.28515625" customWidth="1"/>
    <col min="12551" max="12551" width="14.5703125" customWidth="1"/>
    <col min="12552" max="12552" width="11.7109375" customWidth="1"/>
    <col min="12553" max="12553" width="59.42578125" customWidth="1"/>
    <col min="12554" max="12554" width="13.28515625" customWidth="1"/>
    <col min="12555" max="12555" width="8" customWidth="1"/>
    <col min="12556" max="12556" width="17.5703125" customWidth="1"/>
    <col min="12557" max="12557" width="131.7109375" customWidth="1"/>
    <col min="12558" max="12558" width="21.5703125" customWidth="1"/>
    <col min="12559" max="12559" width="16" customWidth="1"/>
    <col min="12560" max="12560" width="26" customWidth="1"/>
    <col min="12561" max="12561" width="16.42578125" customWidth="1"/>
    <col min="12562" max="12562" width="15.42578125" customWidth="1"/>
    <col min="12563" max="12563" width="32.28515625" customWidth="1"/>
    <col min="12564" max="12564" width="28.5703125" customWidth="1"/>
    <col min="12565" max="12565" width="5.7109375" customWidth="1"/>
    <col min="12566" max="12566" width="30" customWidth="1"/>
    <col min="12567" max="12567" width="15.7109375" customWidth="1"/>
    <col min="12802" max="12802" width="12.7109375" customWidth="1"/>
    <col min="12803" max="12803" width="26.42578125" customWidth="1"/>
    <col min="12804" max="12804" width="9.140625" customWidth="1"/>
    <col min="12805" max="12805" width="11.7109375" customWidth="1"/>
    <col min="12806" max="12806" width="57.28515625" customWidth="1"/>
    <col min="12807" max="12807" width="14.5703125" customWidth="1"/>
    <col min="12808" max="12808" width="11.7109375" customWidth="1"/>
    <col min="12809" max="12809" width="59.42578125" customWidth="1"/>
    <col min="12810" max="12810" width="13.28515625" customWidth="1"/>
    <col min="12811" max="12811" width="8" customWidth="1"/>
    <col min="12812" max="12812" width="17.5703125" customWidth="1"/>
    <col min="12813" max="12813" width="131.7109375" customWidth="1"/>
    <col min="12814" max="12814" width="21.5703125" customWidth="1"/>
    <col min="12815" max="12815" width="16" customWidth="1"/>
    <col min="12816" max="12816" width="26" customWidth="1"/>
    <col min="12817" max="12817" width="16.42578125" customWidth="1"/>
    <col min="12818" max="12818" width="15.42578125" customWidth="1"/>
    <col min="12819" max="12819" width="32.28515625" customWidth="1"/>
    <col min="12820" max="12820" width="28.5703125" customWidth="1"/>
    <col min="12821" max="12821" width="5.7109375" customWidth="1"/>
    <col min="12822" max="12822" width="30" customWidth="1"/>
    <col min="12823" max="12823" width="15.7109375" customWidth="1"/>
    <col min="13058" max="13058" width="12.7109375" customWidth="1"/>
    <col min="13059" max="13059" width="26.42578125" customWidth="1"/>
    <col min="13060" max="13060" width="9.140625" customWidth="1"/>
    <col min="13061" max="13061" width="11.7109375" customWidth="1"/>
    <col min="13062" max="13062" width="57.28515625" customWidth="1"/>
    <col min="13063" max="13063" width="14.5703125" customWidth="1"/>
    <col min="13064" max="13064" width="11.7109375" customWidth="1"/>
    <col min="13065" max="13065" width="59.42578125" customWidth="1"/>
    <col min="13066" max="13066" width="13.28515625" customWidth="1"/>
    <col min="13067" max="13067" width="8" customWidth="1"/>
    <col min="13068" max="13068" width="17.5703125" customWidth="1"/>
    <col min="13069" max="13069" width="131.7109375" customWidth="1"/>
    <col min="13070" max="13070" width="21.5703125" customWidth="1"/>
    <col min="13071" max="13071" width="16" customWidth="1"/>
    <col min="13072" max="13072" width="26" customWidth="1"/>
    <col min="13073" max="13073" width="16.42578125" customWidth="1"/>
    <col min="13074" max="13074" width="15.42578125" customWidth="1"/>
    <col min="13075" max="13075" width="32.28515625" customWidth="1"/>
    <col min="13076" max="13076" width="28.5703125" customWidth="1"/>
    <col min="13077" max="13077" width="5.7109375" customWidth="1"/>
    <col min="13078" max="13078" width="30" customWidth="1"/>
    <col min="13079" max="13079" width="15.7109375" customWidth="1"/>
    <col min="13314" max="13314" width="12.7109375" customWidth="1"/>
    <col min="13315" max="13315" width="26.42578125" customWidth="1"/>
    <col min="13316" max="13316" width="9.140625" customWidth="1"/>
    <col min="13317" max="13317" width="11.7109375" customWidth="1"/>
    <col min="13318" max="13318" width="57.28515625" customWidth="1"/>
    <col min="13319" max="13319" width="14.5703125" customWidth="1"/>
    <col min="13320" max="13320" width="11.7109375" customWidth="1"/>
    <col min="13321" max="13321" width="59.42578125" customWidth="1"/>
    <col min="13322" max="13322" width="13.28515625" customWidth="1"/>
    <col min="13323" max="13323" width="8" customWidth="1"/>
    <col min="13324" max="13324" width="17.5703125" customWidth="1"/>
    <col min="13325" max="13325" width="131.7109375" customWidth="1"/>
    <col min="13326" max="13326" width="21.5703125" customWidth="1"/>
    <col min="13327" max="13327" width="16" customWidth="1"/>
    <col min="13328" max="13328" width="26" customWidth="1"/>
    <col min="13329" max="13329" width="16.42578125" customWidth="1"/>
    <col min="13330" max="13330" width="15.42578125" customWidth="1"/>
    <col min="13331" max="13331" width="32.28515625" customWidth="1"/>
    <col min="13332" max="13332" width="28.5703125" customWidth="1"/>
    <col min="13333" max="13333" width="5.7109375" customWidth="1"/>
    <col min="13334" max="13334" width="30" customWidth="1"/>
    <col min="13335" max="13335" width="15.7109375" customWidth="1"/>
    <col min="13570" max="13570" width="12.7109375" customWidth="1"/>
    <col min="13571" max="13571" width="26.42578125" customWidth="1"/>
    <col min="13572" max="13572" width="9.140625" customWidth="1"/>
    <col min="13573" max="13573" width="11.7109375" customWidth="1"/>
    <col min="13574" max="13574" width="57.28515625" customWidth="1"/>
    <col min="13575" max="13575" width="14.5703125" customWidth="1"/>
    <col min="13576" max="13576" width="11.7109375" customWidth="1"/>
    <col min="13577" max="13577" width="59.42578125" customWidth="1"/>
    <col min="13578" max="13578" width="13.28515625" customWidth="1"/>
    <col min="13579" max="13579" width="8" customWidth="1"/>
    <col min="13580" max="13580" width="17.5703125" customWidth="1"/>
    <col min="13581" max="13581" width="131.7109375" customWidth="1"/>
    <col min="13582" max="13582" width="21.5703125" customWidth="1"/>
    <col min="13583" max="13583" width="16" customWidth="1"/>
    <col min="13584" max="13584" width="26" customWidth="1"/>
    <col min="13585" max="13585" width="16.42578125" customWidth="1"/>
    <col min="13586" max="13586" width="15.42578125" customWidth="1"/>
    <col min="13587" max="13587" width="32.28515625" customWidth="1"/>
    <col min="13588" max="13588" width="28.5703125" customWidth="1"/>
    <col min="13589" max="13589" width="5.7109375" customWidth="1"/>
    <col min="13590" max="13590" width="30" customWidth="1"/>
    <col min="13591" max="13591" width="15.7109375" customWidth="1"/>
    <col min="13826" max="13826" width="12.7109375" customWidth="1"/>
    <col min="13827" max="13827" width="26.42578125" customWidth="1"/>
    <col min="13828" max="13828" width="9.140625" customWidth="1"/>
    <col min="13829" max="13829" width="11.7109375" customWidth="1"/>
    <col min="13830" max="13830" width="57.28515625" customWidth="1"/>
    <col min="13831" max="13831" width="14.5703125" customWidth="1"/>
    <col min="13832" max="13832" width="11.7109375" customWidth="1"/>
    <col min="13833" max="13833" width="59.42578125" customWidth="1"/>
    <col min="13834" max="13834" width="13.28515625" customWidth="1"/>
    <col min="13835" max="13835" width="8" customWidth="1"/>
    <col min="13836" max="13836" width="17.5703125" customWidth="1"/>
    <col min="13837" max="13837" width="131.7109375" customWidth="1"/>
    <col min="13838" max="13838" width="21.5703125" customWidth="1"/>
    <col min="13839" max="13839" width="16" customWidth="1"/>
    <col min="13840" max="13840" width="26" customWidth="1"/>
    <col min="13841" max="13841" width="16.42578125" customWidth="1"/>
    <col min="13842" max="13842" width="15.42578125" customWidth="1"/>
    <col min="13843" max="13843" width="32.28515625" customWidth="1"/>
    <col min="13844" max="13844" width="28.5703125" customWidth="1"/>
    <col min="13845" max="13845" width="5.7109375" customWidth="1"/>
    <col min="13846" max="13846" width="30" customWidth="1"/>
    <col min="13847" max="13847" width="15.7109375" customWidth="1"/>
    <col min="14082" max="14082" width="12.7109375" customWidth="1"/>
    <col min="14083" max="14083" width="26.42578125" customWidth="1"/>
    <col min="14084" max="14084" width="9.140625" customWidth="1"/>
    <col min="14085" max="14085" width="11.7109375" customWidth="1"/>
    <col min="14086" max="14086" width="57.28515625" customWidth="1"/>
    <col min="14087" max="14087" width="14.5703125" customWidth="1"/>
    <col min="14088" max="14088" width="11.7109375" customWidth="1"/>
    <col min="14089" max="14089" width="59.42578125" customWidth="1"/>
    <col min="14090" max="14090" width="13.28515625" customWidth="1"/>
    <col min="14091" max="14091" width="8" customWidth="1"/>
    <col min="14092" max="14092" width="17.5703125" customWidth="1"/>
    <col min="14093" max="14093" width="131.7109375" customWidth="1"/>
    <col min="14094" max="14094" width="21.5703125" customWidth="1"/>
    <col min="14095" max="14095" width="16" customWidth="1"/>
    <col min="14096" max="14096" width="26" customWidth="1"/>
    <col min="14097" max="14097" width="16.42578125" customWidth="1"/>
    <col min="14098" max="14098" width="15.42578125" customWidth="1"/>
    <col min="14099" max="14099" width="32.28515625" customWidth="1"/>
    <col min="14100" max="14100" width="28.5703125" customWidth="1"/>
    <col min="14101" max="14101" width="5.7109375" customWidth="1"/>
    <col min="14102" max="14102" width="30" customWidth="1"/>
    <col min="14103" max="14103" width="15.7109375" customWidth="1"/>
    <col min="14338" max="14338" width="12.7109375" customWidth="1"/>
    <col min="14339" max="14339" width="26.42578125" customWidth="1"/>
    <col min="14340" max="14340" width="9.140625" customWidth="1"/>
    <col min="14341" max="14341" width="11.7109375" customWidth="1"/>
    <col min="14342" max="14342" width="57.28515625" customWidth="1"/>
    <col min="14343" max="14343" width="14.5703125" customWidth="1"/>
    <col min="14344" max="14344" width="11.7109375" customWidth="1"/>
    <col min="14345" max="14345" width="59.42578125" customWidth="1"/>
    <col min="14346" max="14346" width="13.28515625" customWidth="1"/>
    <col min="14347" max="14347" width="8" customWidth="1"/>
    <col min="14348" max="14348" width="17.5703125" customWidth="1"/>
    <col min="14349" max="14349" width="131.7109375" customWidth="1"/>
    <col min="14350" max="14350" width="21.5703125" customWidth="1"/>
    <col min="14351" max="14351" width="16" customWidth="1"/>
    <col min="14352" max="14352" width="26" customWidth="1"/>
    <col min="14353" max="14353" width="16.42578125" customWidth="1"/>
    <col min="14354" max="14354" width="15.42578125" customWidth="1"/>
    <col min="14355" max="14355" width="32.28515625" customWidth="1"/>
    <col min="14356" max="14356" width="28.5703125" customWidth="1"/>
    <col min="14357" max="14357" width="5.7109375" customWidth="1"/>
    <col min="14358" max="14358" width="30" customWidth="1"/>
    <col min="14359" max="14359" width="15.7109375" customWidth="1"/>
    <col min="14594" max="14594" width="12.7109375" customWidth="1"/>
    <col min="14595" max="14595" width="26.42578125" customWidth="1"/>
    <col min="14596" max="14596" width="9.140625" customWidth="1"/>
    <col min="14597" max="14597" width="11.7109375" customWidth="1"/>
    <col min="14598" max="14598" width="57.28515625" customWidth="1"/>
    <col min="14599" max="14599" width="14.5703125" customWidth="1"/>
    <col min="14600" max="14600" width="11.7109375" customWidth="1"/>
    <col min="14601" max="14601" width="59.42578125" customWidth="1"/>
    <col min="14602" max="14602" width="13.28515625" customWidth="1"/>
    <col min="14603" max="14603" width="8" customWidth="1"/>
    <col min="14604" max="14604" width="17.5703125" customWidth="1"/>
    <col min="14605" max="14605" width="131.7109375" customWidth="1"/>
    <col min="14606" max="14606" width="21.5703125" customWidth="1"/>
    <col min="14607" max="14607" width="16" customWidth="1"/>
    <col min="14608" max="14608" width="26" customWidth="1"/>
    <col min="14609" max="14609" width="16.42578125" customWidth="1"/>
    <col min="14610" max="14610" width="15.42578125" customWidth="1"/>
    <col min="14611" max="14611" width="32.28515625" customWidth="1"/>
    <col min="14612" max="14612" width="28.5703125" customWidth="1"/>
    <col min="14613" max="14613" width="5.7109375" customWidth="1"/>
    <col min="14614" max="14614" width="30" customWidth="1"/>
    <col min="14615" max="14615" width="15.7109375" customWidth="1"/>
    <col min="14850" max="14850" width="12.7109375" customWidth="1"/>
    <col min="14851" max="14851" width="26.42578125" customWidth="1"/>
    <col min="14852" max="14852" width="9.140625" customWidth="1"/>
    <col min="14853" max="14853" width="11.7109375" customWidth="1"/>
    <col min="14854" max="14854" width="57.28515625" customWidth="1"/>
    <col min="14855" max="14855" width="14.5703125" customWidth="1"/>
    <col min="14856" max="14856" width="11.7109375" customWidth="1"/>
    <col min="14857" max="14857" width="59.42578125" customWidth="1"/>
    <col min="14858" max="14858" width="13.28515625" customWidth="1"/>
    <col min="14859" max="14859" width="8" customWidth="1"/>
    <col min="14860" max="14860" width="17.5703125" customWidth="1"/>
    <col min="14861" max="14861" width="131.7109375" customWidth="1"/>
    <col min="14862" max="14862" width="21.5703125" customWidth="1"/>
    <col min="14863" max="14863" width="16" customWidth="1"/>
    <col min="14864" max="14864" width="26" customWidth="1"/>
    <col min="14865" max="14865" width="16.42578125" customWidth="1"/>
    <col min="14866" max="14866" width="15.42578125" customWidth="1"/>
    <col min="14867" max="14867" width="32.28515625" customWidth="1"/>
    <col min="14868" max="14868" width="28.5703125" customWidth="1"/>
    <col min="14869" max="14869" width="5.7109375" customWidth="1"/>
    <col min="14870" max="14870" width="30" customWidth="1"/>
    <col min="14871" max="14871" width="15.7109375" customWidth="1"/>
    <col min="15106" max="15106" width="12.7109375" customWidth="1"/>
    <col min="15107" max="15107" width="26.42578125" customWidth="1"/>
    <col min="15108" max="15108" width="9.140625" customWidth="1"/>
    <col min="15109" max="15109" width="11.7109375" customWidth="1"/>
    <col min="15110" max="15110" width="57.28515625" customWidth="1"/>
    <col min="15111" max="15111" width="14.5703125" customWidth="1"/>
    <col min="15112" max="15112" width="11.7109375" customWidth="1"/>
    <col min="15113" max="15113" width="59.42578125" customWidth="1"/>
    <col min="15114" max="15114" width="13.28515625" customWidth="1"/>
    <col min="15115" max="15115" width="8" customWidth="1"/>
    <col min="15116" max="15116" width="17.5703125" customWidth="1"/>
    <col min="15117" max="15117" width="131.7109375" customWidth="1"/>
    <col min="15118" max="15118" width="21.5703125" customWidth="1"/>
    <col min="15119" max="15119" width="16" customWidth="1"/>
    <col min="15120" max="15120" width="26" customWidth="1"/>
    <col min="15121" max="15121" width="16.42578125" customWidth="1"/>
    <col min="15122" max="15122" width="15.42578125" customWidth="1"/>
    <col min="15123" max="15123" width="32.28515625" customWidth="1"/>
    <col min="15124" max="15124" width="28.5703125" customWidth="1"/>
    <col min="15125" max="15125" width="5.7109375" customWidth="1"/>
    <col min="15126" max="15126" width="30" customWidth="1"/>
    <col min="15127" max="15127" width="15.7109375" customWidth="1"/>
    <col min="15362" max="15362" width="12.7109375" customWidth="1"/>
    <col min="15363" max="15363" width="26.42578125" customWidth="1"/>
    <col min="15364" max="15364" width="9.140625" customWidth="1"/>
    <col min="15365" max="15365" width="11.7109375" customWidth="1"/>
    <col min="15366" max="15366" width="57.28515625" customWidth="1"/>
    <col min="15367" max="15367" width="14.5703125" customWidth="1"/>
    <col min="15368" max="15368" width="11.7109375" customWidth="1"/>
    <col min="15369" max="15369" width="59.42578125" customWidth="1"/>
    <col min="15370" max="15370" width="13.28515625" customWidth="1"/>
    <col min="15371" max="15371" width="8" customWidth="1"/>
    <col min="15372" max="15372" width="17.5703125" customWidth="1"/>
    <col min="15373" max="15373" width="131.7109375" customWidth="1"/>
    <col min="15374" max="15374" width="21.5703125" customWidth="1"/>
    <col min="15375" max="15375" width="16" customWidth="1"/>
    <col min="15376" max="15376" width="26" customWidth="1"/>
    <col min="15377" max="15377" width="16.42578125" customWidth="1"/>
    <col min="15378" max="15378" width="15.42578125" customWidth="1"/>
    <col min="15379" max="15379" width="32.28515625" customWidth="1"/>
    <col min="15380" max="15380" width="28.5703125" customWidth="1"/>
    <col min="15381" max="15381" width="5.7109375" customWidth="1"/>
    <col min="15382" max="15382" width="30" customWidth="1"/>
    <col min="15383" max="15383" width="15.7109375" customWidth="1"/>
    <col min="15618" max="15618" width="12.7109375" customWidth="1"/>
    <col min="15619" max="15619" width="26.42578125" customWidth="1"/>
    <col min="15620" max="15620" width="9.140625" customWidth="1"/>
    <col min="15621" max="15621" width="11.7109375" customWidth="1"/>
    <col min="15622" max="15622" width="57.28515625" customWidth="1"/>
    <col min="15623" max="15623" width="14.5703125" customWidth="1"/>
    <col min="15624" max="15624" width="11.7109375" customWidth="1"/>
    <col min="15625" max="15625" width="59.42578125" customWidth="1"/>
    <col min="15626" max="15626" width="13.28515625" customWidth="1"/>
    <col min="15627" max="15627" width="8" customWidth="1"/>
    <col min="15628" max="15628" width="17.5703125" customWidth="1"/>
    <col min="15629" max="15629" width="131.7109375" customWidth="1"/>
    <col min="15630" max="15630" width="21.5703125" customWidth="1"/>
    <col min="15631" max="15631" width="16" customWidth="1"/>
    <col min="15632" max="15632" width="26" customWidth="1"/>
    <col min="15633" max="15633" width="16.42578125" customWidth="1"/>
    <col min="15634" max="15634" width="15.42578125" customWidth="1"/>
    <col min="15635" max="15635" width="32.28515625" customWidth="1"/>
    <col min="15636" max="15636" width="28.5703125" customWidth="1"/>
    <col min="15637" max="15637" width="5.7109375" customWidth="1"/>
    <col min="15638" max="15638" width="30" customWidth="1"/>
    <col min="15639" max="15639" width="15.7109375" customWidth="1"/>
    <col min="15874" max="15874" width="12.7109375" customWidth="1"/>
    <col min="15875" max="15875" width="26.42578125" customWidth="1"/>
    <col min="15876" max="15876" width="9.140625" customWidth="1"/>
    <col min="15877" max="15877" width="11.7109375" customWidth="1"/>
    <col min="15878" max="15878" width="57.28515625" customWidth="1"/>
    <col min="15879" max="15879" width="14.5703125" customWidth="1"/>
    <col min="15880" max="15880" width="11.7109375" customWidth="1"/>
    <col min="15881" max="15881" width="59.42578125" customWidth="1"/>
    <col min="15882" max="15882" width="13.28515625" customWidth="1"/>
    <col min="15883" max="15883" width="8" customWidth="1"/>
    <col min="15884" max="15884" width="17.5703125" customWidth="1"/>
    <col min="15885" max="15885" width="131.7109375" customWidth="1"/>
    <col min="15886" max="15886" width="21.5703125" customWidth="1"/>
    <col min="15887" max="15887" width="16" customWidth="1"/>
    <col min="15888" max="15888" width="26" customWidth="1"/>
    <col min="15889" max="15889" width="16.42578125" customWidth="1"/>
    <col min="15890" max="15890" width="15.42578125" customWidth="1"/>
    <col min="15891" max="15891" width="32.28515625" customWidth="1"/>
    <col min="15892" max="15892" width="28.5703125" customWidth="1"/>
    <col min="15893" max="15893" width="5.7109375" customWidth="1"/>
    <col min="15894" max="15894" width="30" customWidth="1"/>
    <col min="15895" max="15895" width="15.7109375" customWidth="1"/>
    <col min="16130" max="16130" width="12.7109375" customWidth="1"/>
    <col min="16131" max="16131" width="26.42578125" customWidth="1"/>
    <col min="16132" max="16132" width="9.140625" customWidth="1"/>
    <col min="16133" max="16133" width="11.7109375" customWidth="1"/>
    <col min="16134" max="16134" width="57.28515625" customWidth="1"/>
    <col min="16135" max="16135" width="14.5703125" customWidth="1"/>
    <col min="16136" max="16136" width="11.7109375" customWidth="1"/>
    <col min="16137" max="16137" width="59.42578125" customWidth="1"/>
    <col min="16138" max="16138" width="13.28515625" customWidth="1"/>
    <col min="16139" max="16139" width="8" customWidth="1"/>
    <col min="16140" max="16140" width="17.5703125" customWidth="1"/>
    <col min="16141" max="16141" width="131.7109375" customWidth="1"/>
    <col min="16142" max="16142" width="21.5703125" customWidth="1"/>
    <col min="16143" max="16143" width="16" customWidth="1"/>
    <col min="16144" max="16144" width="26" customWidth="1"/>
    <col min="16145" max="16145" width="16.42578125" customWidth="1"/>
    <col min="16146" max="16146" width="15.42578125" customWidth="1"/>
    <col min="16147" max="16147" width="32.28515625" customWidth="1"/>
    <col min="16148" max="16148" width="28.5703125" customWidth="1"/>
    <col min="16149" max="16149" width="5.7109375" customWidth="1"/>
    <col min="16150" max="16150" width="30" customWidth="1"/>
    <col min="16151" max="16151" width="15.7109375" customWidth="1"/>
  </cols>
  <sheetData>
    <row r="1" spans="1:23" ht="15.75">
      <c r="A1" s="45" t="s">
        <v>3871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23" ht="15.6" customHeight="1">
      <c r="A2" s="37" t="s">
        <v>0</v>
      </c>
      <c r="B2" s="38" t="s">
        <v>728</v>
      </c>
      <c r="C2" s="38" t="s">
        <v>3872</v>
      </c>
      <c r="D2" s="38" t="s">
        <v>3873</v>
      </c>
      <c r="E2" s="38" t="s">
        <v>3</v>
      </c>
      <c r="F2" s="38" t="s">
        <v>4</v>
      </c>
      <c r="G2" s="38" t="s">
        <v>3874</v>
      </c>
      <c r="H2" s="38" t="s">
        <v>3875</v>
      </c>
      <c r="I2" s="38" t="s">
        <v>3876</v>
      </c>
      <c r="J2" s="38" t="s">
        <v>3877</v>
      </c>
      <c r="K2" s="38" t="s">
        <v>5</v>
      </c>
      <c r="L2" s="38" t="s">
        <v>3865</v>
      </c>
      <c r="M2" s="38" t="s">
        <v>3878</v>
      </c>
      <c r="N2" s="38" t="s">
        <v>3879</v>
      </c>
      <c r="O2" s="38" t="s">
        <v>3880</v>
      </c>
      <c r="P2" s="38" t="s">
        <v>3881</v>
      </c>
      <c r="Q2" s="38" t="s">
        <v>3882</v>
      </c>
      <c r="R2" s="38" t="s">
        <v>6</v>
      </c>
      <c r="S2" s="38" t="s">
        <v>7</v>
      </c>
      <c r="T2" s="38" t="s">
        <v>3883</v>
      </c>
      <c r="U2" s="38" t="s">
        <v>8</v>
      </c>
      <c r="V2" s="39" t="s">
        <v>3884</v>
      </c>
      <c r="W2" s="39" t="s">
        <v>3885</v>
      </c>
    </row>
    <row r="3" spans="1:23">
      <c r="A3" s="40">
        <v>1</v>
      </c>
      <c r="B3" s="41">
        <v>2151017000</v>
      </c>
      <c r="C3" s="42" t="s">
        <v>328</v>
      </c>
      <c r="D3" s="42" t="s">
        <v>760</v>
      </c>
      <c r="E3" s="43" t="s">
        <v>7093</v>
      </c>
      <c r="F3" s="42" t="s">
        <v>3886</v>
      </c>
      <c r="G3" s="42" t="s">
        <v>3887</v>
      </c>
      <c r="H3" s="43"/>
      <c r="I3" s="42"/>
      <c r="J3" s="42" t="s">
        <v>3888</v>
      </c>
      <c r="K3" s="42" t="s">
        <v>1895</v>
      </c>
      <c r="L3" s="42" t="s">
        <v>3889</v>
      </c>
      <c r="M3" s="42" t="s">
        <v>3890</v>
      </c>
      <c r="N3" s="42"/>
      <c r="O3" s="42"/>
      <c r="P3" s="42"/>
      <c r="Q3" s="42"/>
      <c r="R3" s="42" t="s">
        <v>313</v>
      </c>
      <c r="S3" s="42" t="s">
        <v>314</v>
      </c>
      <c r="T3" s="42" t="s">
        <v>3891</v>
      </c>
      <c r="U3" s="42" t="s">
        <v>498</v>
      </c>
      <c r="V3" s="44" t="s">
        <v>3892</v>
      </c>
      <c r="W3" s="42" t="s">
        <v>3892</v>
      </c>
    </row>
    <row r="4" spans="1:23">
      <c r="A4" s="40">
        <v>2</v>
      </c>
      <c r="B4" s="41">
        <v>2151067373</v>
      </c>
      <c r="C4" s="42" t="s">
        <v>3836</v>
      </c>
      <c r="D4" s="42" t="s">
        <v>760</v>
      </c>
      <c r="E4" s="43" t="s">
        <v>3783</v>
      </c>
      <c r="F4" s="42" t="s">
        <v>776</v>
      </c>
      <c r="G4" s="42" t="s">
        <v>3835</v>
      </c>
      <c r="H4" s="43"/>
      <c r="I4" s="42"/>
      <c r="J4" s="42" t="s">
        <v>3893</v>
      </c>
      <c r="K4" s="42" t="s">
        <v>1895</v>
      </c>
      <c r="L4" s="42" t="s">
        <v>552</v>
      </c>
      <c r="M4" s="42" t="s">
        <v>3894</v>
      </c>
      <c r="N4" s="42" t="s">
        <v>3895</v>
      </c>
      <c r="O4" s="42"/>
      <c r="P4" s="42" t="s">
        <v>3896</v>
      </c>
      <c r="Q4" s="42"/>
      <c r="R4" s="42" t="s">
        <v>313</v>
      </c>
      <c r="S4" s="42" t="s">
        <v>314</v>
      </c>
      <c r="T4" s="42" t="s">
        <v>3891</v>
      </c>
      <c r="U4" s="42" t="s">
        <v>498</v>
      </c>
      <c r="V4" s="44" t="s">
        <v>3892</v>
      </c>
      <c r="W4" s="42" t="s">
        <v>3892</v>
      </c>
    </row>
    <row r="5" spans="1:23">
      <c r="A5" s="40">
        <v>3</v>
      </c>
      <c r="B5" s="41">
        <v>2151017351</v>
      </c>
      <c r="C5" s="42" t="s">
        <v>490</v>
      </c>
      <c r="D5" s="42" t="s">
        <v>760</v>
      </c>
      <c r="E5" s="43" t="s">
        <v>3787</v>
      </c>
      <c r="F5" s="42" t="s">
        <v>861</v>
      </c>
      <c r="G5" s="42" t="s">
        <v>3786</v>
      </c>
      <c r="H5" s="43"/>
      <c r="I5" s="42"/>
      <c r="J5" s="42" t="s">
        <v>3897</v>
      </c>
      <c r="K5" s="42" t="s">
        <v>1895</v>
      </c>
      <c r="L5" s="42" t="s">
        <v>528</v>
      </c>
      <c r="M5" s="42" t="s">
        <v>3898</v>
      </c>
      <c r="N5" s="42"/>
      <c r="O5" s="42"/>
      <c r="P5" s="42"/>
      <c r="Q5" s="42"/>
      <c r="R5" s="42" t="s">
        <v>313</v>
      </c>
      <c r="S5" s="42" t="s">
        <v>314</v>
      </c>
      <c r="T5" s="42" t="s">
        <v>3891</v>
      </c>
      <c r="U5" s="42" t="s">
        <v>498</v>
      </c>
      <c r="V5" s="44" t="s">
        <v>3892</v>
      </c>
      <c r="W5" s="42" t="s">
        <v>3892</v>
      </c>
    </row>
    <row r="6" spans="1:23" ht="60">
      <c r="A6" s="40">
        <v>4</v>
      </c>
      <c r="B6" s="41">
        <v>2151017001</v>
      </c>
      <c r="C6" s="42" t="s">
        <v>3899</v>
      </c>
      <c r="D6" s="42" t="s">
        <v>760</v>
      </c>
      <c r="E6" s="43" t="s">
        <v>7094</v>
      </c>
      <c r="F6" s="42" t="s">
        <v>3900</v>
      </c>
      <c r="G6" s="42" t="s">
        <v>3901</v>
      </c>
      <c r="H6" s="43"/>
      <c r="I6" s="42"/>
      <c r="J6" s="42" t="s">
        <v>3902</v>
      </c>
      <c r="K6" s="42" t="s">
        <v>1895</v>
      </c>
      <c r="L6" s="42" t="s">
        <v>1896</v>
      </c>
      <c r="M6" s="42" t="s">
        <v>3903</v>
      </c>
      <c r="N6" s="42"/>
      <c r="O6" s="42"/>
      <c r="P6" s="42"/>
      <c r="Q6" s="42"/>
      <c r="R6" s="42" t="s">
        <v>313</v>
      </c>
      <c r="S6" s="42" t="s">
        <v>314</v>
      </c>
      <c r="T6" s="42" t="s">
        <v>3891</v>
      </c>
      <c r="U6" s="42" t="s">
        <v>498</v>
      </c>
      <c r="V6" s="44" t="s">
        <v>3904</v>
      </c>
      <c r="W6" s="42" t="s">
        <v>3905</v>
      </c>
    </row>
    <row r="7" spans="1:23">
      <c r="A7" s="40">
        <v>5</v>
      </c>
      <c r="B7" s="41">
        <v>2151017208</v>
      </c>
      <c r="C7" s="42" t="s">
        <v>475</v>
      </c>
      <c r="D7" s="42" t="s">
        <v>760</v>
      </c>
      <c r="E7" s="43" t="s">
        <v>7095</v>
      </c>
      <c r="F7" s="42" t="s">
        <v>958</v>
      </c>
      <c r="G7" s="42" t="s">
        <v>3906</v>
      </c>
      <c r="H7" s="43"/>
      <c r="I7" s="42"/>
      <c r="J7" s="42" t="s">
        <v>3907</v>
      </c>
      <c r="K7" s="42" t="s">
        <v>1895</v>
      </c>
      <c r="L7" s="42" t="s">
        <v>3908</v>
      </c>
      <c r="M7" s="42" t="s">
        <v>3909</v>
      </c>
      <c r="N7" s="42" t="s">
        <v>3910</v>
      </c>
      <c r="O7" s="42"/>
      <c r="P7" s="42" t="s">
        <v>3911</v>
      </c>
      <c r="Q7" s="42"/>
      <c r="R7" s="42" t="s">
        <v>313</v>
      </c>
      <c r="S7" s="42" t="s">
        <v>314</v>
      </c>
      <c r="T7" s="42" t="s">
        <v>3891</v>
      </c>
      <c r="U7" s="42" t="s">
        <v>498</v>
      </c>
      <c r="V7" s="44" t="s">
        <v>3892</v>
      </c>
      <c r="W7" s="42" t="s">
        <v>3892</v>
      </c>
    </row>
    <row r="8" spans="1:23">
      <c r="A8" s="40">
        <v>6</v>
      </c>
      <c r="B8" s="41">
        <v>2151017209</v>
      </c>
      <c r="C8" s="42" t="s">
        <v>341</v>
      </c>
      <c r="D8" s="42" t="s">
        <v>760</v>
      </c>
      <c r="E8" s="43" t="s">
        <v>7096</v>
      </c>
      <c r="F8" s="42" t="s">
        <v>835</v>
      </c>
      <c r="G8" s="42" t="s">
        <v>3912</v>
      </c>
      <c r="H8" s="43"/>
      <c r="I8" s="42"/>
      <c r="J8" s="42" t="s">
        <v>3913</v>
      </c>
      <c r="K8" s="42" t="s">
        <v>1895</v>
      </c>
      <c r="L8" s="42" t="s">
        <v>3914</v>
      </c>
      <c r="M8" s="42" t="s">
        <v>3915</v>
      </c>
      <c r="N8" s="42" t="s">
        <v>3916</v>
      </c>
      <c r="O8" s="42"/>
      <c r="P8" s="42" t="s">
        <v>3917</v>
      </c>
      <c r="Q8" s="42"/>
      <c r="R8" s="42" t="s">
        <v>313</v>
      </c>
      <c r="S8" s="42" t="s">
        <v>314</v>
      </c>
      <c r="T8" s="42" t="s">
        <v>3891</v>
      </c>
      <c r="U8" s="42" t="s">
        <v>498</v>
      </c>
      <c r="V8" s="44" t="s">
        <v>3892</v>
      </c>
      <c r="W8" s="42" t="s">
        <v>3892</v>
      </c>
    </row>
    <row r="9" spans="1:23">
      <c r="A9" s="40">
        <v>7</v>
      </c>
      <c r="B9" s="41">
        <v>2151017003</v>
      </c>
      <c r="C9" s="42" t="s">
        <v>350</v>
      </c>
      <c r="D9" s="42" t="s">
        <v>760</v>
      </c>
      <c r="E9" s="43" t="s">
        <v>7097</v>
      </c>
      <c r="F9" s="42" t="s">
        <v>804</v>
      </c>
      <c r="G9" s="42" t="s">
        <v>3918</v>
      </c>
      <c r="H9" s="43"/>
      <c r="I9" s="42"/>
      <c r="J9" s="42" t="s">
        <v>3919</v>
      </c>
      <c r="K9" s="42" t="s">
        <v>1895</v>
      </c>
      <c r="L9" s="42" t="s">
        <v>3920</v>
      </c>
      <c r="M9" s="42" t="s">
        <v>3921</v>
      </c>
      <c r="N9" s="42" t="s">
        <v>3922</v>
      </c>
      <c r="O9" s="42"/>
      <c r="P9" s="42" t="s">
        <v>3923</v>
      </c>
      <c r="Q9" s="42"/>
      <c r="R9" s="42" t="s">
        <v>313</v>
      </c>
      <c r="S9" s="42" t="s">
        <v>314</v>
      </c>
      <c r="T9" s="42" t="s">
        <v>3891</v>
      </c>
      <c r="U9" s="42" t="s">
        <v>498</v>
      </c>
      <c r="V9" s="44" t="s">
        <v>3892</v>
      </c>
      <c r="W9" s="42" t="s">
        <v>3892</v>
      </c>
    </row>
    <row r="10" spans="1:23">
      <c r="A10" s="40">
        <v>8</v>
      </c>
      <c r="B10" s="41">
        <v>2151017004</v>
      </c>
      <c r="C10" s="42" t="s">
        <v>3924</v>
      </c>
      <c r="D10" s="42" t="s">
        <v>760</v>
      </c>
      <c r="E10" s="43" t="s">
        <v>7098</v>
      </c>
      <c r="F10" s="42" t="s">
        <v>761</v>
      </c>
      <c r="G10" s="42" t="s">
        <v>3925</v>
      </c>
      <c r="H10" s="43"/>
      <c r="I10" s="42"/>
      <c r="J10" s="42" t="s">
        <v>3926</v>
      </c>
      <c r="K10" s="42" t="s">
        <v>1895</v>
      </c>
      <c r="L10" s="42" t="s">
        <v>3927</v>
      </c>
      <c r="M10" s="42" t="s">
        <v>3928</v>
      </c>
      <c r="N10" s="42" t="s">
        <v>3929</v>
      </c>
      <c r="O10" s="42"/>
      <c r="P10" s="42" t="s">
        <v>3930</v>
      </c>
      <c r="Q10" s="42"/>
      <c r="R10" s="42" t="s">
        <v>313</v>
      </c>
      <c r="S10" s="42" t="s">
        <v>314</v>
      </c>
      <c r="T10" s="42" t="s">
        <v>3891</v>
      </c>
      <c r="U10" s="42" t="s">
        <v>498</v>
      </c>
      <c r="V10" s="44" t="s">
        <v>3892</v>
      </c>
      <c r="W10" s="42" t="s">
        <v>3892</v>
      </c>
    </row>
    <row r="11" spans="1:23">
      <c r="A11" s="40">
        <v>9</v>
      </c>
      <c r="B11" s="41">
        <v>2151017005</v>
      </c>
      <c r="C11" s="42" t="s">
        <v>3931</v>
      </c>
      <c r="D11" s="42" t="s">
        <v>760</v>
      </c>
      <c r="E11" s="43" t="s">
        <v>7099</v>
      </c>
      <c r="F11" s="42" t="s">
        <v>804</v>
      </c>
      <c r="G11" s="42" t="s">
        <v>3932</v>
      </c>
      <c r="H11" s="43"/>
      <c r="I11" s="42"/>
      <c r="J11" s="42" t="s">
        <v>3933</v>
      </c>
      <c r="K11" s="42" t="s">
        <v>1895</v>
      </c>
      <c r="L11" s="42" t="s">
        <v>3934</v>
      </c>
      <c r="M11" s="42" t="s">
        <v>3935</v>
      </c>
      <c r="N11" s="42" t="s">
        <v>3936</v>
      </c>
      <c r="O11" s="42"/>
      <c r="P11" s="42" t="s">
        <v>3937</v>
      </c>
      <c r="Q11" s="42"/>
      <c r="R11" s="42" t="s">
        <v>313</v>
      </c>
      <c r="S11" s="42" t="s">
        <v>314</v>
      </c>
      <c r="T11" s="42" t="s">
        <v>3891</v>
      </c>
      <c r="U11" s="42" t="s">
        <v>498</v>
      </c>
      <c r="V11" s="44" t="s">
        <v>3892</v>
      </c>
      <c r="W11" s="42" t="s">
        <v>3892</v>
      </c>
    </row>
    <row r="12" spans="1:23">
      <c r="A12" s="40">
        <v>10</v>
      </c>
      <c r="B12" s="41">
        <v>2151017006</v>
      </c>
      <c r="C12" s="42" t="s">
        <v>312</v>
      </c>
      <c r="D12" s="42" t="s">
        <v>765</v>
      </c>
      <c r="E12" s="43" t="s">
        <v>2143</v>
      </c>
      <c r="F12" s="42" t="s">
        <v>3938</v>
      </c>
      <c r="G12" s="42" t="s">
        <v>3939</v>
      </c>
      <c r="H12" s="43"/>
      <c r="I12" s="42"/>
      <c r="J12" s="42" t="s">
        <v>3940</v>
      </c>
      <c r="K12" s="42" t="s">
        <v>1895</v>
      </c>
      <c r="L12" s="42" t="s">
        <v>3941</v>
      </c>
      <c r="M12" s="42" t="s">
        <v>3942</v>
      </c>
      <c r="N12" s="42" t="s">
        <v>3943</v>
      </c>
      <c r="O12" s="42"/>
      <c r="P12" s="42" t="s">
        <v>3944</v>
      </c>
      <c r="Q12" s="42"/>
      <c r="R12" s="42" t="s">
        <v>313</v>
      </c>
      <c r="S12" s="42" t="s">
        <v>314</v>
      </c>
      <c r="T12" s="42" t="s">
        <v>3891</v>
      </c>
      <c r="U12" s="42" t="s">
        <v>498</v>
      </c>
      <c r="V12" s="44" t="s">
        <v>3892</v>
      </c>
      <c r="W12" s="42" t="s">
        <v>3892</v>
      </c>
    </row>
    <row r="13" spans="1:23">
      <c r="A13" s="40">
        <v>11</v>
      </c>
      <c r="B13" s="41">
        <v>2151017007</v>
      </c>
      <c r="C13" s="42" t="s">
        <v>3945</v>
      </c>
      <c r="D13" s="42" t="s">
        <v>760</v>
      </c>
      <c r="E13" s="43" t="s">
        <v>7100</v>
      </c>
      <c r="F13" s="42" t="s">
        <v>776</v>
      </c>
      <c r="G13" s="42" t="s">
        <v>3946</v>
      </c>
      <c r="H13" s="43"/>
      <c r="I13" s="42"/>
      <c r="J13" s="42" t="s">
        <v>3947</v>
      </c>
      <c r="K13" s="42" t="s">
        <v>1895</v>
      </c>
      <c r="L13" s="42" t="s">
        <v>3948</v>
      </c>
      <c r="M13" s="42" t="s">
        <v>3949</v>
      </c>
      <c r="N13" s="42" t="s">
        <v>3950</v>
      </c>
      <c r="O13" s="42"/>
      <c r="P13" s="42" t="s">
        <v>3951</v>
      </c>
      <c r="Q13" s="42"/>
      <c r="R13" s="42" t="s">
        <v>313</v>
      </c>
      <c r="S13" s="42" t="s">
        <v>314</v>
      </c>
      <c r="T13" s="42" t="s">
        <v>3891</v>
      </c>
      <c r="U13" s="42" t="s">
        <v>498</v>
      </c>
      <c r="V13" s="44" t="s">
        <v>3892</v>
      </c>
      <c r="W13" s="42" t="s">
        <v>3892</v>
      </c>
    </row>
    <row r="14" spans="1:23">
      <c r="A14" s="40">
        <v>12</v>
      </c>
      <c r="B14" s="41">
        <v>2151017008</v>
      </c>
      <c r="C14" s="42" t="s">
        <v>324</v>
      </c>
      <c r="D14" s="42" t="s">
        <v>760</v>
      </c>
      <c r="E14" s="43" t="s">
        <v>7101</v>
      </c>
      <c r="F14" s="42" t="s">
        <v>3952</v>
      </c>
      <c r="G14" s="42" t="s">
        <v>3953</v>
      </c>
      <c r="H14" s="43"/>
      <c r="I14" s="42"/>
      <c r="J14" s="42" t="s">
        <v>3954</v>
      </c>
      <c r="K14" s="42" t="s">
        <v>1895</v>
      </c>
      <c r="L14" s="42" t="s">
        <v>3955</v>
      </c>
      <c r="M14" s="42" t="s">
        <v>3956</v>
      </c>
      <c r="N14" s="42" t="s">
        <v>3957</v>
      </c>
      <c r="O14" s="42"/>
      <c r="P14" s="42" t="s">
        <v>3958</v>
      </c>
      <c r="Q14" s="42"/>
      <c r="R14" s="42" t="s">
        <v>313</v>
      </c>
      <c r="S14" s="42" t="s">
        <v>314</v>
      </c>
      <c r="T14" s="42" t="s">
        <v>3891</v>
      </c>
      <c r="U14" s="42" t="s">
        <v>498</v>
      </c>
      <c r="V14" s="44" t="s">
        <v>3892</v>
      </c>
      <c r="W14" s="42" t="s">
        <v>3892</v>
      </c>
    </row>
    <row r="15" spans="1:23" ht="105">
      <c r="A15" s="40">
        <v>13</v>
      </c>
      <c r="B15" s="41">
        <v>2151017009</v>
      </c>
      <c r="C15" s="42" t="s">
        <v>3959</v>
      </c>
      <c r="D15" s="42" t="s">
        <v>760</v>
      </c>
      <c r="E15" s="43" t="s">
        <v>7102</v>
      </c>
      <c r="F15" s="42" t="s">
        <v>804</v>
      </c>
      <c r="G15" s="42" t="s">
        <v>3960</v>
      </c>
      <c r="H15" s="43">
        <v>44317</v>
      </c>
      <c r="I15" s="42"/>
      <c r="J15" s="42" t="s">
        <v>3961</v>
      </c>
      <c r="K15" s="42" t="s">
        <v>1895</v>
      </c>
      <c r="L15" s="42" t="s">
        <v>3962</v>
      </c>
      <c r="M15" s="42" t="s">
        <v>3963</v>
      </c>
      <c r="N15" s="42" t="s">
        <v>3964</v>
      </c>
      <c r="O15" s="42"/>
      <c r="P15" s="42" t="s">
        <v>3965</v>
      </c>
      <c r="Q15" s="42"/>
      <c r="R15" s="42" t="s">
        <v>313</v>
      </c>
      <c r="S15" s="42" t="s">
        <v>314</v>
      </c>
      <c r="T15" s="42" t="s">
        <v>3891</v>
      </c>
      <c r="U15" s="42" t="s">
        <v>498</v>
      </c>
      <c r="V15" s="44" t="s">
        <v>3966</v>
      </c>
      <c r="W15" s="42" t="s">
        <v>3905</v>
      </c>
    </row>
    <row r="16" spans="1:23">
      <c r="A16" s="40">
        <v>14</v>
      </c>
      <c r="B16" s="41">
        <v>2151017010</v>
      </c>
      <c r="C16" s="42" t="s">
        <v>332</v>
      </c>
      <c r="D16" s="42" t="s">
        <v>760</v>
      </c>
      <c r="E16" s="43" t="s">
        <v>7103</v>
      </c>
      <c r="F16" s="42" t="s">
        <v>3967</v>
      </c>
      <c r="G16" s="42" t="s">
        <v>3968</v>
      </c>
      <c r="H16" s="43"/>
      <c r="I16" s="42"/>
      <c r="J16" s="42" t="s">
        <v>3969</v>
      </c>
      <c r="K16" s="42" t="s">
        <v>1895</v>
      </c>
      <c r="L16" s="42" t="s">
        <v>3970</v>
      </c>
      <c r="M16" s="42" t="s">
        <v>3971</v>
      </c>
      <c r="N16" s="42" t="s">
        <v>3972</v>
      </c>
      <c r="O16" s="42"/>
      <c r="P16" s="42" t="s">
        <v>3973</v>
      </c>
      <c r="Q16" s="42"/>
      <c r="R16" s="42" t="s">
        <v>313</v>
      </c>
      <c r="S16" s="42" t="s">
        <v>314</v>
      </c>
      <c r="T16" s="42" t="s">
        <v>3891</v>
      </c>
      <c r="U16" s="42" t="s">
        <v>498</v>
      </c>
      <c r="V16" s="44" t="s">
        <v>3892</v>
      </c>
      <c r="W16" s="42" t="s">
        <v>3892</v>
      </c>
    </row>
    <row r="17" spans="1:23" ht="60">
      <c r="A17" s="40">
        <v>15</v>
      </c>
      <c r="B17" s="41">
        <v>2151017011</v>
      </c>
      <c r="C17" s="42" t="s">
        <v>3974</v>
      </c>
      <c r="D17" s="42" t="s">
        <v>760</v>
      </c>
      <c r="E17" s="43" t="s">
        <v>7104</v>
      </c>
      <c r="F17" s="42" t="s">
        <v>998</v>
      </c>
      <c r="G17" s="42" t="s">
        <v>3975</v>
      </c>
      <c r="H17" s="43"/>
      <c r="I17" s="42"/>
      <c r="J17" s="42" t="s">
        <v>3976</v>
      </c>
      <c r="K17" s="42" t="s">
        <v>1895</v>
      </c>
      <c r="L17" s="42" t="s">
        <v>3977</v>
      </c>
      <c r="M17" s="42" t="s">
        <v>3978</v>
      </c>
      <c r="N17" s="42" t="s">
        <v>3979</v>
      </c>
      <c r="O17" s="42"/>
      <c r="P17" s="42" t="s">
        <v>3980</v>
      </c>
      <c r="Q17" s="42"/>
      <c r="R17" s="42" t="s">
        <v>313</v>
      </c>
      <c r="S17" s="42" t="s">
        <v>314</v>
      </c>
      <c r="T17" s="42" t="s">
        <v>3891</v>
      </c>
      <c r="U17" s="42" t="s">
        <v>498</v>
      </c>
      <c r="V17" s="44" t="s">
        <v>3981</v>
      </c>
      <c r="W17" s="42" t="s">
        <v>3905</v>
      </c>
    </row>
    <row r="18" spans="1:23">
      <c r="A18" s="40">
        <v>16</v>
      </c>
      <c r="B18" s="41">
        <v>2151017012</v>
      </c>
      <c r="C18" s="42" t="s">
        <v>3982</v>
      </c>
      <c r="D18" s="42" t="s">
        <v>760</v>
      </c>
      <c r="E18" s="43" t="s">
        <v>7105</v>
      </c>
      <c r="F18" s="42" t="s">
        <v>3938</v>
      </c>
      <c r="G18" s="42" t="s">
        <v>3983</v>
      </c>
      <c r="H18" s="43">
        <v>44445</v>
      </c>
      <c r="I18" s="42"/>
      <c r="J18" s="42" t="s">
        <v>3984</v>
      </c>
      <c r="K18" s="42" t="s">
        <v>1895</v>
      </c>
      <c r="L18" s="42" t="s">
        <v>3985</v>
      </c>
      <c r="M18" s="42" t="s">
        <v>3986</v>
      </c>
      <c r="N18" s="42" t="s">
        <v>3987</v>
      </c>
      <c r="O18" s="42"/>
      <c r="P18" s="42" t="s">
        <v>3988</v>
      </c>
      <c r="Q18" s="42"/>
      <c r="R18" s="42" t="s">
        <v>313</v>
      </c>
      <c r="S18" s="42" t="s">
        <v>314</v>
      </c>
      <c r="T18" s="42" t="s">
        <v>3891</v>
      </c>
      <c r="U18" s="42" t="s">
        <v>498</v>
      </c>
      <c r="V18" s="44" t="s">
        <v>3892</v>
      </c>
      <c r="W18" s="42" t="s">
        <v>3892</v>
      </c>
    </row>
    <row r="19" spans="1:23">
      <c r="A19" s="40">
        <v>17</v>
      </c>
      <c r="B19" s="41">
        <v>2151017340</v>
      </c>
      <c r="C19" s="42" t="s">
        <v>3762</v>
      </c>
      <c r="D19" s="42" t="s">
        <v>760</v>
      </c>
      <c r="E19" s="43" t="s">
        <v>3763</v>
      </c>
      <c r="F19" s="42" t="s">
        <v>828</v>
      </c>
      <c r="G19" s="42" t="s">
        <v>3989</v>
      </c>
      <c r="H19" s="43"/>
      <c r="I19" s="42"/>
      <c r="J19" s="42" t="s">
        <v>3990</v>
      </c>
      <c r="K19" s="42" t="s">
        <v>1895</v>
      </c>
      <c r="L19" s="42" t="s">
        <v>511</v>
      </c>
      <c r="M19" s="42" t="s">
        <v>3991</v>
      </c>
      <c r="N19" s="42" t="s">
        <v>3992</v>
      </c>
      <c r="O19" s="42"/>
      <c r="P19" s="42" t="s">
        <v>3993</v>
      </c>
      <c r="Q19" s="42"/>
      <c r="R19" s="42" t="s">
        <v>313</v>
      </c>
      <c r="S19" s="42" t="s">
        <v>314</v>
      </c>
      <c r="T19" s="42" t="s">
        <v>3891</v>
      </c>
      <c r="U19" s="42" t="s">
        <v>498</v>
      </c>
      <c r="V19" s="44" t="s">
        <v>3892</v>
      </c>
      <c r="W19" s="42" t="s">
        <v>3892</v>
      </c>
    </row>
    <row r="20" spans="1:23">
      <c r="A20" s="40">
        <v>18</v>
      </c>
      <c r="B20" s="41">
        <v>2151017505</v>
      </c>
      <c r="C20" s="42" t="s">
        <v>3994</v>
      </c>
      <c r="D20" s="42" t="s">
        <v>760</v>
      </c>
      <c r="E20" s="43" t="s">
        <v>7106</v>
      </c>
      <c r="F20" s="42" t="s">
        <v>899</v>
      </c>
      <c r="G20" s="42" t="s">
        <v>3995</v>
      </c>
      <c r="H20" s="43"/>
      <c r="I20" s="42"/>
      <c r="J20" s="42" t="s">
        <v>3996</v>
      </c>
      <c r="K20" s="42" t="s">
        <v>1895</v>
      </c>
      <c r="L20" s="42" t="s">
        <v>519</v>
      </c>
      <c r="M20" s="42" t="s">
        <v>3997</v>
      </c>
      <c r="N20" s="42" t="s">
        <v>3998</v>
      </c>
      <c r="O20" s="42"/>
      <c r="P20" s="42" t="s">
        <v>3999</v>
      </c>
      <c r="Q20" s="42"/>
      <c r="R20" s="42" t="s">
        <v>313</v>
      </c>
      <c r="S20" s="42" t="s">
        <v>314</v>
      </c>
      <c r="T20" s="42" t="s">
        <v>3891</v>
      </c>
      <c r="U20" s="42" t="s">
        <v>498</v>
      </c>
      <c r="V20" s="44" t="s">
        <v>3892</v>
      </c>
      <c r="W20" s="42" t="s">
        <v>3892</v>
      </c>
    </row>
    <row r="21" spans="1:23">
      <c r="A21" s="40">
        <v>19</v>
      </c>
      <c r="B21" s="41">
        <v>2154077881</v>
      </c>
      <c r="C21" s="42" t="s">
        <v>336</v>
      </c>
      <c r="D21" s="42" t="s">
        <v>760</v>
      </c>
      <c r="E21" s="43" t="s">
        <v>7107</v>
      </c>
      <c r="F21" s="42" t="s">
        <v>882</v>
      </c>
      <c r="G21" s="42" t="s">
        <v>4000</v>
      </c>
      <c r="H21" s="43"/>
      <c r="I21" s="42"/>
      <c r="J21" s="42" t="s">
        <v>4001</v>
      </c>
      <c r="K21" s="42" t="s">
        <v>1895</v>
      </c>
      <c r="L21" s="42" t="s">
        <v>4002</v>
      </c>
      <c r="M21" s="42" t="s">
        <v>4003</v>
      </c>
      <c r="N21" s="42" t="s">
        <v>4004</v>
      </c>
      <c r="O21" s="42"/>
      <c r="P21" s="42" t="s">
        <v>4005</v>
      </c>
      <c r="Q21" s="42"/>
      <c r="R21" s="42" t="s">
        <v>313</v>
      </c>
      <c r="S21" s="42" t="s">
        <v>314</v>
      </c>
      <c r="T21" s="42" t="s">
        <v>3891</v>
      </c>
      <c r="U21" s="42" t="s">
        <v>498</v>
      </c>
      <c r="V21" s="44" t="s">
        <v>3892</v>
      </c>
      <c r="W21" s="42" t="s">
        <v>3892</v>
      </c>
    </row>
    <row r="22" spans="1:23">
      <c r="A22" s="40">
        <v>20</v>
      </c>
      <c r="B22" s="41">
        <v>2151017507</v>
      </c>
      <c r="C22" s="42" t="s">
        <v>334</v>
      </c>
      <c r="D22" s="42" t="s">
        <v>760</v>
      </c>
      <c r="E22" s="43" t="s">
        <v>7108</v>
      </c>
      <c r="F22" s="42" t="s">
        <v>4006</v>
      </c>
      <c r="G22" s="42" t="s">
        <v>4007</v>
      </c>
      <c r="H22" s="43"/>
      <c r="I22" s="42"/>
      <c r="J22" s="42" t="s">
        <v>4008</v>
      </c>
      <c r="K22" s="42" t="s">
        <v>1895</v>
      </c>
      <c r="L22" s="42" t="s">
        <v>522</v>
      </c>
      <c r="M22" s="42" t="s">
        <v>4009</v>
      </c>
      <c r="N22" s="42" t="s">
        <v>4010</v>
      </c>
      <c r="O22" s="42"/>
      <c r="P22" s="42" t="s">
        <v>4011</v>
      </c>
      <c r="Q22" s="42"/>
      <c r="R22" s="42" t="s">
        <v>313</v>
      </c>
      <c r="S22" s="42" t="s">
        <v>314</v>
      </c>
      <c r="T22" s="42" t="s">
        <v>3891</v>
      </c>
      <c r="U22" s="42" t="s">
        <v>498</v>
      </c>
      <c r="V22" s="44" t="s">
        <v>3892</v>
      </c>
      <c r="W22" s="42" t="s">
        <v>3892</v>
      </c>
    </row>
    <row r="23" spans="1:23">
      <c r="A23" s="40">
        <v>21</v>
      </c>
      <c r="B23" s="41">
        <v>2151017014</v>
      </c>
      <c r="C23" s="42" t="s">
        <v>4012</v>
      </c>
      <c r="D23" s="42" t="s">
        <v>760</v>
      </c>
      <c r="E23" s="43" t="s">
        <v>3387</v>
      </c>
      <c r="F23" s="42" t="s">
        <v>867</v>
      </c>
      <c r="G23" s="42" t="s">
        <v>4013</v>
      </c>
      <c r="H23" s="43"/>
      <c r="I23" s="42"/>
      <c r="J23" s="42" t="s">
        <v>4014</v>
      </c>
      <c r="K23" s="42" t="s">
        <v>1895</v>
      </c>
      <c r="L23" s="42" t="s">
        <v>4015</v>
      </c>
      <c r="M23" s="42" t="s">
        <v>4016</v>
      </c>
      <c r="N23" s="42" t="s">
        <v>4017</v>
      </c>
      <c r="O23" s="42"/>
      <c r="P23" s="42" t="s">
        <v>4018</v>
      </c>
      <c r="Q23" s="42"/>
      <c r="R23" s="42" t="s">
        <v>313</v>
      </c>
      <c r="S23" s="42" t="s">
        <v>314</v>
      </c>
      <c r="T23" s="42" t="s">
        <v>3891</v>
      </c>
      <c r="U23" s="42" t="s">
        <v>498</v>
      </c>
      <c r="V23" s="44" t="s">
        <v>3892</v>
      </c>
      <c r="W23" s="42" t="s">
        <v>3892</v>
      </c>
    </row>
    <row r="24" spans="1:23">
      <c r="A24" s="40">
        <v>22</v>
      </c>
      <c r="B24" s="41">
        <v>2151017212</v>
      </c>
      <c r="C24" s="42" t="s">
        <v>468</v>
      </c>
      <c r="D24" s="42" t="s">
        <v>760</v>
      </c>
      <c r="E24" s="43" t="s">
        <v>3167</v>
      </c>
      <c r="F24" s="42" t="s">
        <v>861</v>
      </c>
      <c r="G24" s="42" t="s">
        <v>4019</v>
      </c>
      <c r="H24" s="43"/>
      <c r="I24" s="42"/>
      <c r="J24" s="42" t="s">
        <v>4020</v>
      </c>
      <c r="K24" s="42" t="s">
        <v>4021</v>
      </c>
      <c r="L24" s="42" t="s">
        <v>4021</v>
      </c>
      <c r="M24" s="42" t="s">
        <v>4022</v>
      </c>
      <c r="N24" s="42" t="s">
        <v>4023</v>
      </c>
      <c r="O24" s="42"/>
      <c r="P24" s="42" t="s">
        <v>4024</v>
      </c>
      <c r="Q24" s="42"/>
      <c r="R24" s="42" t="s">
        <v>313</v>
      </c>
      <c r="S24" s="42" t="s">
        <v>314</v>
      </c>
      <c r="T24" s="42" t="s">
        <v>3891</v>
      </c>
      <c r="U24" s="42" t="s">
        <v>498</v>
      </c>
      <c r="V24" s="44" t="s">
        <v>3892</v>
      </c>
      <c r="W24" s="42" t="s">
        <v>3892</v>
      </c>
    </row>
    <row r="25" spans="1:23">
      <c r="A25" s="40">
        <v>23</v>
      </c>
      <c r="B25" s="41">
        <v>2151017213</v>
      </c>
      <c r="C25" s="42" t="s">
        <v>4025</v>
      </c>
      <c r="D25" s="42" t="s">
        <v>760</v>
      </c>
      <c r="E25" s="43" t="s">
        <v>7109</v>
      </c>
      <c r="F25" s="42" t="s">
        <v>835</v>
      </c>
      <c r="G25" s="42" t="s">
        <v>4026</v>
      </c>
      <c r="H25" s="43"/>
      <c r="I25" s="42"/>
      <c r="J25" s="42" t="s">
        <v>4027</v>
      </c>
      <c r="K25" s="42" t="s">
        <v>1895</v>
      </c>
      <c r="L25" s="42" t="s">
        <v>4028</v>
      </c>
      <c r="M25" s="42" t="s">
        <v>4029</v>
      </c>
      <c r="N25" s="42" t="s">
        <v>4030</v>
      </c>
      <c r="O25" s="42"/>
      <c r="P25" s="42" t="s">
        <v>4031</v>
      </c>
      <c r="Q25" s="42"/>
      <c r="R25" s="42" t="s">
        <v>313</v>
      </c>
      <c r="S25" s="42" t="s">
        <v>314</v>
      </c>
      <c r="T25" s="42" t="s">
        <v>3891</v>
      </c>
      <c r="U25" s="42" t="s">
        <v>498</v>
      </c>
      <c r="V25" s="44" t="s">
        <v>3892</v>
      </c>
      <c r="W25" s="42" t="s">
        <v>3892</v>
      </c>
    </row>
    <row r="26" spans="1:23">
      <c r="A26" s="40">
        <v>24</v>
      </c>
      <c r="B26" s="41">
        <v>2151017508</v>
      </c>
      <c r="C26" s="42" t="s">
        <v>326</v>
      </c>
      <c r="D26" s="42" t="s">
        <v>760</v>
      </c>
      <c r="E26" s="43" t="s">
        <v>7110</v>
      </c>
      <c r="F26" s="42" t="s">
        <v>4032</v>
      </c>
      <c r="G26" s="42" t="s">
        <v>4033</v>
      </c>
      <c r="H26" s="43"/>
      <c r="I26" s="42"/>
      <c r="J26" s="42" t="s">
        <v>4034</v>
      </c>
      <c r="K26" s="42" t="s">
        <v>4035</v>
      </c>
      <c r="L26" s="42" t="s">
        <v>523</v>
      </c>
      <c r="M26" s="42" t="s">
        <v>4036</v>
      </c>
      <c r="N26" s="42" t="s">
        <v>4037</v>
      </c>
      <c r="O26" s="42"/>
      <c r="P26" s="42" t="s">
        <v>4038</v>
      </c>
      <c r="Q26" s="42"/>
      <c r="R26" s="42" t="s">
        <v>313</v>
      </c>
      <c r="S26" s="42" t="s">
        <v>314</v>
      </c>
      <c r="T26" s="42" t="s">
        <v>3891</v>
      </c>
      <c r="U26" s="42" t="s">
        <v>498</v>
      </c>
      <c r="V26" s="44" t="s">
        <v>3892</v>
      </c>
      <c r="W26" s="42" t="s">
        <v>3892</v>
      </c>
    </row>
    <row r="27" spans="1:23">
      <c r="A27" s="40">
        <v>25</v>
      </c>
      <c r="B27" s="41">
        <v>2151017509</v>
      </c>
      <c r="C27" s="42" t="s">
        <v>477</v>
      </c>
      <c r="D27" s="42" t="s">
        <v>760</v>
      </c>
      <c r="E27" s="43" t="s">
        <v>7111</v>
      </c>
      <c r="F27" s="42" t="s">
        <v>3900</v>
      </c>
      <c r="G27" s="42" t="s">
        <v>4039</v>
      </c>
      <c r="H27" s="43"/>
      <c r="I27" s="42"/>
      <c r="J27" s="42" t="s">
        <v>4040</v>
      </c>
      <c r="K27" s="42" t="s">
        <v>1895</v>
      </c>
      <c r="L27" s="42" t="s">
        <v>524</v>
      </c>
      <c r="M27" s="42" t="s">
        <v>4041</v>
      </c>
      <c r="N27" s="42" t="s">
        <v>4042</v>
      </c>
      <c r="O27" s="42"/>
      <c r="P27" s="42" t="s">
        <v>4043</v>
      </c>
      <c r="Q27" s="42"/>
      <c r="R27" s="42" t="s">
        <v>313</v>
      </c>
      <c r="S27" s="42" t="s">
        <v>314</v>
      </c>
      <c r="T27" s="42" t="s">
        <v>3891</v>
      </c>
      <c r="U27" s="42" t="s">
        <v>498</v>
      </c>
      <c r="V27" s="44" t="s">
        <v>3892</v>
      </c>
      <c r="W27" s="42" t="s">
        <v>3892</v>
      </c>
    </row>
    <row r="28" spans="1:23">
      <c r="A28" s="40">
        <v>26</v>
      </c>
      <c r="B28" s="41">
        <v>2151017018</v>
      </c>
      <c r="C28" s="42" t="s">
        <v>4044</v>
      </c>
      <c r="D28" s="42" t="s">
        <v>760</v>
      </c>
      <c r="E28" s="43" t="s">
        <v>3773</v>
      </c>
      <c r="F28" s="42" t="s">
        <v>804</v>
      </c>
      <c r="G28" s="42" t="s">
        <v>4045</v>
      </c>
      <c r="H28" s="43"/>
      <c r="I28" s="42"/>
      <c r="J28" s="42" t="s">
        <v>4046</v>
      </c>
      <c r="K28" s="42" t="s">
        <v>1895</v>
      </c>
      <c r="L28" s="42" t="s">
        <v>4047</v>
      </c>
      <c r="M28" s="42" t="s">
        <v>3921</v>
      </c>
      <c r="N28" s="42" t="s">
        <v>4048</v>
      </c>
      <c r="O28" s="42"/>
      <c r="P28" s="42" t="s">
        <v>4049</v>
      </c>
      <c r="Q28" s="42"/>
      <c r="R28" s="42" t="s">
        <v>313</v>
      </c>
      <c r="S28" s="42" t="s">
        <v>314</v>
      </c>
      <c r="T28" s="42" t="s">
        <v>3891</v>
      </c>
      <c r="U28" s="42" t="s">
        <v>498</v>
      </c>
      <c r="V28" s="44" t="s">
        <v>3892</v>
      </c>
      <c r="W28" s="42" t="s">
        <v>3892</v>
      </c>
    </row>
    <row r="29" spans="1:23">
      <c r="A29" s="40">
        <v>27</v>
      </c>
      <c r="B29" s="41">
        <v>2151017513</v>
      </c>
      <c r="C29" s="42" t="s">
        <v>473</v>
      </c>
      <c r="D29" s="42" t="s">
        <v>765</v>
      </c>
      <c r="E29" s="43" t="s">
        <v>7099</v>
      </c>
      <c r="F29" s="42" t="s">
        <v>761</v>
      </c>
      <c r="G29" s="42" t="s">
        <v>4050</v>
      </c>
      <c r="H29" s="43"/>
      <c r="I29" s="42"/>
      <c r="J29" s="42" t="s">
        <v>4051</v>
      </c>
      <c r="K29" s="42" t="s">
        <v>1895</v>
      </c>
      <c r="L29" s="42" t="s">
        <v>529</v>
      </c>
      <c r="M29" s="42" t="s">
        <v>4052</v>
      </c>
      <c r="N29" s="42" t="s">
        <v>4053</v>
      </c>
      <c r="O29" s="42"/>
      <c r="P29" s="42" t="s">
        <v>4054</v>
      </c>
      <c r="Q29" s="42"/>
      <c r="R29" s="42" t="s">
        <v>313</v>
      </c>
      <c r="S29" s="42" t="s">
        <v>314</v>
      </c>
      <c r="T29" s="42" t="s">
        <v>3891</v>
      </c>
      <c r="U29" s="42" t="s">
        <v>498</v>
      </c>
      <c r="V29" s="44" t="s">
        <v>3892</v>
      </c>
      <c r="W29" s="42" t="s">
        <v>3892</v>
      </c>
    </row>
    <row r="30" spans="1:23">
      <c r="A30" s="40">
        <v>28</v>
      </c>
      <c r="B30" s="41">
        <v>2151017019</v>
      </c>
      <c r="C30" s="42" t="s">
        <v>322</v>
      </c>
      <c r="D30" s="42" t="s">
        <v>765</v>
      </c>
      <c r="E30" s="43" t="s">
        <v>7112</v>
      </c>
      <c r="F30" s="42" t="s">
        <v>4055</v>
      </c>
      <c r="G30" s="42" t="s">
        <v>4056</v>
      </c>
      <c r="H30" s="43"/>
      <c r="I30" s="42"/>
      <c r="J30" s="42" t="s">
        <v>4057</v>
      </c>
      <c r="K30" s="42" t="s">
        <v>1895</v>
      </c>
      <c r="L30" s="42" t="s">
        <v>4058</v>
      </c>
      <c r="M30" s="42" t="s">
        <v>4059</v>
      </c>
      <c r="N30" s="42" t="s">
        <v>4060</v>
      </c>
      <c r="O30" s="42"/>
      <c r="P30" s="42" t="s">
        <v>4061</v>
      </c>
      <c r="Q30" s="42"/>
      <c r="R30" s="42" t="s">
        <v>313</v>
      </c>
      <c r="S30" s="42" t="s">
        <v>314</v>
      </c>
      <c r="T30" s="42" t="s">
        <v>3891</v>
      </c>
      <c r="U30" s="42" t="s">
        <v>498</v>
      </c>
      <c r="V30" s="44" t="s">
        <v>3892</v>
      </c>
      <c r="W30" s="42" t="s">
        <v>3892</v>
      </c>
    </row>
    <row r="31" spans="1:23" ht="60">
      <c r="A31" s="40">
        <v>29</v>
      </c>
      <c r="B31" s="41">
        <v>2154077186</v>
      </c>
      <c r="C31" s="42" t="s">
        <v>4062</v>
      </c>
      <c r="D31" s="42" t="s">
        <v>760</v>
      </c>
      <c r="E31" s="43" t="s">
        <v>7113</v>
      </c>
      <c r="F31" s="42" t="s">
        <v>4063</v>
      </c>
      <c r="G31" s="42" t="s">
        <v>4064</v>
      </c>
      <c r="H31" s="43"/>
      <c r="I31" s="42"/>
      <c r="J31" s="42" t="s">
        <v>4065</v>
      </c>
      <c r="K31" s="42" t="s">
        <v>1895</v>
      </c>
      <c r="L31" s="42" t="s">
        <v>4066</v>
      </c>
      <c r="M31" s="42" t="s">
        <v>4067</v>
      </c>
      <c r="N31" s="42" t="s">
        <v>4068</v>
      </c>
      <c r="O31" s="42"/>
      <c r="P31" s="42" t="s">
        <v>4069</v>
      </c>
      <c r="Q31" s="42"/>
      <c r="R31" s="42" t="s">
        <v>313</v>
      </c>
      <c r="S31" s="42" t="s">
        <v>314</v>
      </c>
      <c r="T31" s="42" t="s">
        <v>3891</v>
      </c>
      <c r="U31" s="42" t="s">
        <v>498</v>
      </c>
      <c r="V31" s="44" t="s">
        <v>4070</v>
      </c>
      <c r="W31" s="42" t="s">
        <v>3905</v>
      </c>
    </row>
    <row r="32" spans="1:23">
      <c r="A32" s="40">
        <v>30</v>
      </c>
      <c r="B32" s="41">
        <v>2151017514</v>
      </c>
      <c r="C32" s="42" t="s">
        <v>4071</v>
      </c>
      <c r="D32" s="42" t="s">
        <v>760</v>
      </c>
      <c r="E32" s="43" t="s">
        <v>7114</v>
      </c>
      <c r="F32" s="42" t="s">
        <v>4072</v>
      </c>
      <c r="G32" s="42" t="s">
        <v>4073</v>
      </c>
      <c r="H32" s="43">
        <v>43196</v>
      </c>
      <c r="I32" s="42" t="s">
        <v>4074</v>
      </c>
      <c r="J32" s="42" t="s">
        <v>4075</v>
      </c>
      <c r="K32" s="42" t="s">
        <v>1895</v>
      </c>
      <c r="L32" s="42" t="s">
        <v>1901</v>
      </c>
      <c r="M32" s="42" t="s">
        <v>4076</v>
      </c>
      <c r="N32" s="42" t="s">
        <v>4077</v>
      </c>
      <c r="O32" s="42" t="s">
        <v>4078</v>
      </c>
      <c r="P32" s="42" t="s">
        <v>4079</v>
      </c>
      <c r="Q32" s="42" t="s">
        <v>4080</v>
      </c>
      <c r="R32" s="42" t="s">
        <v>313</v>
      </c>
      <c r="S32" s="42" t="s">
        <v>314</v>
      </c>
      <c r="T32" s="42" t="s">
        <v>3891</v>
      </c>
      <c r="U32" s="42" t="s">
        <v>498</v>
      </c>
      <c r="V32" s="44" t="s">
        <v>3892</v>
      </c>
      <c r="W32" s="42" t="s">
        <v>3892</v>
      </c>
    </row>
    <row r="33" spans="1:23">
      <c r="A33" s="40">
        <v>31</v>
      </c>
      <c r="B33" s="41">
        <v>2151017021</v>
      </c>
      <c r="C33" s="42" t="s">
        <v>339</v>
      </c>
      <c r="D33" s="42" t="s">
        <v>760</v>
      </c>
      <c r="E33" s="43" t="s">
        <v>7103</v>
      </c>
      <c r="F33" s="42" t="s">
        <v>4081</v>
      </c>
      <c r="G33" s="42" t="s">
        <v>4082</v>
      </c>
      <c r="H33" s="43"/>
      <c r="I33" s="42"/>
      <c r="J33" s="42" t="s">
        <v>4083</v>
      </c>
      <c r="K33" s="42" t="s">
        <v>1895</v>
      </c>
      <c r="L33" s="42" t="s">
        <v>4084</v>
      </c>
      <c r="M33" s="42" t="s">
        <v>4085</v>
      </c>
      <c r="N33" s="42" t="s">
        <v>4086</v>
      </c>
      <c r="O33" s="42"/>
      <c r="P33" s="42" t="s">
        <v>4087</v>
      </c>
      <c r="Q33" s="42"/>
      <c r="R33" s="42" t="s">
        <v>313</v>
      </c>
      <c r="S33" s="42" t="s">
        <v>314</v>
      </c>
      <c r="T33" s="42" t="s">
        <v>3891</v>
      </c>
      <c r="U33" s="42" t="s">
        <v>498</v>
      </c>
      <c r="V33" s="44" t="s">
        <v>3892</v>
      </c>
      <c r="W33" s="42" t="s">
        <v>3892</v>
      </c>
    </row>
    <row r="34" spans="1:23">
      <c r="A34" s="40">
        <v>32</v>
      </c>
      <c r="B34" s="41">
        <v>2151017022</v>
      </c>
      <c r="C34" s="42" t="s">
        <v>471</v>
      </c>
      <c r="D34" s="42" t="s">
        <v>765</v>
      </c>
      <c r="E34" s="43" t="s">
        <v>7115</v>
      </c>
      <c r="F34" s="42" t="s">
        <v>804</v>
      </c>
      <c r="G34" s="42" t="s">
        <v>4088</v>
      </c>
      <c r="H34" s="43"/>
      <c r="I34" s="42"/>
      <c r="J34" s="42" t="s">
        <v>4089</v>
      </c>
      <c r="K34" s="42" t="s">
        <v>1895</v>
      </c>
      <c r="L34" s="42" t="s">
        <v>4090</v>
      </c>
      <c r="M34" s="42" t="s">
        <v>4091</v>
      </c>
      <c r="N34" s="42" t="s">
        <v>4092</v>
      </c>
      <c r="O34" s="42"/>
      <c r="P34" s="42" t="s">
        <v>4093</v>
      </c>
      <c r="Q34" s="42"/>
      <c r="R34" s="42" t="s">
        <v>313</v>
      </c>
      <c r="S34" s="42" t="s">
        <v>314</v>
      </c>
      <c r="T34" s="42" t="s">
        <v>3891</v>
      </c>
      <c r="U34" s="42" t="s">
        <v>498</v>
      </c>
      <c r="V34" s="44" t="s">
        <v>3892</v>
      </c>
      <c r="W34" s="42" t="s">
        <v>3892</v>
      </c>
    </row>
    <row r="35" spans="1:23">
      <c r="A35" s="40">
        <v>33</v>
      </c>
      <c r="B35" s="41">
        <v>2151017023</v>
      </c>
      <c r="C35" s="42" t="s">
        <v>4094</v>
      </c>
      <c r="D35" s="42" t="s">
        <v>760</v>
      </c>
      <c r="E35" s="43" t="s">
        <v>3623</v>
      </c>
      <c r="F35" s="42" t="s">
        <v>861</v>
      </c>
      <c r="G35" s="42" t="s">
        <v>4095</v>
      </c>
      <c r="H35" s="43"/>
      <c r="I35" s="42"/>
      <c r="J35" s="42" t="s">
        <v>4096</v>
      </c>
      <c r="K35" s="42" t="s">
        <v>1895</v>
      </c>
      <c r="L35" s="42" t="s">
        <v>4097</v>
      </c>
      <c r="M35" s="42" t="s">
        <v>4098</v>
      </c>
      <c r="N35" s="42" t="s">
        <v>4099</v>
      </c>
      <c r="O35" s="42"/>
      <c r="P35" s="42" t="s">
        <v>4100</v>
      </c>
      <c r="Q35" s="42"/>
      <c r="R35" s="42" t="s">
        <v>313</v>
      </c>
      <c r="S35" s="42" t="s">
        <v>314</v>
      </c>
      <c r="T35" s="42" t="s">
        <v>3891</v>
      </c>
      <c r="U35" s="42" t="s">
        <v>498</v>
      </c>
      <c r="V35" s="44" t="s">
        <v>3892</v>
      </c>
      <c r="W35" s="42" t="s">
        <v>3892</v>
      </c>
    </row>
    <row r="36" spans="1:23">
      <c r="A36" s="40">
        <v>34</v>
      </c>
      <c r="B36" s="41">
        <v>2151017515</v>
      </c>
      <c r="C36" s="42" t="s">
        <v>330</v>
      </c>
      <c r="D36" s="42" t="s">
        <v>760</v>
      </c>
      <c r="E36" s="43" t="s">
        <v>7116</v>
      </c>
      <c r="F36" s="42" t="s">
        <v>857</v>
      </c>
      <c r="G36" s="42" t="s">
        <v>4101</v>
      </c>
      <c r="H36" s="43"/>
      <c r="I36" s="42"/>
      <c r="J36" s="42" t="s">
        <v>4102</v>
      </c>
      <c r="K36" s="42" t="s">
        <v>1895</v>
      </c>
      <c r="L36" s="42" t="s">
        <v>531</v>
      </c>
      <c r="M36" s="42" t="s">
        <v>4103</v>
      </c>
      <c r="N36" s="42" t="s">
        <v>4104</v>
      </c>
      <c r="O36" s="42"/>
      <c r="P36" s="42" t="s">
        <v>4105</v>
      </c>
      <c r="Q36" s="42"/>
      <c r="R36" s="42" t="s">
        <v>313</v>
      </c>
      <c r="S36" s="42" t="s">
        <v>314</v>
      </c>
      <c r="T36" s="42" t="s">
        <v>3891</v>
      </c>
      <c r="U36" s="42" t="s">
        <v>498</v>
      </c>
      <c r="V36" s="44" t="s">
        <v>3892</v>
      </c>
      <c r="W36" s="42" t="s">
        <v>3892</v>
      </c>
    </row>
    <row r="37" spans="1:23">
      <c r="A37" s="40">
        <v>35</v>
      </c>
      <c r="B37" s="41">
        <v>2151017518</v>
      </c>
      <c r="C37" s="42" t="s">
        <v>479</v>
      </c>
      <c r="D37" s="42" t="s">
        <v>760</v>
      </c>
      <c r="E37" s="43" t="s">
        <v>3282</v>
      </c>
      <c r="F37" s="42" t="s">
        <v>844</v>
      </c>
      <c r="G37" s="42" t="s">
        <v>4106</v>
      </c>
      <c r="H37" s="43"/>
      <c r="I37" s="42"/>
      <c r="J37" s="42" t="s">
        <v>4107</v>
      </c>
      <c r="K37" s="42" t="s">
        <v>1895</v>
      </c>
      <c r="L37" s="42" t="s">
        <v>534</v>
      </c>
      <c r="M37" s="42" t="s">
        <v>4108</v>
      </c>
      <c r="N37" s="42" t="s">
        <v>4109</v>
      </c>
      <c r="O37" s="42"/>
      <c r="P37" s="42" t="s">
        <v>4110</v>
      </c>
      <c r="Q37" s="42"/>
      <c r="R37" s="42" t="s">
        <v>313</v>
      </c>
      <c r="S37" s="42" t="s">
        <v>314</v>
      </c>
      <c r="T37" s="42" t="s">
        <v>3891</v>
      </c>
      <c r="U37" s="42" t="s">
        <v>498</v>
      </c>
      <c r="V37" s="44" t="s">
        <v>3892</v>
      </c>
      <c r="W37" s="42" t="s">
        <v>3892</v>
      </c>
    </row>
    <row r="38" spans="1:23">
      <c r="A38" s="40">
        <v>36</v>
      </c>
      <c r="B38" s="41">
        <v>2151017025</v>
      </c>
      <c r="C38" s="42" t="s">
        <v>320</v>
      </c>
      <c r="D38" s="42" t="s">
        <v>760</v>
      </c>
      <c r="E38" s="43" t="s">
        <v>7117</v>
      </c>
      <c r="F38" s="42" t="s">
        <v>3938</v>
      </c>
      <c r="G38" s="42" t="s">
        <v>4111</v>
      </c>
      <c r="H38" s="43"/>
      <c r="I38" s="42"/>
      <c r="J38" s="42" t="s">
        <v>4112</v>
      </c>
      <c r="K38" s="42" t="s">
        <v>1895</v>
      </c>
      <c r="L38" s="42" t="s">
        <v>4113</v>
      </c>
      <c r="M38" s="42" t="s">
        <v>4114</v>
      </c>
      <c r="N38" s="42" t="s">
        <v>4115</v>
      </c>
      <c r="O38" s="42"/>
      <c r="P38" s="42" t="s">
        <v>4116</v>
      </c>
      <c r="Q38" s="42"/>
      <c r="R38" s="42" t="s">
        <v>313</v>
      </c>
      <c r="S38" s="42" t="s">
        <v>314</v>
      </c>
      <c r="T38" s="42" t="s">
        <v>3891</v>
      </c>
      <c r="U38" s="42" t="s">
        <v>498</v>
      </c>
      <c r="V38" s="44" t="s">
        <v>3892</v>
      </c>
      <c r="W38" s="42" t="s">
        <v>3892</v>
      </c>
    </row>
    <row r="39" spans="1:23">
      <c r="A39" s="40">
        <v>37</v>
      </c>
      <c r="B39" s="41">
        <v>2151017027</v>
      </c>
      <c r="C39" s="42" t="s">
        <v>4117</v>
      </c>
      <c r="D39" s="42" t="s">
        <v>760</v>
      </c>
      <c r="E39" s="43" t="s">
        <v>7118</v>
      </c>
      <c r="F39" s="42" t="s">
        <v>1049</v>
      </c>
      <c r="G39" s="42" t="s">
        <v>4118</v>
      </c>
      <c r="H39" s="43"/>
      <c r="I39" s="42"/>
      <c r="J39" s="42" t="s">
        <v>4119</v>
      </c>
      <c r="K39" s="42" t="s">
        <v>1895</v>
      </c>
      <c r="L39" s="42" t="s">
        <v>4120</v>
      </c>
      <c r="M39" s="42" t="s">
        <v>4121</v>
      </c>
      <c r="N39" s="42" t="s">
        <v>4122</v>
      </c>
      <c r="O39" s="42"/>
      <c r="P39" s="42" t="s">
        <v>4123</v>
      </c>
      <c r="Q39" s="42"/>
      <c r="R39" s="42" t="s">
        <v>313</v>
      </c>
      <c r="S39" s="42" t="s">
        <v>314</v>
      </c>
      <c r="T39" s="42" t="s">
        <v>3891</v>
      </c>
      <c r="U39" s="42" t="s">
        <v>498</v>
      </c>
      <c r="V39" s="44" t="s">
        <v>3892</v>
      </c>
      <c r="W39" s="42" t="s">
        <v>3892</v>
      </c>
    </row>
    <row r="40" spans="1:23">
      <c r="A40" s="40">
        <v>38</v>
      </c>
      <c r="B40" s="41">
        <v>2151017529</v>
      </c>
      <c r="C40" s="42" t="s">
        <v>4124</v>
      </c>
      <c r="D40" s="42" t="s">
        <v>760</v>
      </c>
      <c r="E40" s="43" t="s">
        <v>2721</v>
      </c>
      <c r="F40" s="42" t="s">
        <v>761</v>
      </c>
      <c r="G40" s="42" t="s">
        <v>4125</v>
      </c>
      <c r="H40" s="43"/>
      <c r="I40" s="42"/>
      <c r="J40" s="42" t="s">
        <v>4126</v>
      </c>
      <c r="K40" s="42" t="s">
        <v>1895</v>
      </c>
      <c r="L40" s="42" t="s">
        <v>547</v>
      </c>
      <c r="M40" s="42" t="s">
        <v>4127</v>
      </c>
      <c r="N40" s="42" t="s">
        <v>4128</v>
      </c>
      <c r="O40" s="42"/>
      <c r="P40" s="42" t="s">
        <v>4005</v>
      </c>
      <c r="Q40" s="42"/>
      <c r="R40" s="42" t="s">
        <v>313</v>
      </c>
      <c r="S40" s="42" t="s">
        <v>314</v>
      </c>
      <c r="T40" s="42" t="s">
        <v>3891</v>
      </c>
      <c r="U40" s="42" t="s">
        <v>498</v>
      </c>
      <c r="V40" s="44" t="s">
        <v>3892</v>
      </c>
      <c r="W40" s="42" t="s">
        <v>3892</v>
      </c>
    </row>
    <row r="41" spans="1:23">
      <c r="A41" s="40">
        <v>39</v>
      </c>
      <c r="B41" s="41">
        <v>2151017531</v>
      </c>
      <c r="C41" s="42" t="s">
        <v>318</v>
      </c>
      <c r="D41" s="42" t="s">
        <v>765</v>
      </c>
      <c r="E41" s="43" t="s">
        <v>7119</v>
      </c>
      <c r="F41" s="42" t="s">
        <v>804</v>
      </c>
      <c r="G41" s="42" t="s">
        <v>4129</v>
      </c>
      <c r="H41" s="43"/>
      <c r="I41" s="42"/>
      <c r="J41" s="42" t="s">
        <v>4130</v>
      </c>
      <c r="K41" s="42" t="s">
        <v>1895</v>
      </c>
      <c r="L41" s="42" t="s">
        <v>549</v>
      </c>
      <c r="M41" s="42" t="s">
        <v>4131</v>
      </c>
      <c r="N41" s="42" t="s">
        <v>4132</v>
      </c>
      <c r="O41" s="42"/>
      <c r="P41" s="42" t="s">
        <v>4133</v>
      </c>
      <c r="Q41" s="42"/>
      <c r="R41" s="42" t="s">
        <v>313</v>
      </c>
      <c r="S41" s="42" t="s">
        <v>314</v>
      </c>
      <c r="T41" s="42" t="s">
        <v>3891</v>
      </c>
      <c r="U41" s="42" t="s">
        <v>498</v>
      </c>
      <c r="V41" s="44" t="s">
        <v>3892</v>
      </c>
      <c r="W41" s="42" t="s">
        <v>3892</v>
      </c>
    </row>
    <row r="42" spans="1:23">
      <c r="A42" s="40">
        <v>40</v>
      </c>
      <c r="B42" s="41">
        <v>2151067051</v>
      </c>
      <c r="C42" s="42" t="s">
        <v>216</v>
      </c>
      <c r="D42" s="42" t="s">
        <v>760</v>
      </c>
      <c r="E42" s="43" t="s">
        <v>1497</v>
      </c>
      <c r="F42" s="42" t="s">
        <v>790</v>
      </c>
      <c r="G42" s="42" t="s">
        <v>4134</v>
      </c>
      <c r="H42" s="43">
        <v>45416</v>
      </c>
      <c r="I42" s="42"/>
      <c r="J42" s="42" t="s">
        <v>4135</v>
      </c>
      <c r="K42" s="42" t="s">
        <v>1895</v>
      </c>
      <c r="L42" s="42" t="s">
        <v>4136</v>
      </c>
      <c r="M42" s="42" t="s">
        <v>4137</v>
      </c>
      <c r="N42" s="42" t="s">
        <v>2326</v>
      </c>
      <c r="O42" s="42"/>
      <c r="P42" s="42" t="s">
        <v>4138</v>
      </c>
      <c r="Q42" s="42"/>
      <c r="R42" s="42" t="s">
        <v>209</v>
      </c>
      <c r="S42" s="42" t="s">
        <v>553</v>
      </c>
      <c r="T42" s="42" t="s">
        <v>4139</v>
      </c>
      <c r="U42" s="42" t="s">
        <v>498</v>
      </c>
      <c r="V42" s="44" t="s">
        <v>3892</v>
      </c>
      <c r="W42" s="42" t="s">
        <v>3892</v>
      </c>
    </row>
    <row r="43" spans="1:23">
      <c r="A43" s="40">
        <v>41</v>
      </c>
      <c r="B43" s="41">
        <v>2151067597</v>
      </c>
      <c r="C43" s="42" t="s">
        <v>4140</v>
      </c>
      <c r="D43" s="42" t="s">
        <v>760</v>
      </c>
      <c r="E43" s="43" t="s">
        <v>7120</v>
      </c>
      <c r="F43" s="42" t="s">
        <v>4141</v>
      </c>
      <c r="G43" s="42" t="s">
        <v>4142</v>
      </c>
      <c r="H43" s="43">
        <v>44467</v>
      </c>
      <c r="I43" s="42" t="s">
        <v>4143</v>
      </c>
      <c r="J43" s="42" t="s">
        <v>4144</v>
      </c>
      <c r="K43" s="42" t="s">
        <v>1895</v>
      </c>
      <c r="L43" s="42" t="s">
        <v>619</v>
      </c>
      <c r="M43" s="42" t="s">
        <v>4145</v>
      </c>
      <c r="N43" s="42" t="s">
        <v>4146</v>
      </c>
      <c r="O43" s="42"/>
      <c r="P43" s="42" t="s">
        <v>3454</v>
      </c>
      <c r="Q43" s="42"/>
      <c r="R43" s="42" t="s">
        <v>209</v>
      </c>
      <c r="S43" s="42" t="s">
        <v>553</v>
      </c>
      <c r="T43" s="42" t="s">
        <v>4139</v>
      </c>
      <c r="U43" s="42" t="s">
        <v>498</v>
      </c>
      <c r="V43" s="44" t="s">
        <v>3892</v>
      </c>
      <c r="W43" s="42" t="s">
        <v>3892</v>
      </c>
    </row>
    <row r="44" spans="1:23">
      <c r="A44" s="40">
        <v>42</v>
      </c>
      <c r="B44" s="41">
        <v>2151017341</v>
      </c>
      <c r="C44" s="42" t="s">
        <v>3766</v>
      </c>
      <c r="D44" s="42" t="s">
        <v>760</v>
      </c>
      <c r="E44" s="43" t="s">
        <v>3767</v>
      </c>
      <c r="F44" s="42" t="s">
        <v>4147</v>
      </c>
      <c r="G44" s="42" t="s">
        <v>3765</v>
      </c>
      <c r="H44" s="43"/>
      <c r="I44" s="42"/>
      <c r="J44" s="42" t="s">
        <v>4148</v>
      </c>
      <c r="K44" s="42" t="s">
        <v>1895</v>
      </c>
      <c r="L44" s="42" t="s">
        <v>513</v>
      </c>
      <c r="M44" s="42" t="s">
        <v>4149</v>
      </c>
      <c r="N44" s="42" t="s">
        <v>4150</v>
      </c>
      <c r="O44" s="42"/>
      <c r="P44" s="42" t="s">
        <v>4151</v>
      </c>
      <c r="Q44" s="42"/>
      <c r="R44" s="42" t="s">
        <v>209</v>
      </c>
      <c r="S44" s="42" t="s">
        <v>553</v>
      </c>
      <c r="T44" s="42" t="s">
        <v>4139</v>
      </c>
      <c r="U44" s="42" t="s">
        <v>498</v>
      </c>
      <c r="V44" s="44" t="s">
        <v>3892</v>
      </c>
      <c r="W44" s="42" t="s">
        <v>3892</v>
      </c>
    </row>
    <row r="45" spans="1:23">
      <c r="A45" s="40">
        <v>43</v>
      </c>
      <c r="B45" s="41">
        <v>2151067580</v>
      </c>
      <c r="C45" s="42" t="s">
        <v>225</v>
      </c>
      <c r="D45" s="42" t="s">
        <v>760</v>
      </c>
      <c r="E45" s="43" t="s">
        <v>7121</v>
      </c>
      <c r="F45" s="42" t="s">
        <v>817</v>
      </c>
      <c r="G45" s="42" t="s">
        <v>4152</v>
      </c>
      <c r="H45" s="43"/>
      <c r="I45" s="42"/>
      <c r="J45" s="42" t="s">
        <v>4153</v>
      </c>
      <c r="K45" s="42" t="s">
        <v>1895</v>
      </c>
      <c r="L45" s="42" t="s">
        <v>601</v>
      </c>
      <c r="M45" s="42" t="s">
        <v>4154</v>
      </c>
      <c r="N45" s="42" t="s">
        <v>4155</v>
      </c>
      <c r="O45" s="42"/>
      <c r="P45" s="42" t="s">
        <v>4156</v>
      </c>
      <c r="Q45" s="42"/>
      <c r="R45" s="42" t="s">
        <v>209</v>
      </c>
      <c r="S45" s="42" t="s">
        <v>553</v>
      </c>
      <c r="T45" s="42" t="s">
        <v>4139</v>
      </c>
      <c r="U45" s="42" t="s">
        <v>498</v>
      </c>
      <c r="V45" s="44" t="s">
        <v>3892</v>
      </c>
      <c r="W45" s="42" t="s">
        <v>3892</v>
      </c>
    </row>
    <row r="46" spans="1:23">
      <c r="A46" s="40">
        <v>44</v>
      </c>
      <c r="B46" s="41">
        <v>2151067055</v>
      </c>
      <c r="C46" s="42" t="s">
        <v>4157</v>
      </c>
      <c r="D46" s="42" t="s">
        <v>760</v>
      </c>
      <c r="E46" s="43" t="s">
        <v>7122</v>
      </c>
      <c r="F46" s="42" t="s">
        <v>4158</v>
      </c>
      <c r="G46" s="42" t="s">
        <v>4159</v>
      </c>
      <c r="H46" s="43"/>
      <c r="I46" s="42"/>
      <c r="J46" s="42" t="s">
        <v>4160</v>
      </c>
      <c r="K46" s="42" t="s">
        <v>1895</v>
      </c>
      <c r="L46" s="42" t="s">
        <v>4161</v>
      </c>
      <c r="M46" s="42" t="s">
        <v>4162</v>
      </c>
      <c r="N46" s="42" t="s">
        <v>4163</v>
      </c>
      <c r="O46" s="42"/>
      <c r="P46" s="42" t="s">
        <v>4164</v>
      </c>
      <c r="Q46" s="42"/>
      <c r="R46" s="42" t="s">
        <v>209</v>
      </c>
      <c r="S46" s="42" t="s">
        <v>553</v>
      </c>
      <c r="T46" s="42" t="s">
        <v>4139</v>
      </c>
      <c r="U46" s="42" t="s">
        <v>498</v>
      </c>
      <c r="V46" s="44" t="s">
        <v>3892</v>
      </c>
      <c r="W46" s="42" t="s">
        <v>3892</v>
      </c>
    </row>
    <row r="47" spans="1:23">
      <c r="A47" s="40">
        <v>45</v>
      </c>
      <c r="B47" s="41">
        <v>2154027084</v>
      </c>
      <c r="C47" s="42" t="s">
        <v>4165</v>
      </c>
      <c r="D47" s="42" t="s">
        <v>760</v>
      </c>
      <c r="E47" s="43" t="s">
        <v>3623</v>
      </c>
      <c r="F47" s="42" t="s">
        <v>804</v>
      </c>
      <c r="G47" s="42" t="s">
        <v>4166</v>
      </c>
      <c r="H47" s="43"/>
      <c r="I47" s="42"/>
      <c r="J47" s="42" t="s">
        <v>4167</v>
      </c>
      <c r="K47" s="42" t="s">
        <v>1895</v>
      </c>
      <c r="L47" s="42" t="s">
        <v>4168</v>
      </c>
      <c r="M47" s="42" t="s">
        <v>4169</v>
      </c>
      <c r="N47" s="42" t="s">
        <v>4170</v>
      </c>
      <c r="O47" s="42"/>
      <c r="P47" s="42" t="s">
        <v>4171</v>
      </c>
      <c r="Q47" s="42"/>
      <c r="R47" s="42" t="s">
        <v>209</v>
      </c>
      <c r="S47" s="42" t="s">
        <v>553</v>
      </c>
      <c r="T47" s="42" t="s">
        <v>4139</v>
      </c>
      <c r="U47" s="42" t="s">
        <v>498</v>
      </c>
      <c r="V47" s="44" t="s">
        <v>3892</v>
      </c>
      <c r="W47" s="42" t="s">
        <v>3892</v>
      </c>
    </row>
    <row r="48" spans="1:23" ht="105">
      <c r="A48" s="40">
        <v>46</v>
      </c>
      <c r="B48" s="41">
        <v>2151067582</v>
      </c>
      <c r="C48" s="42" t="s">
        <v>4172</v>
      </c>
      <c r="D48" s="42" t="s">
        <v>760</v>
      </c>
      <c r="E48" s="43" t="s">
        <v>7123</v>
      </c>
      <c r="F48" s="42" t="s">
        <v>804</v>
      </c>
      <c r="G48" s="42" t="s">
        <v>4173</v>
      </c>
      <c r="H48" s="43"/>
      <c r="I48" s="42"/>
      <c r="J48" s="42" t="s">
        <v>4174</v>
      </c>
      <c r="K48" s="42" t="s">
        <v>1895</v>
      </c>
      <c r="L48" s="42" t="s">
        <v>604</v>
      </c>
      <c r="M48" s="42" t="s">
        <v>4175</v>
      </c>
      <c r="N48" s="42" t="s">
        <v>4176</v>
      </c>
      <c r="O48" s="42"/>
      <c r="P48" s="42" t="s">
        <v>4177</v>
      </c>
      <c r="Q48" s="42"/>
      <c r="R48" s="42" t="s">
        <v>209</v>
      </c>
      <c r="S48" s="42" t="s">
        <v>553</v>
      </c>
      <c r="T48" s="42" t="s">
        <v>4139</v>
      </c>
      <c r="U48" s="42" t="s">
        <v>498</v>
      </c>
      <c r="V48" s="44" t="s">
        <v>4178</v>
      </c>
      <c r="W48" s="42" t="s">
        <v>3905</v>
      </c>
    </row>
    <row r="49" spans="1:23" ht="60">
      <c r="A49" s="40">
        <v>47</v>
      </c>
      <c r="B49" s="41">
        <v>2151067576</v>
      </c>
      <c r="C49" s="42" t="s">
        <v>4179</v>
      </c>
      <c r="D49" s="42" t="s">
        <v>760</v>
      </c>
      <c r="E49" s="43" t="s">
        <v>3670</v>
      </c>
      <c r="F49" s="42" t="s">
        <v>790</v>
      </c>
      <c r="G49" s="42" t="s">
        <v>4180</v>
      </c>
      <c r="H49" s="43"/>
      <c r="I49" s="42"/>
      <c r="J49" s="42" t="s">
        <v>4181</v>
      </c>
      <c r="K49" s="42" t="s">
        <v>1895</v>
      </c>
      <c r="L49" s="42" t="s">
        <v>597</v>
      </c>
      <c r="M49" s="42" t="s">
        <v>4182</v>
      </c>
      <c r="N49" s="42" t="s">
        <v>4183</v>
      </c>
      <c r="O49" s="42"/>
      <c r="P49" s="42" t="s">
        <v>3597</v>
      </c>
      <c r="Q49" s="42"/>
      <c r="R49" s="42" t="s">
        <v>209</v>
      </c>
      <c r="S49" s="42" t="s">
        <v>553</v>
      </c>
      <c r="T49" s="42" t="s">
        <v>4139</v>
      </c>
      <c r="U49" s="42" t="s">
        <v>498</v>
      </c>
      <c r="V49" s="44" t="s">
        <v>4184</v>
      </c>
      <c r="W49" s="42" t="s">
        <v>3905</v>
      </c>
    </row>
    <row r="50" spans="1:23">
      <c r="A50" s="40">
        <v>48</v>
      </c>
      <c r="B50" s="41">
        <v>2151067646</v>
      </c>
      <c r="C50" s="42" t="s">
        <v>230</v>
      </c>
      <c r="D50" s="42" t="s">
        <v>760</v>
      </c>
      <c r="E50" s="43" t="s">
        <v>7124</v>
      </c>
      <c r="F50" s="42" t="s">
        <v>4185</v>
      </c>
      <c r="G50" s="42" t="s">
        <v>4186</v>
      </c>
      <c r="H50" s="43"/>
      <c r="I50" s="42"/>
      <c r="J50" s="42" t="s">
        <v>4187</v>
      </c>
      <c r="K50" s="42" t="s">
        <v>1895</v>
      </c>
      <c r="L50" s="42" t="s">
        <v>671</v>
      </c>
      <c r="M50" s="42" t="s">
        <v>4188</v>
      </c>
      <c r="N50" s="42" t="s">
        <v>4189</v>
      </c>
      <c r="O50" s="42"/>
      <c r="P50" s="42" t="s">
        <v>4190</v>
      </c>
      <c r="Q50" s="42"/>
      <c r="R50" s="42" t="s">
        <v>209</v>
      </c>
      <c r="S50" s="42" t="s">
        <v>553</v>
      </c>
      <c r="T50" s="42" t="s">
        <v>4139</v>
      </c>
      <c r="U50" s="42" t="s">
        <v>498</v>
      </c>
      <c r="V50" s="44" t="s">
        <v>3892</v>
      </c>
      <c r="W50" s="42" t="s">
        <v>3892</v>
      </c>
    </row>
    <row r="51" spans="1:23">
      <c r="A51" s="40">
        <v>49</v>
      </c>
      <c r="B51" s="41">
        <v>2154037756</v>
      </c>
      <c r="C51" s="42" t="s">
        <v>222</v>
      </c>
      <c r="D51" s="42" t="s">
        <v>765</v>
      </c>
      <c r="E51" s="43" t="s">
        <v>3773</v>
      </c>
      <c r="F51" s="42" t="s">
        <v>3900</v>
      </c>
      <c r="G51" s="42" t="s">
        <v>4191</v>
      </c>
      <c r="H51" s="43"/>
      <c r="I51" s="42"/>
      <c r="J51" s="42" t="s">
        <v>4192</v>
      </c>
      <c r="K51" s="42" t="s">
        <v>1895</v>
      </c>
      <c r="L51" s="42" t="s">
        <v>4193</v>
      </c>
      <c r="M51" s="42" t="s">
        <v>4194</v>
      </c>
      <c r="N51" s="42" t="s">
        <v>4195</v>
      </c>
      <c r="O51" s="42"/>
      <c r="P51" s="42" t="s">
        <v>4196</v>
      </c>
      <c r="Q51" s="42"/>
      <c r="R51" s="42" t="s">
        <v>209</v>
      </c>
      <c r="S51" s="42" t="s">
        <v>553</v>
      </c>
      <c r="T51" s="42" t="s">
        <v>4139</v>
      </c>
      <c r="U51" s="42" t="s">
        <v>498</v>
      </c>
      <c r="V51" s="44" t="s">
        <v>3892</v>
      </c>
      <c r="W51" s="42" t="s">
        <v>3892</v>
      </c>
    </row>
    <row r="52" spans="1:23">
      <c r="A52" s="40">
        <v>50</v>
      </c>
      <c r="B52" s="41">
        <v>2151067238</v>
      </c>
      <c r="C52" s="42" t="s">
        <v>4197</v>
      </c>
      <c r="D52" s="42" t="s">
        <v>760</v>
      </c>
      <c r="E52" s="43" t="s">
        <v>7125</v>
      </c>
      <c r="F52" s="42" t="s">
        <v>804</v>
      </c>
      <c r="G52" s="42" t="s">
        <v>4198</v>
      </c>
      <c r="H52" s="43">
        <v>44347</v>
      </c>
      <c r="I52" s="42"/>
      <c r="J52" s="42" t="s">
        <v>4199</v>
      </c>
      <c r="K52" s="42" t="s">
        <v>1895</v>
      </c>
      <c r="L52" s="42" t="s">
        <v>4200</v>
      </c>
      <c r="M52" s="42" t="s">
        <v>4201</v>
      </c>
      <c r="N52" s="42" t="s">
        <v>4202</v>
      </c>
      <c r="O52" s="42"/>
      <c r="P52" s="42" t="s">
        <v>4203</v>
      </c>
      <c r="Q52" s="42"/>
      <c r="R52" s="42" t="s">
        <v>209</v>
      </c>
      <c r="S52" s="42" t="s">
        <v>553</v>
      </c>
      <c r="T52" s="42" t="s">
        <v>4139</v>
      </c>
      <c r="U52" s="42" t="s">
        <v>498</v>
      </c>
      <c r="V52" s="44" t="s">
        <v>3892</v>
      </c>
      <c r="W52" s="42" t="s">
        <v>3892</v>
      </c>
    </row>
    <row r="53" spans="1:23">
      <c r="A53" s="40">
        <v>51</v>
      </c>
      <c r="B53" s="41">
        <v>2151067637</v>
      </c>
      <c r="C53" s="42" t="s">
        <v>4204</v>
      </c>
      <c r="D53" s="42" t="s">
        <v>760</v>
      </c>
      <c r="E53" s="43" t="s">
        <v>7126</v>
      </c>
      <c r="F53" s="42" t="s">
        <v>828</v>
      </c>
      <c r="G53" s="42" t="s">
        <v>4205</v>
      </c>
      <c r="H53" s="43"/>
      <c r="I53" s="42"/>
      <c r="J53" s="42" t="s">
        <v>4206</v>
      </c>
      <c r="K53" s="42" t="s">
        <v>1895</v>
      </c>
      <c r="L53" s="42" t="s">
        <v>661</v>
      </c>
      <c r="M53" s="42" t="s">
        <v>4207</v>
      </c>
      <c r="N53" s="42" t="s">
        <v>4208</v>
      </c>
      <c r="O53" s="42"/>
      <c r="P53" s="42" t="s">
        <v>4203</v>
      </c>
      <c r="Q53" s="42"/>
      <c r="R53" s="42" t="s">
        <v>209</v>
      </c>
      <c r="S53" s="42" t="s">
        <v>553</v>
      </c>
      <c r="T53" s="42" t="s">
        <v>4139</v>
      </c>
      <c r="U53" s="42" t="s">
        <v>498</v>
      </c>
      <c r="V53" s="44" t="s">
        <v>3892</v>
      </c>
      <c r="W53" s="42" t="s">
        <v>3892</v>
      </c>
    </row>
    <row r="54" spans="1:23">
      <c r="A54" s="40">
        <v>52</v>
      </c>
      <c r="B54" s="41">
        <v>2154027099</v>
      </c>
      <c r="C54" s="42" t="s">
        <v>220</v>
      </c>
      <c r="D54" s="42" t="s">
        <v>760</v>
      </c>
      <c r="E54" s="43" t="s">
        <v>7127</v>
      </c>
      <c r="F54" s="42" t="s">
        <v>4209</v>
      </c>
      <c r="G54" s="42" t="s">
        <v>4210</v>
      </c>
      <c r="H54" s="43"/>
      <c r="I54" s="42"/>
      <c r="J54" s="42" t="s">
        <v>4211</v>
      </c>
      <c r="K54" s="42" t="s">
        <v>1895</v>
      </c>
      <c r="L54" s="42" t="s">
        <v>4212</v>
      </c>
      <c r="M54" s="42" t="s">
        <v>4213</v>
      </c>
      <c r="N54" s="42" t="s">
        <v>4214</v>
      </c>
      <c r="O54" s="42"/>
      <c r="P54" s="42" t="s">
        <v>4215</v>
      </c>
      <c r="Q54" s="42"/>
      <c r="R54" s="42" t="s">
        <v>209</v>
      </c>
      <c r="S54" s="42" t="s">
        <v>553</v>
      </c>
      <c r="T54" s="42" t="s">
        <v>4139</v>
      </c>
      <c r="U54" s="42" t="s">
        <v>498</v>
      </c>
      <c r="V54" s="44" t="s">
        <v>3892</v>
      </c>
      <c r="W54" s="42" t="s">
        <v>3892</v>
      </c>
    </row>
    <row r="55" spans="1:23" ht="60">
      <c r="A55" s="40">
        <v>53</v>
      </c>
      <c r="B55" s="41">
        <v>2151067588</v>
      </c>
      <c r="C55" s="42" t="s">
        <v>4216</v>
      </c>
      <c r="D55" s="42" t="s">
        <v>760</v>
      </c>
      <c r="E55" s="43" t="s">
        <v>7128</v>
      </c>
      <c r="F55" s="42" t="s">
        <v>4217</v>
      </c>
      <c r="G55" s="42" t="s">
        <v>4218</v>
      </c>
      <c r="H55" s="43">
        <v>44551.625</v>
      </c>
      <c r="I55" s="42" t="s">
        <v>4219</v>
      </c>
      <c r="J55" s="42" t="s">
        <v>4220</v>
      </c>
      <c r="K55" s="42" t="s">
        <v>610</v>
      </c>
      <c r="L55" s="42" t="s">
        <v>610</v>
      </c>
      <c r="M55" s="42" t="s">
        <v>4221</v>
      </c>
      <c r="N55" s="42"/>
      <c r="O55" s="42"/>
      <c r="P55" s="42"/>
      <c r="Q55" s="42"/>
      <c r="R55" s="42" t="s">
        <v>209</v>
      </c>
      <c r="S55" s="42" t="s">
        <v>553</v>
      </c>
      <c r="T55" s="42" t="s">
        <v>4139</v>
      </c>
      <c r="U55" s="42" t="s">
        <v>498</v>
      </c>
      <c r="V55" s="44" t="s">
        <v>4222</v>
      </c>
      <c r="W55" s="42" t="s">
        <v>3905</v>
      </c>
    </row>
    <row r="56" spans="1:23" ht="60">
      <c r="A56" s="40">
        <v>54</v>
      </c>
      <c r="B56" s="41">
        <v>2151067627</v>
      </c>
      <c r="C56" s="42" t="s">
        <v>4223</v>
      </c>
      <c r="D56" s="42" t="s">
        <v>760</v>
      </c>
      <c r="E56" s="43" t="s">
        <v>3820</v>
      </c>
      <c r="F56" s="42" t="s">
        <v>1049</v>
      </c>
      <c r="G56" s="42" t="s">
        <v>4224</v>
      </c>
      <c r="H56" s="43"/>
      <c r="I56" s="42"/>
      <c r="J56" s="42" t="s">
        <v>4225</v>
      </c>
      <c r="K56" s="42" t="s">
        <v>1895</v>
      </c>
      <c r="L56" s="42" t="s">
        <v>651</v>
      </c>
      <c r="M56" s="42" t="s">
        <v>4226</v>
      </c>
      <c r="N56" s="42" t="s">
        <v>4227</v>
      </c>
      <c r="O56" s="42"/>
      <c r="P56" s="42" t="s">
        <v>4228</v>
      </c>
      <c r="Q56" s="42"/>
      <c r="R56" s="42" t="s">
        <v>209</v>
      </c>
      <c r="S56" s="42" t="s">
        <v>553</v>
      </c>
      <c r="T56" s="42" t="s">
        <v>4139</v>
      </c>
      <c r="U56" s="42" t="s">
        <v>498</v>
      </c>
      <c r="V56" s="44" t="s">
        <v>4229</v>
      </c>
      <c r="W56" s="42" t="s">
        <v>3905</v>
      </c>
    </row>
    <row r="57" spans="1:23">
      <c r="A57" s="40">
        <v>55</v>
      </c>
      <c r="B57" s="41">
        <v>2151067623</v>
      </c>
      <c r="C57" s="42" t="s">
        <v>218</v>
      </c>
      <c r="D57" s="42" t="s">
        <v>760</v>
      </c>
      <c r="E57" s="43" t="s">
        <v>7105</v>
      </c>
      <c r="F57" s="42" t="s">
        <v>761</v>
      </c>
      <c r="G57" s="42" t="s">
        <v>4230</v>
      </c>
      <c r="H57" s="43"/>
      <c r="I57" s="42"/>
      <c r="J57" s="42" t="s">
        <v>4231</v>
      </c>
      <c r="K57" s="42" t="s">
        <v>1895</v>
      </c>
      <c r="L57" s="42" t="s">
        <v>646</v>
      </c>
      <c r="M57" s="42" t="s">
        <v>4232</v>
      </c>
      <c r="N57" s="42" t="s">
        <v>4233</v>
      </c>
      <c r="O57" s="42"/>
      <c r="P57" s="42" t="s">
        <v>4234</v>
      </c>
      <c r="Q57" s="42"/>
      <c r="R57" s="42" t="s">
        <v>209</v>
      </c>
      <c r="S57" s="42" t="s">
        <v>553</v>
      </c>
      <c r="T57" s="42" t="s">
        <v>4139</v>
      </c>
      <c r="U57" s="42" t="s">
        <v>498</v>
      </c>
      <c r="V57" s="44" t="s">
        <v>3892</v>
      </c>
      <c r="W57" s="42" t="s">
        <v>3892</v>
      </c>
    </row>
    <row r="58" spans="1:23">
      <c r="A58" s="40">
        <v>56</v>
      </c>
      <c r="B58" s="41">
        <v>2154027260</v>
      </c>
      <c r="C58" s="42" t="s">
        <v>4235</v>
      </c>
      <c r="D58" s="42" t="s">
        <v>760</v>
      </c>
      <c r="E58" s="43" t="s">
        <v>7129</v>
      </c>
      <c r="F58" s="42" t="s">
        <v>4236</v>
      </c>
      <c r="G58" s="42" t="s">
        <v>4237</v>
      </c>
      <c r="H58" s="43"/>
      <c r="I58" s="42"/>
      <c r="J58" s="42" t="s">
        <v>4238</v>
      </c>
      <c r="K58" s="42" t="s">
        <v>1895</v>
      </c>
      <c r="L58" s="42" t="s">
        <v>4239</v>
      </c>
      <c r="M58" s="42" t="s">
        <v>4240</v>
      </c>
      <c r="N58" s="42" t="s">
        <v>4241</v>
      </c>
      <c r="O58" s="42"/>
      <c r="P58" s="42" t="s">
        <v>4242</v>
      </c>
      <c r="Q58" s="42"/>
      <c r="R58" s="42" t="s">
        <v>209</v>
      </c>
      <c r="S58" s="42" t="s">
        <v>553</v>
      </c>
      <c r="T58" s="42" t="s">
        <v>4139</v>
      </c>
      <c r="U58" s="42" t="s">
        <v>498</v>
      </c>
      <c r="V58" s="44" t="s">
        <v>3892</v>
      </c>
      <c r="W58" s="42" t="s">
        <v>3892</v>
      </c>
    </row>
    <row r="59" spans="1:23">
      <c r="A59" s="40">
        <v>57</v>
      </c>
      <c r="B59" s="41">
        <v>2151067242</v>
      </c>
      <c r="C59" s="42" t="s">
        <v>4243</v>
      </c>
      <c r="D59" s="42" t="s">
        <v>760</v>
      </c>
      <c r="E59" s="43" t="s">
        <v>7130</v>
      </c>
      <c r="F59" s="42" t="s">
        <v>772</v>
      </c>
      <c r="G59" s="42" t="s">
        <v>4244</v>
      </c>
      <c r="H59" s="43"/>
      <c r="I59" s="42"/>
      <c r="J59" s="42" t="s">
        <v>4245</v>
      </c>
      <c r="K59" s="42" t="s">
        <v>1895</v>
      </c>
      <c r="L59" s="42" t="s">
        <v>4246</v>
      </c>
      <c r="M59" s="42" t="s">
        <v>4247</v>
      </c>
      <c r="N59" s="42" t="s">
        <v>4248</v>
      </c>
      <c r="O59" s="42"/>
      <c r="P59" s="42" t="s">
        <v>4249</v>
      </c>
      <c r="Q59" s="42"/>
      <c r="R59" s="42" t="s">
        <v>209</v>
      </c>
      <c r="S59" s="42" t="s">
        <v>553</v>
      </c>
      <c r="T59" s="42" t="s">
        <v>4139</v>
      </c>
      <c r="U59" s="42" t="s">
        <v>498</v>
      </c>
      <c r="V59" s="44" t="s">
        <v>3892</v>
      </c>
      <c r="W59" s="42" t="s">
        <v>3892</v>
      </c>
    </row>
    <row r="60" spans="1:23">
      <c r="A60" s="40">
        <v>58</v>
      </c>
      <c r="B60" s="41">
        <v>2151067060</v>
      </c>
      <c r="C60" s="42" t="s">
        <v>4250</v>
      </c>
      <c r="D60" s="42" t="s">
        <v>760</v>
      </c>
      <c r="E60" s="43" t="s">
        <v>7113</v>
      </c>
      <c r="F60" s="42" t="s">
        <v>821</v>
      </c>
      <c r="G60" s="42" t="s">
        <v>4251</v>
      </c>
      <c r="H60" s="43"/>
      <c r="I60" s="42"/>
      <c r="J60" s="42" t="s">
        <v>4252</v>
      </c>
      <c r="K60" s="42" t="s">
        <v>1895</v>
      </c>
      <c r="L60" s="42" t="s">
        <v>4253</v>
      </c>
      <c r="M60" s="42" t="s">
        <v>4254</v>
      </c>
      <c r="N60" s="42" t="s">
        <v>4255</v>
      </c>
      <c r="O60" s="42"/>
      <c r="P60" s="42" t="s">
        <v>4256</v>
      </c>
      <c r="Q60" s="42"/>
      <c r="R60" s="42" t="s">
        <v>209</v>
      </c>
      <c r="S60" s="42" t="s">
        <v>553</v>
      </c>
      <c r="T60" s="42" t="s">
        <v>4139</v>
      </c>
      <c r="U60" s="42" t="s">
        <v>498</v>
      </c>
      <c r="V60" s="44" t="s">
        <v>3892</v>
      </c>
      <c r="W60" s="42" t="s">
        <v>3892</v>
      </c>
    </row>
    <row r="61" spans="1:23" ht="60">
      <c r="A61" s="40">
        <v>59</v>
      </c>
      <c r="B61" s="41">
        <v>2151067598</v>
      </c>
      <c r="C61" s="42" t="s">
        <v>4257</v>
      </c>
      <c r="D61" s="42" t="s">
        <v>760</v>
      </c>
      <c r="E61" s="43" t="s">
        <v>7131</v>
      </c>
      <c r="F61" s="42" t="s">
        <v>835</v>
      </c>
      <c r="G61" s="42" t="s">
        <v>4258</v>
      </c>
      <c r="H61" s="43"/>
      <c r="I61" s="42"/>
      <c r="J61" s="42" t="s">
        <v>4259</v>
      </c>
      <c r="K61" s="42" t="s">
        <v>1895</v>
      </c>
      <c r="L61" s="42" t="s">
        <v>620</v>
      </c>
      <c r="M61" s="42" t="s">
        <v>4260</v>
      </c>
      <c r="N61" s="42" t="s">
        <v>4261</v>
      </c>
      <c r="O61" s="42"/>
      <c r="P61" s="42" t="s">
        <v>4262</v>
      </c>
      <c r="Q61" s="42"/>
      <c r="R61" s="42" t="s">
        <v>209</v>
      </c>
      <c r="S61" s="42" t="s">
        <v>553</v>
      </c>
      <c r="T61" s="42" t="s">
        <v>4139</v>
      </c>
      <c r="U61" s="42" t="s">
        <v>498</v>
      </c>
      <c r="V61" s="44" t="s">
        <v>4263</v>
      </c>
      <c r="W61" s="42" t="s">
        <v>3905</v>
      </c>
    </row>
    <row r="62" spans="1:23">
      <c r="A62" s="40">
        <v>60</v>
      </c>
      <c r="B62" s="41">
        <v>2151067371</v>
      </c>
      <c r="C62" s="42" t="s">
        <v>228</v>
      </c>
      <c r="D62" s="42" t="s">
        <v>760</v>
      </c>
      <c r="E62" s="43" t="s">
        <v>3831</v>
      </c>
      <c r="F62" s="42" t="s">
        <v>828</v>
      </c>
      <c r="G62" s="42" t="s">
        <v>3830</v>
      </c>
      <c r="H62" s="43"/>
      <c r="I62" s="42"/>
      <c r="J62" s="42" t="s">
        <v>4264</v>
      </c>
      <c r="K62" s="42" t="s">
        <v>1895</v>
      </c>
      <c r="L62" s="42" t="s">
        <v>550</v>
      </c>
      <c r="M62" s="42" t="s">
        <v>4265</v>
      </c>
      <c r="N62" s="42" t="s">
        <v>4266</v>
      </c>
      <c r="O62" s="42"/>
      <c r="P62" s="42" t="s">
        <v>4267</v>
      </c>
      <c r="Q62" s="42"/>
      <c r="R62" s="42" t="s">
        <v>209</v>
      </c>
      <c r="S62" s="42" t="s">
        <v>553</v>
      </c>
      <c r="T62" s="42" t="s">
        <v>4139</v>
      </c>
      <c r="U62" s="42" t="s">
        <v>498</v>
      </c>
      <c r="V62" s="44" t="s">
        <v>3892</v>
      </c>
      <c r="W62" s="42" t="s">
        <v>3892</v>
      </c>
    </row>
    <row r="63" spans="1:23">
      <c r="A63" s="40">
        <v>61</v>
      </c>
      <c r="B63" s="41">
        <v>2151067631</v>
      </c>
      <c r="C63" s="42" t="s">
        <v>4268</v>
      </c>
      <c r="D63" s="42" t="s">
        <v>760</v>
      </c>
      <c r="E63" s="43" t="s">
        <v>7132</v>
      </c>
      <c r="F63" s="42" t="s">
        <v>804</v>
      </c>
      <c r="G63" s="42" t="s">
        <v>4269</v>
      </c>
      <c r="H63" s="43"/>
      <c r="I63" s="42"/>
      <c r="J63" s="42" t="s">
        <v>4270</v>
      </c>
      <c r="K63" s="42" t="s">
        <v>1895</v>
      </c>
      <c r="L63" s="42" t="s">
        <v>655</v>
      </c>
      <c r="M63" s="42" t="s">
        <v>4271</v>
      </c>
      <c r="N63" s="42" t="s">
        <v>4272</v>
      </c>
      <c r="O63" s="42"/>
      <c r="P63" s="42" t="s">
        <v>4273</v>
      </c>
      <c r="Q63" s="42"/>
      <c r="R63" s="42" t="s">
        <v>209</v>
      </c>
      <c r="S63" s="42" t="s">
        <v>553</v>
      </c>
      <c r="T63" s="42" t="s">
        <v>4139</v>
      </c>
      <c r="U63" s="42" t="s">
        <v>498</v>
      </c>
      <c r="V63" s="44" t="s">
        <v>3892</v>
      </c>
      <c r="W63" s="42" t="s">
        <v>3892</v>
      </c>
    </row>
    <row r="64" spans="1:23">
      <c r="A64" s="40">
        <v>62</v>
      </c>
      <c r="B64" s="41">
        <v>2151067607</v>
      </c>
      <c r="C64" s="42" t="s">
        <v>4274</v>
      </c>
      <c r="D64" s="42" t="s">
        <v>760</v>
      </c>
      <c r="E64" s="43" t="s">
        <v>7133</v>
      </c>
      <c r="F64" s="42" t="s">
        <v>835</v>
      </c>
      <c r="G64" s="42" t="s">
        <v>4275</v>
      </c>
      <c r="H64" s="43"/>
      <c r="I64" s="42"/>
      <c r="J64" s="42" t="s">
        <v>4276</v>
      </c>
      <c r="K64" s="42" t="s">
        <v>1895</v>
      </c>
      <c r="L64" s="42" t="s">
        <v>629</v>
      </c>
      <c r="M64" s="42" t="s">
        <v>4277</v>
      </c>
      <c r="N64" s="42" t="s">
        <v>4278</v>
      </c>
      <c r="O64" s="42"/>
      <c r="P64" s="42" t="s">
        <v>4279</v>
      </c>
      <c r="Q64" s="42"/>
      <c r="R64" s="42" t="s">
        <v>209</v>
      </c>
      <c r="S64" s="42" t="s">
        <v>553</v>
      </c>
      <c r="T64" s="42" t="s">
        <v>4139</v>
      </c>
      <c r="U64" s="42" t="s">
        <v>498</v>
      </c>
      <c r="V64" s="44" t="s">
        <v>3892</v>
      </c>
      <c r="W64" s="42" t="s">
        <v>3892</v>
      </c>
    </row>
    <row r="65" spans="1:23">
      <c r="A65" s="40">
        <v>63</v>
      </c>
      <c r="B65" s="41">
        <v>2151067069</v>
      </c>
      <c r="C65" s="42" t="s">
        <v>4280</v>
      </c>
      <c r="D65" s="42" t="s">
        <v>760</v>
      </c>
      <c r="E65" s="43" t="s">
        <v>3848</v>
      </c>
      <c r="F65" s="42" t="s">
        <v>4006</v>
      </c>
      <c r="G65" s="42" t="s">
        <v>4281</v>
      </c>
      <c r="H65" s="43"/>
      <c r="I65" s="42"/>
      <c r="J65" s="42" t="s">
        <v>4282</v>
      </c>
      <c r="K65" s="42" t="s">
        <v>1895</v>
      </c>
      <c r="L65" s="42" t="s">
        <v>4283</v>
      </c>
      <c r="M65" s="42" t="s">
        <v>4284</v>
      </c>
      <c r="N65" s="42" t="s">
        <v>4285</v>
      </c>
      <c r="O65" s="42"/>
      <c r="P65" s="42" t="s">
        <v>4286</v>
      </c>
      <c r="Q65" s="42"/>
      <c r="R65" s="42" t="s">
        <v>209</v>
      </c>
      <c r="S65" s="42" t="s">
        <v>553</v>
      </c>
      <c r="T65" s="42" t="s">
        <v>4139</v>
      </c>
      <c r="U65" s="42" t="s">
        <v>498</v>
      </c>
      <c r="V65" s="44" t="s">
        <v>3892</v>
      </c>
      <c r="W65" s="42" t="s">
        <v>3892</v>
      </c>
    </row>
    <row r="66" spans="1:23">
      <c r="A66" s="40">
        <v>64</v>
      </c>
      <c r="B66" s="41">
        <v>2151067645</v>
      </c>
      <c r="C66" s="42" t="s">
        <v>213</v>
      </c>
      <c r="D66" s="42" t="s">
        <v>760</v>
      </c>
      <c r="E66" s="43" t="s">
        <v>7134</v>
      </c>
      <c r="F66" s="42" t="s">
        <v>3900</v>
      </c>
      <c r="G66" s="42" t="s">
        <v>4287</v>
      </c>
      <c r="H66" s="43"/>
      <c r="I66" s="42"/>
      <c r="J66" s="42" t="s">
        <v>4288</v>
      </c>
      <c r="K66" s="42" t="s">
        <v>1895</v>
      </c>
      <c r="L66" s="42" t="s">
        <v>670</v>
      </c>
      <c r="M66" s="42" t="s">
        <v>4289</v>
      </c>
      <c r="N66" s="42" t="s">
        <v>4290</v>
      </c>
      <c r="O66" s="42"/>
      <c r="P66" s="42" t="s">
        <v>4291</v>
      </c>
      <c r="Q66" s="42"/>
      <c r="R66" s="42" t="s">
        <v>209</v>
      </c>
      <c r="S66" s="42" t="s">
        <v>553</v>
      </c>
      <c r="T66" s="42" t="s">
        <v>4139</v>
      </c>
      <c r="U66" s="42" t="s">
        <v>498</v>
      </c>
      <c r="V66" s="44" t="s">
        <v>3892</v>
      </c>
      <c r="W66" s="42" t="s">
        <v>3892</v>
      </c>
    </row>
    <row r="67" spans="1:23">
      <c r="A67" s="40">
        <v>65</v>
      </c>
      <c r="B67" s="41">
        <v>2151067639</v>
      </c>
      <c r="C67" s="42" t="s">
        <v>208</v>
      </c>
      <c r="D67" s="42" t="s">
        <v>760</v>
      </c>
      <c r="E67" s="43" t="s">
        <v>3165</v>
      </c>
      <c r="F67" s="42" t="s">
        <v>776</v>
      </c>
      <c r="G67" s="42" t="s">
        <v>4292</v>
      </c>
      <c r="H67" s="43"/>
      <c r="I67" s="42"/>
      <c r="J67" s="42" t="s">
        <v>4293</v>
      </c>
      <c r="K67" s="42" t="s">
        <v>1895</v>
      </c>
      <c r="L67" s="42" t="s">
        <v>663</v>
      </c>
      <c r="M67" s="42" t="s">
        <v>4294</v>
      </c>
      <c r="N67" s="42" t="s">
        <v>4295</v>
      </c>
      <c r="O67" s="42"/>
      <c r="P67" s="42" t="s">
        <v>4296</v>
      </c>
      <c r="Q67" s="42"/>
      <c r="R67" s="42" t="s">
        <v>209</v>
      </c>
      <c r="S67" s="42" t="s">
        <v>553</v>
      </c>
      <c r="T67" s="42" t="s">
        <v>4139</v>
      </c>
      <c r="U67" s="42" t="s">
        <v>498</v>
      </c>
      <c r="V67" s="44" t="s">
        <v>3892</v>
      </c>
      <c r="W67" s="42" t="s">
        <v>3892</v>
      </c>
    </row>
    <row r="68" spans="1:23">
      <c r="A68" s="40">
        <v>66</v>
      </c>
      <c r="B68" s="41">
        <v>2151067632</v>
      </c>
      <c r="C68" s="42" t="s">
        <v>4297</v>
      </c>
      <c r="D68" s="42" t="s">
        <v>760</v>
      </c>
      <c r="E68" s="43" t="s">
        <v>7135</v>
      </c>
      <c r="F68" s="42" t="s">
        <v>804</v>
      </c>
      <c r="G68" s="42" t="s">
        <v>4298</v>
      </c>
      <c r="H68" s="43">
        <v>45500</v>
      </c>
      <c r="I68" s="42"/>
      <c r="J68" s="42" t="s">
        <v>4299</v>
      </c>
      <c r="K68" s="42" t="s">
        <v>1895</v>
      </c>
      <c r="L68" s="42" t="s">
        <v>656</v>
      </c>
      <c r="M68" s="42" t="s">
        <v>4300</v>
      </c>
      <c r="N68" s="42" t="s">
        <v>4301</v>
      </c>
      <c r="O68" s="42"/>
      <c r="P68" s="42" t="s">
        <v>4302</v>
      </c>
      <c r="Q68" s="42"/>
      <c r="R68" s="42" t="s">
        <v>209</v>
      </c>
      <c r="S68" s="42" t="s">
        <v>553</v>
      </c>
      <c r="T68" s="42" t="s">
        <v>4139</v>
      </c>
      <c r="U68" s="42" t="s">
        <v>498</v>
      </c>
      <c r="V68" s="44" t="s">
        <v>3892</v>
      </c>
      <c r="W68" s="42" t="s">
        <v>3892</v>
      </c>
    </row>
    <row r="69" spans="1:23">
      <c r="A69" s="40">
        <v>67</v>
      </c>
      <c r="B69" s="41">
        <v>2151067075</v>
      </c>
      <c r="C69" s="42" t="s">
        <v>4303</v>
      </c>
      <c r="D69" s="42" t="s">
        <v>760</v>
      </c>
      <c r="E69" s="43" t="s">
        <v>7136</v>
      </c>
      <c r="F69" s="42" t="s">
        <v>3900</v>
      </c>
      <c r="G69" s="42" t="s">
        <v>4304</v>
      </c>
      <c r="H69" s="43">
        <v>44697</v>
      </c>
      <c r="I69" s="42"/>
      <c r="J69" s="42" t="s">
        <v>4305</v>
      </c>
      <c r="K69" s="42" t="s">
        <v>1895</v>
      </c>
      <c r="L69" s="42" t="s">
        <v>4306</v>
      </c>
      <c r="M69" s="42" t="s">
        <v>4307</v>
      </c>
      <c r="N69" s="42" t="s">
        <v>4308</v>
      </c>
      <c r="O69" s="42"/>
      <c r="P69" s="42" t="s">
        <v>4309</v>
      </c>
      <c r="Q69" s="42"/>
      <c r="R69" s="42" t="s">
        <v>209</v>
      </c>
      <c r="S69" s="42" t="s">
        <v>553</v>
      </c>
      <c r="T69" s="42" t="s">
        <v>4139</v>
      </c>
      <c r="U69" s="42" t="s">
        <v>498</v>
      </c>
      <c r="V69" s="44" t="s">
        <v>3892</v>
      </c>
      <c r="W69" s="42" t="s">
        <v>3892</v>
      </c>
    </row>
    <row r="70" spans="1:23">
      <c r="A70" s="40">
        <v>68</v>
      </c>
      <c r="B70" s="41">
        <v>2151067600</v>
      </c>
      <c r="C70" s="42" t="s">
        <v>211</v>
      </c>
      <c r="D70" s="42" t="s">
        <v>760</v>
      </c>
      <c r="E70" s="43" t="s">
        <v>7137</v>
      </c>
      <c r="F70" s="42" t="s">
        <v>3900</v>
      </c>
      <c r="G70" s="42" t="s">
        <v>4310</v>
      </c>
      <c r="H70" s="43"/>
      <c r="I70" s="42"/>
      <c r="J70" s="42" t="s">
        <v>4311</v>
      </c>
      <c r="K70" s="42" t="s">
        <v>1895</v>
      </c>
      <c r="L70" s="42" t="s">
        <v>622</v>
      </c>
      <c r="M70" s="42" t="s">
        <v>4312</v>
      </c>
      <c r="N70" s="42" t="s">
        <v>4313</v>
      </c>
      <c r="O70" s="42"/>
      <c r="P70" s="42" t="s">
        <v>4314</v>
      </c>
      <c r="Q70" s="42"/>
      <c r="R70" s="42" t="s">
        <v>209</v>
      </c>
      <c r="S70" s="42" t="s">
        <v>553</v>
      </c>
      <c r="T70" s="42" t="s">
        <v>4139</v>
      </c>
      <c r="U70" s="42" t="s">
        <v>498</v>
      </c>
      <c r="V70" s="44" t="s">
        <v>3892</v>
      </c>
      <c r="W70" s="42" t="s">
        <v>3892</v>
      </c>
    </row>
    <row r="71" spans="1:23">
      <c r="A71" s="40">
        <v>69</v>
      </c>
      <c r="B71" s="41">
        <v>2151067602</v>
      </c>
      <c r="C71" s="42" t="s">
        <v>3781</v>
      </c>
      <c r="D71" s="42" t="s">
        <v>760</v>
      </c>
      <c r="E71" s="43" t="s">
        <v>7138</v>
      </c>
      <c r="F71" s="42" t="s">
        <v>4315</v>
      </c>
      <c r="G71" s="42" t="s">
        <v>4316</v>
      </c>
      <c r="H71" s="43"/>
      <c r="I71" s="42"/>
      <c r="J71" s="42" t="s">
        <v>4317</v>
      </c>
      <c r="K71" s="42" t="s">
        <v>1895</v>
      </c>
      <c r="L71" s="42" t="s">
        <v>624</v>
      </c>
      <c r="M71" s="42" t="s">
        <v>4318</v>
      </c>
      <c r="N71" s="42" t="s">
        <v>4319</v>
      </c>
      <c r="O71" s="42"/>
      <c r="P71" s="42" t="s">
        <v>4320</v>
      </c>
      <c r="Q71" s="42"/>
      <c r="R71" s="42" t="s">
        <v>233</v>
      </c>
      <c r="S71" s="42" t="s">
        <v>553</v>
      </c>
      <c r="T71" s="42" t="s">
        <v>4139</v>
      </c>
      <c r="U71" s="42" t="s">
        <v>498</v>
      </c>
      <c r="V71" s="44" t="s">
        <v>3892</v>
      </c>
      <c r="W71" s="42" t="s">
        <v>3892</v>
      </c>
    </row>
    <row r="72" spans="1:23">
      <c r="A72" s="40">
        <v>70</v>
      </c>
      <c r="B72" s="41">
        <v>2151067053</v>
      </c>
      <c r="C72" s="42" t="s">
        <v>244</v>
      </c>
      <c r="D72" s="42" t="s">
        <v>765</v>
      </c>
      <c r="E72" s="43" t="s">
        <v>7139</v>
      </c>
      <c r="F72" s="42" t="s">
        <v>790</v>
      </c>
      <c r="G72" s="42" t="s">
        <v>4321</v>
      </c>
      <c r="H72" s="43"/>
      <c r="I72" s="42"/>
      <c r="J72" s="42" t="s">
        <v>4322</v>
      </c>
      <c r="K72" s="42" t="s">
        <v>1895</v>
      </c>
      <c r="L72" s="42" t="s">
        <v>4323</v>
      </c>
      <c r="M72" s="42" t="s">
        <v>4324</v>
      </c>
      <c r="N72" s="42" t="s">
        <v>4325</v>
      </c>
      <c r="O72" s="42"/>
      <c r="P72" s="42" t="s">
        <v>4326</v>
      </c>
      <c r="Q72" s="42"/>
      <c r="R72" s="42" t="s">
        <v>233</v>
      </c>
      <c r="S72" s="42" t="s">
        <v>553</v>
      </c>
      <c r="T72" s="42" t="s">
        <v>4139</v>
      </c>
      <c r="U72" s="42" t="s">
        <v>498</v>
      </c>
      <c r="V72" s="44" t="s">
        <v>3892</v>
      </c>
      <c r="W72" s="42" t="s">
        <v>3892</v>
      </c>
    </row>
    <row r="73" spans="1:23">
      <c r="A73" s="40">
        <v>71</v>
      </c>
      <c r="B73" s="41">
        <v>2151067581</v>
      </c>
      <c r="C73" s="42" t="s">
        <v>4327</v>
      </c>
      <c r="D73" s="42" t="s">
        <v>760</v>
      </c>
      <c r="E73" s="43" t="s">
        <v>7140</v>
      </c>
      <c r="F73" s="42" t="s">
        <v>811</v>
      </c>
      <c r="G73" s="42" t="s">
        <v>4328</v>
      </c>
      <c r="H73" s="43"/>
      <c r="I73" s="42"/>
      <c r="J73" s="42" t="s">
        <v>4329</v>
      </c>
      <c r="K73" s="42" t="s">
        <v>1895</v>
      </c>
      <c r="L73" s="42" t="s">
        <v>602</v>
      </c>
      <c r="M73" s="42" t="s">
        <v>4330</v>
      </c>
      <c r="N73" s="42" t="s">
        <v>4331</v>
      </c>
      <c r="O73" s="42"/>
      <c r="P73" s="42" t="s">
        <v>4332</v>
      </c>
      <c r="Q73" s="42"/>
      <c r="R73" s="42" t="s">
        <v>233</v>
      </c>
      <c r="S73" s="42" t="s">
        <v>553</v>
      </c>
      <c r="T73" s="42" t="s">
        <v>4139</v>
      </c>
      <c r="U73" s="42" t="s">
        <v>498</v>
      </c>
      <c r="V73" s="44" t="s">
        <v>3892</v>
      </c>
      <c r="W73" s="42" t="s">
        <v>3892</v>
      </c>
    </row>
    <row r="74" spans="1:23">
      <c r="A74" s="40">
        <v>72</v>
      </c>
      <c r="B74" s="41">
        <v>2151067630</v>
      </c>
      <c r="C74" s="42" t="s">
        <v>4333</v>
      </c>
      <c r="D74" s="42" t="s">
        <v>760</v>
      </c>
      <c r="E74" s="43" t="s">
        <v>7141</v>
      </c>
      <c r="F74" s="42" t="s">
        <v>998</v>
      </c>
      <c r="G74" s="42" t="s">
        <v>4334</v>
      </c>
      <c r="H74" s="43"/>
      <c r="I74" s="42"/>
      <c r="J74" s="42" t="s">
        <v>4335</v>
      </c>
      <c r="K74" s="42" t="s">
        <v>1895</v>
      </c>
      <c r="L74" s="42" t="s">
        <v>654</v>
      </c>
      <c r="M74" s="42" t="s">
        <v>4336</v>
      </c>
      <c r="N74" s="42" t="s">
        <v>4337</v>
      </c>
      <c r="O74" s="42"/>
      <c r="P74" s="42" t="s">
        <v>4338</v>
      </c>
      <c r="Q74" s="42"/>
      <c r="R74" s="42" t="s">
        <v>233</v>
      </c>
      <c r="S74" s="42" t="s">
        <v>553</v>
      </c>
      <c r="T74" s="42" t="s">
        <v>4139</v>
      </c>
      <c r="U74" s="42" t="s">
        <v>498</v>
      </c>
      <c r="V74" s="44" t="s">
        <v>3892</v>
      </c>
      <c r="W74" s="42" t="s">
        <v>3892</v>
      </c>
    </row>
    <row r="75" spans="1:23">
      <c r="A75" s="40">
        <v>73</v>
      </c>
      <c r="B75" s="41">
        <v>2151067583</v>
      </c>
      <c r="C75" s="42" t="s">
        <v>4339</v>
      </c>
      <c r="D75" s="42" t="s">
        <v>760</v>
      </c>
      <c r="E75" s="43" t="s">
        <v>7142</v>
      </c>
      <c r="F75" s="42" t="s">
        <v>3900</v>
      </c>
      <c r="G75" s="42" t="s">
        <v>4340</v>
      </c>
      <c r="H75" s="43">
        <v>44376</v>
      </c>
      <c r="I75" s="42"/>
      <c r="J75" s="42" t="s">
        <v>4341</v>
      </c>
      <c r="K75" s="42" t="s">
        <v>1895</v>
      </c>
      <c r="L75" s="42" t="s">
        <v>605</v>
      </c>
      <c r="M75" s="42" t="s">
        <v>4342</v>
      </c>
      <c r="N75" s="42" t="s">
        <v>4343</v>
      </c>
      <c r="O75" s="42"/>
      <c r="P75" s="42" t="s">
        <v>4344</v>
      </c>
      <c r="Q75" s="42"/>
      <c r="R75" s="42" t="s">
        <v>233</v>
      </c>
      <c r="S75" s="42" t="s">
        <v>553</v>
      </c>
      <c r="T75" s="42" t="s">
        <v>4139</v>
      </c>
      <c r="U75" s="42" t="s">
        <v>498</v>
      </c>
      <c r="V75" s="44" t="s">
        <v>3892</v>
      </c>
      <c r="W75" s="42" t="s">
        <v>3892</v>
      </c>
    </row>
    <row r="76" spans="1:23">
      <c r="A76" s="40">
        <v>74</v>
      </c>
      <c r="B76" s="41">
        <v>2151067601</v>
      </c>
      <c r="C76" s="42" t="s">
        <v>4345</v>
      </c>
      <c r="D76" s="42" t="s">
        <v>760</v>
      </c>
      <c r="E76" s="43" t="s">
        <v>7143</v>
      </c>
      <c r="F76" s="42" t="s">
        <v>3938</v>
      </c>
      <c r="G76" s="42" t="s">
        <v>4346</v>
      </c>
      <c r="H76" s="43">
        <v>44455</v>
      </c>
      <c r="I76" s="42"/>
      <c r="J76" s="42" t="s">
        <v>4347</v>
      </c>
      <c r="K76" s="42" t="s">
        <v>1895</v>
      </c>
      <c r="L76" s="42" t="s">
        <v>623</v>
      </c>
      <c r="M76" s="42" t="s">
        <v>4348</v>
      </c>
      <c r="N76" s="42" t="s">
        <v>4349</v>
      </c>
      <c r="O76" s="42"/>
      <c r="P76" s="42" t="s">
        <v>4350</v>
      </c>
      <c r="Q76" s="42"/>
      <c r="R76" s="42" t="s">
        <v>233</v>
      </c>
      <c r="S76" s="42" t="s">
        <v>553</v>
      </c>
      <c r="T76" s="42" t="s">
        <v>4139</v>
      </c>
      <c r="U76" s="42" t="s">
        <v>498</v>
      </c>
      <c r="V76" s="44" t="s">
        <v>3892</v>
      </c>
      <c r="W76" s="42" t="s">
        <v>3892</v>
      </c>
    </row>
    <row r="77" spans="1:23">
      <c r="A77" s="40">
        <v>75</v>
      </c>
      <c r="B77" s="41">
        <v>2151067617</v>
      </c>
      <c r="C77" s="42" t="s">
        <v>4351</v>
      </c>
      <c r="D77" s="42" t="s">
        <v>760</v>
      </c>
      <c r="E77" s="43" t="s">
        <v>7111</v>
      </c>
      <c r="F77" s="42" t="s">
        <v>4352</v>
      </c>
      <c r="G77" s="42" t="s">
        <v>4353</v>
      </c>
      <c r="H77" s="43"/>
      <c r="I77" s="42"/>
      <c r="J77" s="42" t="s">
        <v>4354</v>
      </c>
      <c r="K77" s="42" t="s">
        <v>1895</v>
      </c>
      <c r="L77" s="42" t="s">
        <v>639</v>
      </c>
      <c r="M77" s="42" t="s">
        <v>4355</v>
      </c>
      <c r="N77" s="42" t="s">
        <v>4356</v>
      </c>
      <c r="O77" s="42"/>
      <c r="P77" s="42" t="s">
        <v>4357</v>
      </c>
      <c r="Q77" s="42"/>
      <c r="R77" s="42" t="s">
        <v>233</v>
      </c>
      <c r="S77" s="42" t="s">
        <v>553</v>
      </c>
      <c r="T77" s="42" t="s">
        <v>4139</v>
      </c>
      <c r="U77" s="42" t="s">
        <v>498</v>
      </c>
      <c r="V77" s="44" t="s">
        <v>3892</v>
      </c>
      <c r="W77" s="42" t="s">
        <v>3892</v>
      </c>
    </row>
    <row r="78" spans="1:23">
      <c r="A78" s="40">
        <v>76</v>
      </c>
      <c r="B78" s="41">
        <v>2151067239</v>
      </c>
      <c r="C78" s="42" t="s">
        <v>4358</v>
      </c>
      <c r="D78" s="42" t="s">
        <v>760</v>
      </c>
      <c r="E78" s="43" t="s">
        <v>7144</v>
      </c>
      <c r="F78" s="42" t="s">
        <v>3900</v>
      </c>
      <c r="G78" s="42" t="s">
        <v>4359</v>
      </c>
      <c r="H78" s="43">
        <v>44776.583333333336</v>
      </c>
      <c r="I78" s="42" t="s">
        <v>4360</v>
      </c>
      <c r="J78" s="42" t="s">
        <v>4361</v>
      </c>
      <c r="K78" s="42" t="s">
        <v>1895</v>
      </c>
      <c r="L78" s="42" t="s">
        <v>4362</v>
      </c>
      <c r="M78" s="42" t="s">
        <v>4363</v>
      </c>
      <c r="N78" s="42" t="s">
        <v>4364</v>
      </c>
      <c r="O78" s="42"/>
      <c r="P78" s="42" t="s">
        <v>4365</v>
      </c>
      <c r="Q78" s="42"/>
      <c r="R78" s="42" t="s">
        <v>233</v>
      </c>
      <c r="S78" s="42" t="s">
        <v>553</v>
      </c>
      <c r="T78" s="42" t="s">
        <v>4139</v>
      </c>
      <c r="U78" s="42" t="s">
        <v>498</v>
      </c>
      <c r="V78" s="44" t="s">
        <v>3892</v>
      </c>
      <c r="W78" s="42" t="s">
        <v>3892</v>
      </c>
    </row>
    <row r="79" spans="1:23">
      <c r="A79" s="40">
        <v>77</v>
      </c>
      <c r="B79" s="41">
        <v>2151067575</v>
      </c>
      <c r="C79" s="42" t="s">
        <v>250</v>
      </c>
      <c r="D79" s="42" t="s">
        <v>760</v>
      </c>
      <c r="E79" s="43" t="s">
        <v>3778</v>
      </c>
      <c r="F79" s="42" t="s">
        <v>4366</v>
      </c>
      <c r="G79" s="42" t="s">
        <v>4367</v>
      </c>
      <c r="H79" s="43"/>
      <c r="I79" s="42"/>
      <c r="J79" s="42" t="s">
        <v>4368</v>
      </c>
      <c r="K79" s="42" t="s">
        <v>1895</v>
      </c>
      <c r="L79" s="42" t="s">
        <v>596</v>
      </c>
      <c r="M79" s="42" t="s">
        <v>4182</v>
      </c>
      <c r="N79" s="42" t="s">
        <v>4369</v>
      </c>
      <c r="O79" s="42"/>
      <c r="P79" s="42" t="s">
        <v>4370</v>
      </c>
      <c r="Q79" s="42"/>
      <c r="R79" s="42" t="s">
        <v>233</v>
      </c>
      <c r="S79" s="42" t="s">
        <v>553</v>
      </c>
      <c r="T79" s="42" t="s">
        <v>4139</v>
      </c>
      <c r="U79" s="42" t="s">
        <v>498</v>
      </c>
      <c r="V79" s="44" t="s">
        <v>3892</v>
      </c>
      <c r="W79" s="42" t="s">
        <v>3892</v>
      </c>
    </row>
    <row r="80" spans="1:23">
      <c r="A80" s="40">
        <v>78</v>
      </c>
      <c r="B80" s="41">
        <v>2151067612</v>
      </c>
      <c r="C80" s="42" t="s">
        <v>248</v>
      </c>
      <c r="D80" s="42" t="s">
        <v>760</v>
      </c>
      <c r="E80" s="43" t="s">
        <v>7145</v>
      </c>
      <c r="F80" s="42" t="s">
        <v>1032</v>
      </c>
      <c r="G80" s="42" t="s">
        <v>4371</v>
      </c>
      <c r="H80" s="43"/>
      <c r="I80" s="42"/>
      <c r="J80" s="42" t="s">
        <v>4372</v>
      </c>
      <c r="K80" s="42" t="s">
        <v>1895</v>
      </c>
      <c r="L80" s="42" t="s">
        <v>634</v>
      </c>
      <c r="M80" s="42" t="s">
        <v>4373</v>
      </c>
      <c r="N80" s="42" t="s">
        <v>4374</v>
      </c>
      <c r="O80" s="42"/>
      <c r="P80" s="42" t="s">
        <v>4375</v>
      </c>
      <c r="Q80" s="42"/>
      <c r="R80" s="42" t="s">
        <v>233</v>
      </c>
      <c r="S80" s="42" t="s">
        <v>553</v>
      </c>
      <c r="T80" s="42" t="s">
        <v>4139</v>
      </c>
      <c r="U80" s="42" t="s">
        <v>498</v>
      </c>
      <c r="V80" s="44" t="s">
        <v>3892</v>
      </c>
      <c r="W80" s="42" t="s">
        <v>3892</v>
      </c>
    </row>
    <row r="81" spans="1:23" ht="105">
      <c r="A81" s="40">
        <v>79</v>
      </c>
      <c r="B81" s="41">
        <v>2154077899</v>
      </c>
      <c r="C81" s="42" t="s">
        <v>4376</v>
      </c>
      <c r="D81" s="42" t="s">
        <v>760</v>
      </c>
      <c r="E81" s="43" t="s">
        <v>7146</v>
      </c>
      <c r="F81" s="42" t="s">
        <v>3900</v>
      </c>
      <c r="G81" s="42" t="s">
        <v>4377</v>
      </c>
      <c r="H81" s="43"/>
      <c r="I81" s="42"/>
      <c r="J81" s="42" t="s">
        <v>4378</v>
      </c>
      <c r="K81" s="42" t="s">
        <v>1895</v>
      </c>
      <c r="L81" s="42" t="s">
        <v>4379</v>
      </c>
      <c r="M81" s="42" t="s">
        <v>4380</v>
      </c>
      <c r="N81" s="42" t="s">
        <v>4381</v>
      </c>
      <c r="O81" s="42"/>
      <c r="P81" s="42" t="s">
        <v>4382</v>
      </c>
      <c r="Q81" s="42"/>
      <c r="R81" s="42" t="s">
        <v>233</v>
      </c>
      <c r="S81" s="42" t="s">
        <v>553</v>
      </c>
      <c r="T81" s="42" t="s">
        <v>4139</v>
      </c>
      <c r="U81" s="42" t="s">
        <v>498</v>
      </c>
      <c r="V81" s="44" t="s">
        <v>4383</v>
      </c>
      <c r="W81" s="42" t="s">
        <v>3905</v>
      </c>
    </row>
    <row r="82" spans="1:23">
      <c r="A82" s="40">
        <v>80</v>
      </c>
      <c r="B82" s="41">
        <v>2151067635</v>
      </c>
      <c r="C82" s="42" t="s">
        <v>242</v>
      </c>
      <c r="D82" s="42" t="s">
        <v>760</v>
      </c>
      <c r="E82" s="43" t="s">
        <v>7147</v>
      </c>
      <c r="F82" s="42" t="s">
        <v>4384</v>
      </c>
      <c r="G82" s="42" t="s">
        <v>4385</v>
      </c>
      <c r="H82" s="43"/>
      <c r="I82" s="42"/>
      <c r="J82" s="42" t="s">
        <v>4386</v>
      </c>
      <c r="K82" s="42" t="s">
        <v>1895</v>
      </c>
      <c r="L82" s="42" t="s">
        <v>659</v>
      </c>
      <c r="M82" s="42" t="s">
        <v>4387</v>
      </c>
      <c r="N82" s="42" t="s">
        <v>4388</v>
      </c>
      <c r="O82" s="42"/>
      <c r="P82" s="42" t="s">
        <v>4389</v>
      </c>
      <c r="Q82" s="42"/>
      <c r="R82" s="42" t="s">
        <v>233</v>
      </c>
      <c r="S82" s="42" t="s">
        <v>553</v>
      </c>
      <c r="T82" s="42" t="s">
        <v>4139</v>
      </c>
      <c r="U82" s="42" t="s">
        <v>498</v>
      </c>
      <c r="V82" s="44" t="s">
        <v>3892</v>
      </c>
      <c r="W82" s="42" t="s">
        <v>3892</v>
      </c>
    </row>
    <row r="83" spans="1:23">
      <c r="A83" s="40">
        <v>81</v>
      </c>
      <c r="B83" s="41">
        <v>2151067610</v>
      </c>
      <c r="C83" s="42" t="s">
        <v>4390</v>
      </c>
      <c r="D83" s="42" t="s">
        <v>760</v>
      </c>
      <c r="E83" s="43" t="s">
        <v>7148</v>
      </c>
      <c r="F83" s="42" t="s">
        <v>3900</v>
      </c>
      <c r="G83" s="42" t="s">
        <v>4391</v>
      </c>
      <c r="H83" s="43"/>
      <c r="I83" s="42"/>
      <c r="J83" s="42" t="s">
        <v>4392</v>
      </c>
      <c r="K83" s="42" t="s">
        <v>1895</v>
      </c>
      <c r="L83" s="42" t="s">
        <v>632</v>
      </c>
      <c r="M83" s="42" t="s">
        <v>4393</v>
      </c>
      <c r="N83" s="42" t="s">
        <v>4394</v>
      </c>
      <c r="O83" s="42"/>
      <c r="P83" s="42" t="s">
        <v>4395</v>
      </c>
      <c r="Q83" s="42"/>
      <c r="R83" s="42" t="s">
        <v>233</v>
      </c>
      <c r="S83" s="42" t="s">
        <v>553</v>
      </c>
      <c r="T83" s="42" t="s">
        <v>4139</v>
      </c>
      <c r="U83" s="42" t="s">
        <v>498</v>
      </c>
      <c r="V83" s="44" t="s">
        <v>3892</v>
      </c>
      <c r="W83" s="42" t="s">
        <v>3892</v>
      </c>
    </row>
    <row r="84" spans="1:23">
      <c r="A84" s="40">
        <v>82</v>
      </c>
      <c r="B84" s="41">
        <v>2151067628</v>
      </c>
      <c r="C84" s="42" t="s">
        <v>246</v>
      </c>
      <c r="D84" s="42" t="s">
        <v>765</v>
      </c>
      <c r="E84" s="43" t="s">
        <v>7149</v>
      </c>
      <c r="F84" s="42" t="s">
        <v>3900</v>
      </c>
      <c r="G84" s="42" t="s">
        <v>4396</v>
      </c>
      <c r="H84" s="43"/>
      <c r="I84" s="42"/>
      <c r="J84" s="42" t="s">
        <v>4397</v>
      </c>
      <c r="K84" s="42" t="s">
        <v>1895</v>
      </c>
      <c r="L84" s="42" t="s">
        <v>652</v>
      </c>
      <c r="M84" s="42" t="s">
        <v>4398</v>
      </c>
      <c r="N84" s="42" t="s">
        <v>4399</v>
      </c>
      <c r="O84" s="42"/>
      <c r="P84" s="42" t="s">
        <v>4400</v>
      </c>
      <c r="Q84" s="42"/>
      <c r="R84" s="42" t="s">
        <v>233</v>
      </c>
      <c r="S84" s="42" t="s">
        <v>553</v>
      </c>
      <c r="T84" s="42" t="s">
        <v>4139</v>
      </c>
      <c r="U84" s="42" t="s">
        <v>498</v>
      </c>
      <c r="V84" s="44" t="s">
        <v>3892</v>
      </c>
      <c r="W84" s="42" t="s">
        <v>3892</v>
      </c>
    </row>
    <row r="85" spans="1:23">
      <c r="A85" s="40">
        <v>83</v>
      </c>
      <c r="B85" s="41">
        <v>2151067063</v>
      </c>
      <c r="C85" s="42" t="s">
        <v>4401</v>
      </c>
      <c r="D85" s="42" t="s">
        <v>760</v>
      </c>
      <c r="E85" s="43" t="s">
        <v>7150</v>
      </c>
      <c r="F85" s="42" t="s">
        <v>861</v>
      </c>
      <c r="G85" s="42" t="s">
        <v>4402</v>
      </c>
      <c r="H85" s="43"/>
      <c r="I85" s="42"/>
      <c r="J85" s="42" t="s">
        <v>4403</v>
      </c>
      <c r="K85" s="42" t="s">
        <v>1895</v>
      </c>
      <c r="L85" s="42" t="s">
        <v>4404</v>
      </c>
      <c r="M85" s="42" t="s">
        <v>4405</v>
      </c>
      <c r="N85" s="42" t="s">
        <v>4406</v>
      </c>
      <c r="O85" s="42"/>
      <c r="P85" s="42" t="s">
        <v>4407</v>
      </c>
      <c r="Q85" s="42"/>
      <c r="R85" s="42" t="s">
        <v>233</v>
      </c>
      <c r="S85" s="42" t="s">
        <v>553</v>
      </c>
      <c r="T85" s="42" t="s">
        <v>4139</v>
      </c>
      <c r="U85" s="42" t="s">
        <v>498</v>
      </c>
      <c r="V85" s="44" t="s">
        <v>3892</v>
      </c>
      <c r="W85" s="42" t="s">
        <v>3892</v>
      </c>
    </row>
    <row r="86" spans="1:23">
      <c r="A86" s="40">
        <v>84</v>
      </c>
      <c r="B86" s="41">
        <v>2151067614</v>
      </c>
      <c r="C86" s="42" t="s">
        <v>235</v>
      </c>
      <c r="D86" s="42" t="s">
        <v>760</v>
      </c>
      <c r="E86" s="43" t="s">
        <v>7114</v>
      </c>
      <c r="F86" s="42" t="s">
        <v>958</v>
      </c>
      <c r="G86" s="42" t="s">
        <v>4408</v>
      </c>
      <c r="H86" s="43"/>
      <c r="I86" s="42"/>
      <c r="J86" s="42" t="s">
        <v>4409</v>
      </c>
      <c r="K86" s="42" t="s">
        <v>1895</v>
      </c>
      <c r="L86" s="42" t="s">
        <v>636</v>
      </c>
      <c r="M86" s="42" t="s">
        <v>4410</v>
      </c>
      <c r="N86" s="42" t="s">
        <v>4411</v>
      </c>
      <c r="O86" s="42"/>
      <c r="P86" s="42" t="s">
        <v>4412</v>
      </c>
      <c r="Q86" s="42"/>
      <c r="R86" s="42" t="s">
        <v>233</v>
      </c>
      <c r="S86" s="42" t="s">
        <v>553</v>
      </c>
      <c r="T86" s="42" t="s">
        <v>4139</v>
      </c>
      <c r="U86" s="42" t="s">
        <v>498</v>
      </c>
      <c r="V86" s="44" t="s">
        <v>3892</v>
      </c>
      <c r="W86" s="42" t="s">
        <v>3892</v>
      </c>
    </row>
    <row r="87" spans="1:23">
      <c r="A87" s="40">
        <v>85</v>
      </c>
      <c r="B87" s="41">
        <v>2151067065</v>
      </c>
      <c r="C87" s="42" t="s">
        <v>4413</v>
      </c>
      <c r="D87" s="42" t="s">
        <v>760</v>
      </c>
      <c r="E87" s="43" t="s">
        <v>7151</v>
      </c>
      <c r="F87" s="42" t="s">
        <v>3900</v>
      </c>
      <c r="G87" s="42" t="s">
        <v>4414</v>
      </c>
      <c r="H87" s="43"/>
      <c r="I87" s="42"/>
      <c r="J87" s="42" t="s">
        <v>4415</v>
      </c>
      <c r="K87" s="42" t="s">
        <v>1895</v>
      </c>
      <c r="L87" s="42" t="s">
        <v>4416</v>
      </c>
      <c r="M87" s="42" t="s">
        <v>4417</v>
      </c>
      <c r="N87" s="42" t="s">
        <v>4418</v>
      </c>
      <c r="O87" s="42"/>
      <c r="P87" s="42" t="s">
        <v>4419</v>
      </c>
      <c r="Q87" s="42"/>
      <c r="R87" s="42" t="s">
        <v>233</v>
      </c>
      <c r="S87" s="42" t="s">
        <v>553</v>
      </c>
      <c r="T87" s="42" t="s">
        <v>4139</v>
      </c>
      <c r="U87" s="42" t="s">
        <v>498</v>
      </c>
      <c r="V87" s="44" t="s">
        <v>3892</v>
      </c>
      <c r="W87" s="42" t="s">
        <v>3892</v>
      </c>
    </row>
    <row r="88" spans="1:23">
      <c r="A88" s="40">
        <v>86</v>
      </c>
      <c r="B88" s="41">
        <v>2151067620</v>
      </c>
      <c r="C88" s="42" t="s">
        <v>4420</v>
      </c>
      <c r="D88" s="42" t="s">
        <v>760</v>
      </c>
      <c r="E88" s="43" t="s">
        <v>7152</v>
      </c>
      <c r="F88" s="42" t="s">
        <v>3900</v>
      </c>
      <c r="G88" s="42" t="s">
        <v>4421</v>
      </c>
      <c r="H88" s="43"/>
      <c r="I88" s="42"/>
      <c r="J88" s="42" t="s">
        <v>4422</v>
      </c>
      <c r="K88" s="42" t="s">
        <v>1895</v>
      </c>
      <c r="L88" s="42" t="s">
        <v>642</v>
      </c>
      <c r="M88" s="42" t="s">
        <v>4423</v>
      </c>
      <c r="N88" s="42" t="s">
        <v>4424</v>
      </c>
      <c r="O88" s="42"/>
      <c r="P88" s="42" t="s">
        <v>4425</v>
      </c>
      <c r="Q88" s="42"/>
      <c r="R88" s="42" t="s">
        <v>233</v>
      </c>
      <c r="S88" s="42" t="s">
        <v>553</v>
      </c>
      <c r="T88" s="42" t="s">
        <v>4139</v>
      </c>
      <c r="U88" s="42" t="s">
        <v>498</v>
      </c>
      <c r="V88" s="44" t="s">
        <v>3892</v>
      </c>
      <c r="W88" s="42" t="s">
        <v>3892</v>
      </c>
    </row>
    <row r="89" spans="1:23">
      <c r="A89" s="40">
        <v>87</v>
      </c>
      <c r="B89" s="41">
        <v>2151067245</v>
      </c>
      <c r="C89" s="42" t="s">
        <v>4426</v>
      </c>
      <c r="D89" s="42" t="s">
        <v>760</v>
      </c>
      <c r="E89" s="43" t="s">
        <v>1352</v>
      </c>
      <c r="F89" s="42" t="s">
        <v>892</v>
      </c>
      <c r="G89" s="42" t="s">
        <v>4427</v>
      </c>
      <c r="H89" s="43">
        <v>44329</v>
      </c>
      <c r="I89" s="42" t="s">
        <v>892</v>
      </c>
      <c r="J89" s="42" t="s">
        <v>4428</v>
      </c>
      <c r="K89" s="42" t="s">
        <v>1895</v>
      </c>
      <c r="L89" s="42" t="s">
        <v>4429</v>
      </c>
      <c r="M89" s="42" t="s">
        <v>4430</v>
      </c>
      <c r="N89" s="42" t="s">
        <v>4431</v>
      </c>
      <c r="O89" s="42" t="s">
        <v>4432</v>
      </c>
      <c r="P89" s="42" t="s">
        <v>4433</v>
      </c>
      <c r="Q89" s="42" t="s">
        <v>4428</v>
      </c>
      <c r="R89" s="42" t="s">
        <v>233</v>
      </c>
      <c r="S89" s="42" t="s">
        <v>553</v>
      </c>
      <c r="T89" s="42" t="s">
        <v>4139</v>
      </c>
      <c r="U89" s="42" t="s">
        <v>498</v>
      </c>
      <c r="V89" s="44" t="s">
        <v>3892</v>
      </c>
      <c r="W89" s="42" t="s">
        <v>3892</v>
      </c>
    </row>
    <row r="90" spans="1:23">
      <c r="A90" s="40">
        <v>88</v>
      </c>
      <c r="B90" s="41">
        <v>2151067593</v>
      </c>
      <c r="C90" s="42" t="s">
        <v>4434</v>
      </c>
      <c r="D90" s="42" t="s">
        <v>760</v>
      </c>
      <c r="E90" s="43" t="s">
        <v>7153</v>
      </c>
      <c r="F90" s="42" t="s">
        <v>4435</v>
      </c>
      <c r="G90" s="42" t="s">
        <v>4436</v>
      </c>
      <c r="H90" s="43"/>
      <c r="I90" s="42"/>
      <c r="J90" s="42" t="s">
        <v>4437</v>
      </c>
      <c r="K90" s="42" t="s">
        <v>1895</v>
      </c>
      <c r="L90" s="42" t="s">
        <v>615</v>
      </c>
      <c r="M90" s="42" t="s">
        <v>4438</v>
      </c>
      <c r="N90" s="42" t="s">
        <v>4439</v>
      </c>
      <c r="O90" s="42"/>
      <c r="P90" s="42" t="s">
        <v>4440</v>
      </c>
      <c r="Q90" s="42"/>
      <c r="R90" s="42" t="s">
        <v>233</v>
      </c>
      <c r="S90" s="42" t="s">
        <v>553</v>
      </c>
      <c r="T90" s="42" t="s">
        <v>4139</v>
      </c>
      <c r="U90" s="42" t="s">
        <v>498</v>
      </c>
      <c r="V90" s="44" t="s">
        <v>3892</v>
      </c>
      <c r="W90" s="42" t="s">
        <v>3892</v>
      </c>
    </row>
    <row r="91" spans="1:23">
      <c r="A91" s="40">
        <v>89</v>
      </c>
      <c r="B91" s="41">
        <v>2151067072</v>
      </c>
      <c r="C91" s="42" t="s">
        <v>4441</v>
      </c>
      <c r="D91" s="42" t="s">
        <v>760</v>
      </c>
      <c r="E91" s="43" t="s">
        <v>7154</v>
      </c>
      <c r="F91" s="42" t="s">
        <v>853</v>
      </c>
      <c r="G91" s="42" t="s">
        <v>4442</v>
      </c>
      <c r="H91" s="43">
        <v>44305</v>
      </c>
      <c r="I91" s="42" t="s">
        <v>4443</v>
      </c>
      <c r="J91" s="42" t="s">
        <v>4444</v>
      </c>
      <c r="K91" s="42" t="s">
        <v>2135</v>
      </c>
      <c r="L91" s="42" t="s">
        <v>4445</v>
      </c>
      <c r="M91" s="42" t="s">
        <v>4446</v>
      </c>
      <c r="N91" s="42" t="s">
        <v>4447</v>
      </c>
      <c r="O91" s="42"/>
      <c r="P91" s="42" t="s">
        <v>4448</v>
      </c>
      <c r="Q91" s="42"/>
      <c r="R91" s="42" t="s">
        <v>233</v>
      </c>
      <c r="S91" s="42" t="s">
        <v>553</v>
      </c>
      <c r="T91" s="42" t="s">
        <v>4139</v>
      </c>
      <c r="U91" s="42" t="s">
        <v>498</v>
      </c>
      <c r="V91" s="44" t="s">
        <v>3892</v>
      </c>
      <c r="W91" s="42" t="s">
        <v>3892</v>
      </c>
    </row>
    <row r="92" spans="1:23">
      <c r="A92" s="40">
        <v>90</v>
      </c>
      <c r="B92" s="41">
        <v>2151067587</v>
      </c>
      <c r="C92" s="42" t="s">
        <v>232</v>
      </c>
      <c r="D92" s="42" t="s">
        <v>760</v>
      </c>
      <c r="E92" s="43" t="s">
        <v>7155</v>
      </c>
      <c r="F92" s="42" t="s">
        <v>3900</v>
      </c>
      <c r="G92" s="42" t="s">
        <v>4449</v>
      </c>
      <c r="H92" s="43"/>
      <c r="I92" s="42"/>
      <c r="J92" s="42" t="s">
        <v>4450</v>
      </c>
      <c r="K92" s="42" t="s">
        <v>1895</v>
      </c>
      <c r="L92" s="42" t="s">
        <v>609</v>
      </c>
      <c r="M92" s="42" t="s">
        <v>4451</v>
      </c>
      <c r="N92" s="42" t="s">
        <v>4452</v>
      </c>
      <c r="O92" s="42"/>
      <c r="P92" s="42" t="s">
        <v>4453</v>
      </c>
      <c r="Q92" s="42"/>
      <c r="R92" s="42" t="s">
        <v>233</v>
      </c>
      <c r="S92" s="42" t="s">
        <v>553</v>
      </c>
      <c r="T92" s="42" t="s">
        <v>4139</v>
      </c>
      <c r="U92" s="42" t="s">
        <v>498</v>
      </c>
      <c r="V92" s="44" t="s">
        <v>3892</v>
      </c>
      <c r="W92" s="42" t="s">
        <v>3892</v>
      </c>
    </row>
    <row r="93" spans="1:23">
      <c r="A93" s="40">
        <v>91</v>
      </c>
      <c r="B93" s="41">
        <v>2151067622</v>
      </c>
      <c r="C93" s="42" t="s">
        <v>4454</v>
      </c>
      <c r="D93" s="42" t="s">
        <v>760</v>
      </c>
      <c r="E93" s="43" t="s">
        <v>7156</v>
      </c>
      <c r="F93" s="42" t="s">
        <v>861</v>
      </c>
      <c r="G93" s="42" t="s">
        <v>4455</v>
      </c>
      <c r="H93" s="43"/>
      <c r="I93" s="42"/>
      <c r="J93" s="42" t="s">
        <v>4456</v>
      </c>
      <c r="K93" s="42" t="s">
        <v>1895</v>
      </c>
      <c r="L93" s="42" t="s">
        <v>644</v>
      </c>
      <c r="M93" s="42" t="s">
        <v>4457</v>
      </c>
      <c r="N93" s="42" t="s">
        <v>4458</v>
      </c>
      <c r="O93" s="42"/>
      <c r="P93" s="42" t="s">
        <v>4459</v>
      </c>
      <c r="Q93" s="42"/>
      <c r="R93" s="42" t="s">
        <v>233</v>
      </c>
      <c r="S93" s="42" t="s">
        <v>553</v>
      </c>
      <c r="T93" s="42" t="s">
        <v>4139</v>
      </c>
      <c r="U93" s="42" t="s">
        <v>498</v>
      </c>
      <c r="V93" s="44" t="s">
        <v>3892</v>
      </c>
      <c r="W93" s="42" t="s">
        <v>3892</v>
      </c>
    </row>
    <row r="94" spans="1:23">
      <c r="A94" s="40">
        <v>92</v>
      </c>
      <c r="B94" s="41">
        <v>2151067074</v>
      </c>
      <c r="C94" s="42" t="s">
        <v>4460</v>
      </c>
      <c r="D94" s="42" t="s">
        <v>760</v>
      </c>
      <c r="E94" s="43" t="s">
        <v>1626</v>
      </c>
      <c r="F94" s="42" t="s">
        <v>1116</v>
      </c>
      <c r="G94" s="42" t="s">
        <v>4461</v>
      </c>
      <c r="H94" s="43"/>
      <c r="I94" s="42"/>
      <c r="J94" s="42" t="s">
        <v>4462</v>
      </c>
      <c r="K94" s="42" t="s">
        <v>1895</v>
      </c>
      <c r="L94" s="42" t="s">
        <v>4463</v>
      </c>
      <c r="M94" s="42" t="s">
        <v>4464</v>
      </c>
      <c r="N94" s="42" t="s">
        <v>4465</v>
      </c>
      <c r="O94" s="42"/>
      <c r="P94" s="42" t="s">
        <v>4466</v>
      </c>
      <c r="Q94" s="42"/>
      <c r="R94" s="42" t="s">
        <v>233</v>
      </c>
      <c r="S94" s="42" t="s">
        <v>553</v>
      </c>
      <c r="T94" s="42" t="s">
        <v>4139</v>
      </c>
      <c r="U94" s="42" t="s">
        <v>498</v>
      </c>
      <c r="V94" s="44" t="s">
        <v>3892</v>
      </c>
      <c r="W94" s="42" t="s">
        <v>3892</v>
      </c>
    </row>
    <row r="95" spans="1:23">
      <c r="A95" s="40">
        <v>93</v>
      </c>
      <c r="B95" s="41">
        <v>2151067618</v>
      </c>
      <c r="C95" s="42" t="s">
        <v>4467</v>
      </c>
      <c r="D95" s="42" t="s">
        <v>760</v>
      </c>
      <c r="E95" s="43" t="s">
        <v>7157</v>
      </c>
      <c r="F95" s="42" t="s">
        <v>828</v>
      </c>
      <c r="G95" s="42" t="s">
        <v>4468</v>
      </c>
      <c r="H95" s="43"/>
      <c r="I95" s="42"/>
      <c r="J95" s="42" t="s">
        <v>4469</v>
      </c>
      <c r="K95" s="42" t="s">
        <v>1895</v>
      </c>
      <c r="L95" s="42" t="s">
        <v>640</v>
      </c>
      <c r="M95" s="42" t="s">
        <v>4470</v>
      </c>
      <c r="N95" s="42" t="s">
        <v>4471</v>
      </c>
      <c r="O95" s="42"/>
      <c r="P95" s="42" t="s">
        <v>4472</v>
      </c>
      <c r="Q95" s="42"/>
      <c r="R95" s="42" t="s">
        <v>233</v>
      </c>
      <c r="S95" s="42" t="s">
        <v>553</v>
      </c>
      <c r="T95" s="42" t="s">
        <v>4139</v>
      </c>
      <c r="U95" s="42" t="s">
        <v>498</v>
      </c>
      <c r="V95" s="44" t="s">
        <v>3892</v>
      </c>
      <c r="W95" s="42" t="s">
        <v>3892</v>
      </c>
    </row>
    <row r="96" spans="1:23">
      <c r="A96" s="40">
        <v>94</v>
      </c>
      <c r="B96" s="41">
        <v>2151067585</v>
      </c>
      <c r="C96" s="42" t="s">
        <v>237</v>
      </c>
      <c r="D96" s="42" t="s">
        <v>760</v>
      </c>
      <c r="E96" s="43" t="s">
        <v>7096</v>
      </c>
      <c r="F96" s="42" t="s">
        <v>4473</v>
      </c>
      <c r="G96" s="42" t="s">
        <v>4474</v>
      </c>
      <c r="H96" s="43"/>
      <c r="I96" s="42"/>
      <c r="J96" s="42" t="s">
        <v>4475</v>
      </c>
      <c r="K96" s="42" t="s">
        <v>1895</v>
      </c>
      <c r="L96" s="42" t="s">
        <v>607</v>
      </c>
      <c r="M96" s="42" t="s">
        <v>4300</v>
      </c>
      <c r="N96" s="42" t="s">
        <v>4476</v>
      </c>
      <c r="O96" s="42"/>
      <c r="P96" s="42" t="s">
        <v>4477</v>
      </c>
      <c r="Q96" s="42"/>
      <c r="R96" s="42" t="s">
        <v>233</v>
      </c>
      <c r="S96" s="42" t="s">
        <v>553</v>
      </c>
      <c r="T96" s="42" t="s">
        <v>4139</v>
      </c>
      <c r="U96" s="42" t="s">
        <v>498</v>
      </c>
      <c r="V96" s="44" t="s">
        <v>3892</v>
      </c>
      <c r="W96" s="42" t="s">
        <v>3892</v>
      </c>
    </row>
    <row r="97" spans="1:23">
      <c r="A97" s="40">
        <v>95</v>
      </c>
      <c r="B97" s="41">
        <v>2151067076</v>
      </c>
      <c r="C97" s="42" t="s">
        <v>4478</v>
      </c>
      <c r="D97" s="42" t="s">
        <v>760</v>
      </c>
      <c r="E97" s="43" t="s">
        <v>7158</v>
      </c>
      <c r="F97" s="42" t="s">
        <v>4352</v>
      </c>
      <c r="G97" s="42" t="s">
        <v>4479</v>
      </c>
      <c r="H97" s="43"/>
      <c r="I97" s="42"/>
      <c r="J97" s="42" t="s">
        <v>4480</v>
      </c>
      <c r="K97" s="42" t="s">
        <v>1895</v>
      </c>
      <c r="L97" s="42" t="s">
        <v>4481</v>
      </c>
      <c r="M97" s="42" t="s">
        <v>4482</v>
      </c>
      <c r="N97" s="42" t="s">
        <v>4483</v>
      </c>
      <c r="O97" s="42"/>
      <c r="P97" s="42" t="s">
        <v>4484</v>
      </c>
      <c r="Q97" s="42"/>
      <c r="R97" s="42" t="s">
        <v>233</v>
      </c>
      <c r="S97" s="42" t="s">
        <v>553</v>
      </c>
      <c r="T97" s="42" t="s">
        <v>4139</v>
      </c>
      <c r="U97" s="42" t="s">
        <v>498</v>
      </c>
      <c r="V97" s="44" t="s">
        <v>3892</v>
      </c>
      <c r="W97" s="42" t="s">
        <v>3892</v>
      </c>
    </row>
    <row r="98" spans="1:23">
      <c r="A98" s="40">
        <v>96</v>
      </c>
      <c r="B98" s="41">
        <v>2151067077</v>
      </c>
      <c r="C98" s="42" t="s">
        <v>240</v>
      </c>
      <c r="D98" s="42" t="s">
        <v>760</v>
      </c>
      <c r="E98" s="43" t="s">
        <v>7159</v>
      </c>
      <c r="F98" s="42" t="s">
        <v>3938</v>
      </c>
      <c r="G98" s="42" t="s">
        <v>4485</v>
      </c>
      <c r="H98" s="43">
        <v>44320</v>
      </c>
      <c r="I98" s="42"/>
      <c r="J98" s="42" t="s">
        <v>4486</v>
      </c>
      <c r="K98" s="42" t="s">
        <v>1895</v>
      </c>
      <c r="L98" s="42" t="s">
        <v>4487</v>
      </c>
      <c r="M98" s="42" t="s">
        <v>4488</v>
      </c>
      <c r="N98" s="42" t="s">
        <v>4489</v>
      </c>
      <c r="O98" s="42"/>
      <c r="P98" s="42" t="s">
        <v>4490</v>
      </c>
      <c r="Q98" s="42"/>
      <c r="R98" s="42" t="s">
        <v>233</v>
      </c>
      <c r="S98" s="42" t="s">
        <v>553</v>
      </c>
      <c r="T98" s="42" t="s">
        <v>4139</v>
      </c>
      <c r="U98" s="42" t="s">
        <v>498</v>
      </c>
      <c r="V98" s="44" t="s">
        <v>3892</v>
      </c>
      <c r="W98" s="42" t="s">
        <v>3892</v>
      </c>
    </row>
    <row r="99" spans="1:23">
      <c r="A99" s="40">
        <v>97</v>
      </c>
      <c r="B99" s="41">
        <v>2151067251</v>
      </c>
      <c r="C99" s="42" t="s">
        <v>4491</v>
      </c>
      <c r="D99" s="42" t="s">
        <v>760</v>
      </c>
      <c r="E99" s="43" t="s">
        <v>7160</v>
      </c>
      <c r="F99" s="42" t="s">
        <v>3900</v>
      </c>
      <c r="G99" s="42" t="s">
        <v>4492</v>
      </c>
      <c r="H99" s="43"/>
      <c r="I99" s="42"/>
      <c r="J99" s="42" t="s">
        <v>4493</v>
      </c>
      <c r="K99" s="42" t="s">
        <v>1895</v>
      </c>
      <c r="L99" s="42" t="s">
        <v>4494</v>
      </c>
      <c r="M99" s="42" t="s">
        <v>4495</v>
      </c>
      <c r="N99" s="42" t="s">
        <v>4496</v>
      </c>
      <c r="O99" s="42"/>
      <c r="P99" s="42" t="s">
        <v>4497</v>
      </c>
      <c r="Q99" s="42"/>
      <c r="R99" s="42" t="s">
        <v>233</v>
      </c>
      <c r="S99" s="42" t="s">
        <v>553</v>
      </c>
      <c r="T99" s="42" t="s">
        <v>4139</v>
      </c>
      <c r="U99" s="42" t="s">
        <v>498</v>
      </c>
      <c r="V99" s="44" t="s">
        <v>3892</v>
      </c>
      <c r="W99" s="42" t="s">
        <v>3892</v>
      </c>
    </row>
    <row r="100" spans="1:23">
      <c r="A100" s="40">
        <v>98</v>
      </c>
      <c r="B100" s="41">
        <v>2151067605</v>
      </c>
      <c r="C100" s="42" t="s">
        <v>4498</v>
      </c>
      <c r="D100" s="42" t="s">
        <v>760</v>
      </c>
      <c r="E100" s="43" t="s">
        <v>7161</v>
      </c>
      <c r="F100" s="42" t="s">
        <v>3938</v>
      </c>
      <c r="G100" s="42" t="s">
        <v>4499</v>
      </c>
      <c r="H100" s="43">
        <v>44299</v>
      </c>
      <c r="I100" s="42"/>
      <c r="J100" s="42" t="s">
        <v>4500</v>
      </c>
      <c r="K100" s="42" t="s">
        <v>1895</v>
      </c>
      <c r="L100" s="42" t="s">
        <v>627</v>
      </c>
      <c r="M100" s="42" t="s">
        <v>4501</v>
      </c>
      <c r="N100" s="42" t="s">
        <v>4502</v>
      </c>
      <c r="O100" s="42"/>
      <c r="P100" s="42" t="s">
        <v>4503</v>
      </c>
      <c r="Q100" s="42"/>
      <c r="R100" s="42" t="s">
        <v>233</v>
      </c>
      <c r="S100" s="42" t="s">
        <v>553</v>
      </c>
      <c r="T100" s="42" t="s">
        <v>4139</v>
      </c>
      <c r="U100" s="42" t="s">
        <v>498</v>
      </c>
      <c r="V100" s="44" t="s">
        <v>3892</v>
      </c>
      <c r="W100" s="42" t="s">
        <v>3892</v>
      </c>
    </row>
    <row r="101" spans="1:23" ht="105">
      <c r="A101" s="40">
        <v>99</v>
      </c>
      <c r="B101" s="41">
        <v>2151017349</v>
      </c>
      <c r="C101" s="42" t="s">
        <v>3782</v>
      </c>
      <c r="D101" s="42" t="s">
        <v>760</v>
      </c>
      <c r="E101" s="43" t="s">
        <v>3773</v>
      </c>
      <c r="F101" s="42" t="s">
        <v>4504</v>
      </c>
      <c r="G101" s="42" t="s">
        <v>4505</v>
      </c>
      <c r="H101" s="43">
        <v>44573</v>
      </c>
      <c r="I101" s="42"/>
      <c r="J101" s="42" t="s">
        <v>4506</v>
      </c>
      <c r="K101" s="42" t="s">
        <v>1895</v>
      </c>
      <c r="L101" s="42" t="s">
        <v>525</v>
      </c>
      <c r="M101" s="42" t="s">
        <v>4507</v>
      </c>
      <c r="N101" s="42" t="s">
        <v>4508</v>
      </c>
      <c r="O101" s="42"/>
      <c r="P101" s="42" t="s">
        <v>4509</v>
      </c>
      <c r="Q101" s="42"/>
      <c r="R101" s="42" t="s">
        <v>458</v>
      </c>
      <c r="S101" s="42" t="s">
        <v>540</v>
      </c>
      <c r="T101" s="42" t="s">
        <v>3891</v>
      </c>
      <c r="U101" s="42" t="s">
        <v>498</v>
      </c>
      <c r="V101" s="44" t="s">
        <v>4510</v>
      </c>
      <c r="W101" s="42" t="s">
        <v>3905</v>
      </c>
    </row>
    <row r="102" spans="1:23" ht="195">
      <c r="A102" s="40">
        <v>100</v>
      </c>
      <c r="B102" s="41">
        <v>2151047535</v>
      </c>
      <c r="C102" s="42" t="s">
        <v>4511</v>
      </c>
      <c r="D102" s="42" t="s">
        <v>760</v>
      </c>
      <c r="E102" s="43" t="s">
        <v>1260</v>
      </c>
      <c r="F102" s="42" t="s">
        <v>4512</v>
      </c>
      <c r="G102" s="42" t="s">
        <v>4513</v>
      </c>
      <c r="H102" s="43">
        <v>44827.583333333336</v>
      </c>
      <c r="I102" s="42" t="s">
        <v>4514</v>
      </c>
      <c r="J102" s="42" t="s">
        <v>4515</v>
      </c>
      <c r="K102" s="42" t="s">
        <v>2135</v>
      </c>
      <c r="L102" s="42" t="s">
        <v>554</v>
      </c>
      <c r="M102" s="42" t="s">
        <v>4516</v>
      </c>
      <c r="N102" s="42" t="s">
        <v>4517</v>
      </c>
      <c r="O102" s="42"/>
      <c r="P102" s="42" t="s">
        <v>4518</v>
      </c>
      <c r="Q102" s="42"/>
      <c r="R102" s="42" t="s">
        <v>458</v>
      </c>
      <c r="S102" s="42" t="s">
        <v>540</v>
      </c>
      <c r="T102" s="42" t="s">
        <v>3891</v>
      </c>
      <c r="U102" s="42" t="s">
        <v>498</v>
      </c>
      <c r="V102" s="44" t="s">
        <v>4519</v>
      </c>
      <c r="W102" s="42" t="s">
        <v>3905</v>
      </c>
    </row>
    <row r="103" spans="1:23" ht="30">
      <c r="A103" s="40">
        <v>101</v>
      </c>
      <c r="B103" s="41">
        <v>2151017207</v>
      </c>
      <c r="C103" s="42" t="s">
        <v>4520</v>
      </c>
      <c r="D103" s="42" t="s">
        <v>760</v>
      </c>
      <c r="E103" s="43" t="s">
        <v>2721</v>
      </c>
      <c r="F103" s="42" t="s">
        <v>1049</v>
      </c>
      <c r="G103" s="42" t="s">
        <v>4521</v>
      </c>
      <c r="H103" s="43"/>
      <c r="I103" s="42"/>
      <c r="J103" s="42" t="s">
        <v>4522</v>
      </c>
      <c r="K103" s="42" t="s">
        <v>1895</v>
      </c>
      <c r="L103" s="42" t="s">
        <v>4523</v>
      </c>
      <c r="M103" s="42" t="s">
        <v>4524</v>
      </c>
      <c r="N103" s="42" t="s">
        <v>4525</v>
      </c>
      <c r="O103" s="42"/>
      <c r="P103" s="42" t="s">
        <v>4526</v>
      </c>
      <c r="Q103" s="42"/>
      <c r="R103" s="42" t="s">
        <v>458</v>
      </c>
      <c r="S103" s="42" t="s">
        <v>540</v>
      </c>
      <c r="T103" s="42" t="s">
        <v>3891</v>
      </c>
      <c r="U103" s="42" t="s">
        <v>498</v>
      </c>
      <c r="V103" s="44" t="s">
        <v>4527</v>
      </c>
      <c r="W103" s="42" t="s">
        <v>3892</v>
      </c>
    </row>
    <row r="104" spans="1:23" ht="30">
      <c r="A104" s="40">
        <v>102</v>
      </c>
      <c r="B104" s="41">
        <v>2151017350</v>
      </c>
      <c r="C104" s="42" t="s">
        <v>3785</v>
      </c>
      <c r="D104" s="42" t="s">
        <v>765</v>
      </c>
      <c r="E104" s="43" t="s">
        <v>2266</v>
      </c>
      <c r="F104" s="42" t="s">
        <v>804</v>
      </c>
      <c r="G104" s="42" t="s">
        <v>3784</v>
      </c>
      <c r="H104" s="43"/>
      <c r="I104" s="42"/>
      <c r="J104" s="42" t="s">
        <v>4528</v>
      </c>
      <c r="K104" s="42" t="s">
        <v>1895</v>
      </c>
      <c r="L104" s="42" t="s">
        <v>527</v>
      </c>
      <c r="M104" s="42" t="s">
        <v>4529</v>
      </c>
      <c r="N104" s="42" t="s">
        <v>4530</v>
      </c>
      <c r="O104" s="42"/>
      <c r="P104" s="42" t="s">
        <v>4490</v>
      </c>
      <c r="Q104" s="42"/>
      <c r="R104" s="42" t="s">
        <v>458</v>
      </c>
      <c r="S104" s="42" t="s">
        <v>540</v>
      </c>
      <c r="T104" s="42" t="s">
        <v>3891</v>
      </c>
      <c r="U104" s="42" t="s">
        <v>498</v>
      </c>
      <c r="V104" s="44" t="s">
        <v>4527</v>
      </c>
      <c r="W104" s="42" t="s">
        <v>3892</v>
      </c>
    </row>
    <row r="105" spans="1:23" ht="30">
      <c r="A105" s="40">
        <v>103</v>
      </c>
      <c r="B105" s="41">
        <v>2151017506</v>
      </c>
      <c r="C105" s="42" t="s">
        <v>465</v>
      </c>
      <c r="D105" s="42" t="s">
        <v>760</v>
      </c>
      <c r="E105" s="43" t="s">
        <v>7162</v>
      </c>
      <c r="F105" s="42" t="s">
        <v>4531</v>
      </c>
      <c r="G105" s="42" t="s">
        <v>4532</v>
      </c>
      <c r="H105" s="43"/>
      <c r="I105" s="42"/>
      <c r="J105" s="42" t="s">
        <v>4533</v>
      </c>
      <c r="K105" s="42" t="s">
        <v>1895</v>
      </c>
      <c r="L105" s="42" t="s">
        <v>520</v>
      </c>
      <c r="M105" s="42" t="s">
        <v>4534</v>
      </c>
      <c r="N105" s="42" t="s">
        <v>4535</v>
      </c>
      <c r="O105" s="42"/>
      <c r="P105" s="42" t="s">
        <v>4536</v>
      </c>
      <c r="Q105" s="42"/>
      <c r="R105" s="42" t="s">
        <v>458</v>
      </c>
      <c r="S105" s="42" t="s">
        <v>540</v>
      </c>
      <c r="T105" s="42" t="s">
        <v>3891</v>
      </c>
      <c r="U105" s="42" t="s">
        <v>498</v>
      </c>
      <c r="V105" s="44" t="s">
        <v>4527</v>
      </c>
      <c r="W105" s="42" t="s">
        <v>3892</v>
      </c>
    </row>
    <row r="106" spans="1:23" ht="30">
      <c r="A106" s="40">
        <v>104</v>
      </c>
      <c r="B106" s="41">
        <v>2151017511</v>
      </c>
      <c r="C106" s="42" t="s">
        <v>4537</v>
      </c>
      <c r="D106" s="42" t="s">
        <v>760</v>
      </c>
      <c r="E106" s="43" t="s">
        <v>3778</v>
      </c>
      <c r="F106" s="42" t="s">
        <v>3900</v>
      </c>
      <c r="G106" s="42" t="s">
        <v>4538</v>
      </c>
      <c r="H106" s="43"/>
      <c r="I106" s="42"/>
      <c r="J106" s="42" t="s">
        <v>4539</v>
      </c>
      <c r="K106" s="42" t="s">
        <v>1895</v>
      </c>
      <c r="L106" s="42" t="s">
        <v>527</v>
      </c>
      <c r="M106" s="42" t="s">
        <v>4540</v>
      </c>
      <c r="N106" s="42"/>
      <c r="O106" s="42"/>
      <c r="P106" s="42" t="s">
        <v>4541</v>
      </c>
      <c r="Q106" s="42"/>
      <c r="R106" s="42" t="s">
        <v>458</v>
      </c>
      <c r="S106" s="42" t="s">
        <v>540</v>
      </c>
      <c r="T106" s="42" t="s">
        <v>3891</v>
      </c>
      <c r="U106" s="42" t="s">
        <v>498</v>
      </c>
      <c r="V106" s="44" t="s">
        <v>4527</v>
      </c>
      <c r="W106" s="42" t="s">
        <v>3892</v>
      </c>
    </row>
    <row r="107" spans="1:23" ht="195">
      <c r="A107" s="40">
        <v>105</v>
      </c>
      <c r="B107" s="41">
        <v>2151017017</v>
      </c>
      <c r="C107" s="42" t="s">
        <v>4542</v>
      </c>
      <c r="D107" s="42" t="s">
        <v>760</v>
      </c>
      <c r="E107" s="43" t="s">
        <v>7143</v>
      </c>
      <c r="F107" s="42"/>
      <c r="G107" s="42" t="s">
        <v>4543</v>
      </c>
      <c r="H107" s="43"/>
      <c r="I107" s="42"/>
      <c r="J107" s="42" t="s">
        <v>4544</v>
      </c>
      <c r="K107" s="42" t="s">
        <v>4545</v>
      </c>
      <c r="L107" s="42" t="s">
        <v>4545</v>
      </c>
      <c r="M107" s="42" t="s">
        <v>4546</v>
      </c>
      <c r="N107" s="42"/>
      <c r="O107" s="42"/>
      <c r="P107" s="42"/>
      <c r="Q107" s="42"/>
      <c r="R107" s="42" t="s">
        <v>458</v>
      </c>
      <c r="S107" s="42" t="s">
        <v>540</v>
      </c>
      <c r="T107" s="42" t="s">
        <v>3891</v>
      </c>
      <c r="U107" s="42" t="s">
        <v>498</v>
      </c>
      <c r="V107" s="44" t="s">
        <v>4547</v>
      </c>
      <c r="W107" s="42" t="s">
        <v>3905</v>
      </c>
    </row>
    <row r="108" spans="1:23" ht="30">
      <c r="A108" s="40">
        <v>106</v>
      </c>
      <c r="B108" s="41">
        <v>2151017361</v>
      </c>
      <c r="C108" s="42" t="s">
        <v>603</v>
      </c>
      <c r="D108" s="42" t="s">
        <v>760</v>
      </c>
      <c r="E108" s="43" t="s">
        <v>7163</v>
      </c>
      <c r="F108" s="42" t="s">
        <v>761</v>
      </c>
      <c r="G108" s="42" t="s">
        <v>3808</v>
      </c>
      <c r="H108" s="43"/>
      <c r="I108" s="42"/>
      <c r="J108" s="42" t="s">
        <v>4548</v>
      </c>
      <c r="K108" s="42" t="s">
        <v>1895</v>
      </c>
      <c r="L108" s="42" t="s">
        <v>538</v>
      </c>
      <c r="M108" s="42" t="s">
        <v>4549</v>
      </c>
      <c r="N108" s="42" t="s">
        <v>4550</v>
      </c>
      <c r="O108" s="42"/>
      <c r="P108" s="42" t="s">
        <v>4551</v>
      </c>
      <c r="Q108" s="42"/>
      <c r="R108" s="42" t="s">
        <v>458</v>
      </c>
      <c r="S108" s="42" t="s">
        <v>540</v>
      </c>
      <c r="T108" s="42" t="s">
        <v>3891</v>
      </c>
      <c r="U108" s="42" t="s">
        <v>498</v>
      </c>
      <c r="V108" s="44" t="s">
        <v>4527</v>
      </c>
      <c r="W108" s="42" t="s">
        <v>3892</v>
      </c>
    </row>
    <row r="109" spans="1:23" ht="135">
      <c r="A109" s="40">
        <v>107</v>
      </c>
      <c r="B109" s="41">
        <v>2151017519</v>
      </c>
      <c r="C109" s="42" t="s">
        <v>4552</v>
      </c>
      <c r="D109" s="42" t="s">
        <v>760</v>
      </c>
      <c r="E109" s="43" t="s">
        <v>7164</v>
      </c>
      <c r="F109" s="42" t="s">
        <v>4553</v>
      </c>
      <c r="G109" s="42" t="s">
        <v>4554</v>
      </c>
      <c r="H109" s="43"/>
      <c r="I109" s="42"/>
      <c r="J109" s="42" t="s">
        <v>4555</v>
      </c>
      <c r="K109" s="42" t="s">
        <v>1895</v>
      </c>
      <c r="L109" s="42" t="s">
        <v>535</v>
      </c>
      <c r="M109" s="42" t="s">
        <v>4556</v>
      </c>
      <c r="N109" s="42" t="s">
        <v>4557</v>
      </c>
      <c r="O109" s="42"/>
      <c r="P109" s="42" t="s">
        <v>4558</v>
      </c>
      <c r="Q109" s="42"/>
      <c r="R109" s="42" t="s">
        <v>458</v>
      </c>
      <c r="S109" s="42" t="s">
        <v>540</v>
      </c>
      <c r="T109" s="42" t="s">
        <v>3891</v>
      </c>
      <c r="U109" s="42" t="s">
        <v>498</v>
      </c>
      <c r="V109" s="44" t="s">
        <v>4559</v>
      </c>
      <c r="W109" s="42" t="s">
        <v>3905</v>
      </c>
    </row>
    <row r="110" spans="1:23" ht="135">
      <c r="A110" s="40">
        <v>108</v>
      </c>
      <c r="B110" s="41">
        <v>2151017521</v>
      </c>
      <c r="C110" s="42" t="s">
        <v>4560</v>
      </c>
      <c r="D110" s="42" t="s">
        <v>760</v>
      </c>
      <c r="E110" s="43" t="s">
        <v>3834</v>
      </c>
      <c r="F110" s="42" t="s">
        <v>790</v>
      </c>
      <c r="G110" s="42" t="s">
        <v>4561</v>
      </c>
      <c r="H110" s="43"/>
      <c r="I110" s="42"/>
      <c r="J110" s="42" t="s">
        <v>4562</v>
      </c>
      <c r="K110" s="42" t="s">
        <v>1895</v>
      </c>
      <c r="L110" s="42" t="s">
        <v>537</v>
      </c>
      <c r="M110" s="42" t="s">
        <v>4563</v>
      </c>
      <c r="N110" s="42" t="s">
        <v>4564</v>
      </c>
      <c r="O110" s="42" t="s">
        <v>4565</v>
      </c>
      <c r="P110" s="42" t="s">
        <v>4566</v>
      </c>
      <c r="Q110" s="42" t="s">
        <v>4567</v>
      </c>
      <c r="R110" s="42" t="s">
        <v>458</v>
      </c>
      <c r="S110" s="42" t="s">
        <v>540</v>
      </c>
      <c r="T110" s="42" t="s">
        <v>3891</v>
      </c>
      <c r="U110" s="42" t="s">
        <v>498</v>
      </c>
      <c r="V110" s="44" t="s">
        <v>4568</v>
      </c>
      <c r="W110" s="42" t="s">
        <v>3905</v>
      </c>
    </row>
    <row r="111" spans="1:23" ht="30">
      <c r="A111" s="40">
        <v>109</v>
      </c>
      <c r="B111" s="41">
        <v>2151017500</v>
      </c>
      <c r="C111" s="42" t="s">
        <v>264</v>
      </c>
      <c r="D111" s="42" t="s">
        <v>760</v>
      </c>
      <c r="E111" s="43" t="s">
        <v>7150</v>
      </c>
      <c r="F111" s="42" t="s">
        <v>1116</v>
      </c>
      <c r="G111" s="42" t="s">
        <v>4569</v>
      </c>
      <c r="H111" s="43"/>
      <c r="I111" s="42"/>
      <c r="J111" s="42" t="s">
        <v>4570</v>
      </c>
      <c r="K111" s="42" t="s">
        <v>1895</v>
      </c>
      <c r="L111" s="42" t="s">
        <v>508</v>
      </c>
      <c r="M111" s="42" t="s">
        <v>4571</v>
      </c>
      <c r="N111" s="42" t="s">
        <v>4572</v>
      </c>
      <c r="O111" s="42"/>
      <c r="P111" s="42" t="s">
        <v>4573</v>
      </c>
      <c r="Q111" s="42"/>
      <c r="R111" s="42" t="s">
        <v>257</v>
      </c>
      <c r="S111" s="42" t="s">
        <v>258</v>
      </c>
      <c r="T111" s="42" t="s">
        <v>4574</v>
      </c>
      <c r="U111" s="42" t="s">
        <v>498</v>
      </c>
      <c r="V111" s="44" t="s">
        <v>4527</v>
      </c>
      <c r="W111" s="42" t="s">
        <v>3892</v>
      </c>
    </row>
    <row r="112" spans="1:23" ht="30">
      <c r="A112" s="40">
        <v>110</v>
      </c>
      <c r="B112" s="41">
        <v>2151017501</v>
      </c>
      <c r="C112" s="42" t="s">
        <v>4575</v>
      </c>
      <c r="D112" s="42" t="s">
        <v>760</v>
      </c>
      <c r="E112" s="43" t="s">
        <v>2835</v>
      </c>
      <c r="F112" s="42" t="s">
        <v>761</v>
      </c>
      <c r="G112" s="42" t="s">
        <v>4576</v>
      </c>
      <c r="H112" s="43"/>
      <c r="I112" s="42"/>
      <c r="J112" s="42" t="s">
        <v>4577</v>
      </c>
      <c r="K112" s="42" t="s">
        <v>1895</v>
      </c>
      <c r="L112" s="42" t="s">
        <v>511</v>
      </c>
      <c r="M112" s="42" t="s">
        <v>4578</v>
      </c>
      <c r="N112" s="42" t="s">
        <v>4579</v>
      </c>
      <c r="O112" s="42"/>
      <c r="P112" s="42" t="s">
        <v>4580</v>
      </c>
      <c r="Q112" s="42"/>
      <c r="R112" s="42" t="s">
        <v>257</v>
      </c>
      <c r="S112" s="42" t="s">
        <v>258</v>
      </c>
      <c r="T112" s="42" t="s">
        <v>4574</v>
      </c>
      <c r="U112" s="42" t="s">
        <v>498</v>
      </c>
      <c r="V112" s="44" t="s">
        <v>4527</v>
      </c>
      <c r="W112" s="42" t="s">
        <v>3892</v>
      </c>
    </row>
    <row r="113" spans="1:23" ht="30">
      <c r="A113" s="40">
        <v>111</v>
      </c>
      <c r="B113" s="41">
        <v>2151017502</v>
      </c>
      <c r="C113" s="42" t="s">
        <v>256</v>
      </c>
      <c r="D113" s="42" t="s">
        <v>760</v>
      </c>
      <c r="E113" s="43" t="s">
        <v>7165</v>
      </c>
      <c r="F113" s="42" t="s">
        <v>4581</v>
      </c>
      <c r="G113" s="42" t="s">
        <v>4582</v>
      </c>
      <c r="H113" s="43"/>
      <c r="I113" s="42"/>
      <c r="J113" s="42" t="s">
        <v>4583</v>
      </c>
      <c r="K113" s="42" t="s">
        <v>1895</v>
      </c>
      <c r="L113" s="42" t="s">
        <v>513</v>
      </c>
      <c r="M113" s="42" t="s">
        <v>4584</v>
      </c>
      <c r="N113" s="42" t="s">
        <v>4585</v>
      </c>
      <c r="O113" s="42"/>
      <c r="P113" s="42" t="s">
        <v>4586</v>
      </c>
      <c r="Q113" s="42"/>
      <c r="R113" s="42" t="s">
        <v>257</v>
      </c>
      <c r="S113" s="42" t="s">
        <v>258</v>
      </c>
      <c r="T113" s="42" t="s">
        <v>4574</v>
      </c>
      <c r="U113" s="42" t="s">
        <v>498</v>
      </c>
      <c r="V113" s="44" t="s">
        <v>4527</v>
      </c>
      <c r="W113" s="42" t="s">
        <v>3892</v>
      </c>
    </row>
    <row r="114" spans="1:23" ht="30">
      <c r="A114" s="40">
        <v>112</v>
      </c>
      <c r="B114" s="41">
        <v>2151017211</v>
      </c>
      <c r="C114" s="42" t="s">
        <v>266</v>
      </c>
      <c r="D114" s="42" t="s">
        <v>760</v>
      </c>
      <c r="E114" s="43" t="s">
        <v>7166</v>
      </c>
      <c r="F114" s="42" t="s">
        <v>857</v>
      </c>
      <c r="G114" s="42" t="s">
        <v>4587</v>
      </c>
      <c r="H114" s="43"/>
      <c r="I114" s="42"/>
      <c r="J114" s="42" t="s">
        <v>4588</v>
      </c>
      <c r="K114" s="42" t="s">
        <v>1895</v>
      </c>
      <c r="L114" s="42" t="s">
        <v>4589</v>
      </c>
      <c r="M114" s="42" t="s">
        <v>4590</v>
      </c>
      <c r="N114" s="42" t="s">
        <v>4591</v>
      </c>
      <c r="O114" s="42"/>
      <c r="P114" s="42" t="s">
        <v>4592</v>
      </c>
      <c r="Q114" s="42"/>
      <c r="R114" s="42" t="s">
        <v>257</v>
      </c>
      <c r="S114" s="42" t="s">
        <v>258</v>
      </c>
      <c r="T114" s="42" t="s">
        <v>4574</v>
      </c>
      <c r="U114" s="42" t="s">
        <v>498</v>
      </c>
      <c r="V114" s="44" t="s">
        <v>4527</v>
      </c>
      <c r="W114" s="42" t="s">
        <v>3892</v>
      </c>
    </row>
    <row r="115" spans="1:23" ht="30">
      <c r="A115" s="40">
        <v>113</v>
      </c>
      <c r="B115" s="41">
        <v>2151017347</v>
      </c>
      <c r="C115" s="42" t="s">
        <v>272</v>
      </c>
      <c r="D115" s="42" t="s">
        <v>765</v>
      </c>
      <c r="E115" s="43" t="s">
        <v>3779</v>
      </c>
      <c r="F115" s="42" t="s">
        <v>1049</v>
      </c>
      <c r="G115" s="42" t="s">
        <v>4593</v>
      </c>
      <c r="H115" s="43"/>
      <c r="I115" s="42"/>
      <c r="J115" s="42" t="s">
        <v>4594</v>
      </c>
      <c r="K115" s="42" t="s">
        <v>1895</v>
      </c>
      <c r="L115" s="42" t="s">
        <v>523</v>
      </c>
      <c r="M115" s="42" t="s">
        <v>4595</v>
      </c>
      <c r="N115" s="42" t="s">
        <v>4596</v>
      </c>
      <c r="O115" s="42"/>
      <c r="P115" s="42" t="s">
        <v>4597</v>
      </c>
      <c r="Q115" s="42"/>
      <c r="R115" s="42" t="s">
        <v>257</v>
      </c>
      <c r="S115" s="42" t="s">
        <v>258</v>
      </c>
      <c r="T115" s="42" t="s">
        <v>4574</v>
      </c>
      <c r="U115" s="42" t="s">
        <v>498</v>
      </c>
      <c r="V115" s="44" t="s">
        <v>4527</v>
      </c>
      <c r="W115" s="42" t="s">
        <v>3892</v>
      </c>
    </row>
    <row r="116" spans="1:23" ht="90">
      <c r="A116" s="40">
        <v>114</v>
      </c>
      <c r="B116" s="41">
        <v>2151017015</v>
      </c>
      <c r="C116" s="42" t="s">
        <v>4598</v>
      </c>
      <c r="D116" s="42" t="s">
        <v>760</v>
      </c>
      <c r="E116" s="43" t="s">
        <v>7106</v>
      </c>
      <c r="F116" s="42" t="s">
        <v>3900</v>
      </c>
      <c r="G116" s="42" t="s">
        <v>4599</v>
      </c>
      <c r="H116" s="43"/>
      <c r="I116" s="42"/>
      <c r="J116" s="42" t="s">
        <v>4600</v>
      </c>
      <c r="K116" s="42" t="s">
        <v>1895</v>
      </c>
      <c r="L116" s="42" t="s">
        <v>4601</v>
      </c>
      <c r="M116" s="42" t="s">
        <v>4602</v>
      </c>
      <c r="N116" s="42" t="s">
        <v>4603</v>
      </c>
      <c r="O116" s="42"/>
      <c r="P116" s="42" t="s">
        <v>1226</v>
      </c>
      <c r="Q116" s="42"/>
      <c r="R116" s="42" t="s">
        <v>257</v>
      </c>
      <c r="S116" s="42" t="s">
        <v>258</v>
      </c>
      <c r="T116" s="42" t="s">
        <v>4574</v>
      </c>
      <c r="U116" s="42" t="s">
        <v>498</v>
      </c>
      <c r="V116" s="44" t="s">
        <v>4604</v>
      </c>
      <c r="W116" s="42" t="s">
        <v>3905</v>
      </c>
    </row>
    <row r="117" spans="1:23" ht="30">
      <c r="A117" s="40">
        <v>115</v>
      </c>
      <c r="B117" s="41">
        <v>2151017214</v>
      </c>
      <c r="C117" s="42" t="s">
        <v>278</v>
      </c>
      <c r="D117" s="42" t="s">
        <v>765</v>
      </c>
      <c r="E117" s="43" t="s">
        <v>7167</v>
      </c>
      <c r="F117" s="42" t="s">
        <v>835</v>
      </c>
      <c r="G117" s="42" t="s">
        <v>4605</v>
      </c>
      <c r="H117" s="43"/>
      <c r="I117" s="42"/>
      <c r="J117" s="42" t="s">
        <v>4606</v>
      </c>
      <c r="K117" s="42" t="s">
        <v>1895</v>
      </c>
      <c r="L117" s="42" t="s">
        <v>4607</v>
      </c>
      <c r="M117" s="42" t="s">
        <v>4608</v>
      </c>
      <c r="N117" s="42" t="s">
        <v>4609</v>
      </c>
      <c r="O117" s="42"/>
      <c r="P117" s="42" t="s">
        <v>4610</v>
      </c>
      <c r="Q117" s="42"/>
      <c r="R117" s="42" t="s">
        <v>257</v>
      </c>
      <c r="S117" s="42" t="s">
        <v>258</v>
      </c>
      <c r="T117" s="42" t="s">
        <v>4574</v>
      </c>
      <c r="U117" s="42" t="s">
        <v>498</v>
      </c>
      <c r="V117" s="44" t="s">
        <v>4527</v>
      </c>
      <c r="W117" s="42" t="s">
        <v>3892</v>
      </c>
    </row>
    <row r="118" spans="1:23" ht="30">
      <c r="A118" s="40">
        <v>116</v>
      </c>
      <c r="B118" s="41">
        <v>2154077856</v>
      </c>
      <c r="C118" s="42" t="s">
        <v>268</v>
      </c>
      <c r="D118" s="42" t="s">
        <v>765</v>
      </c>
      <c r="E118" s="43" t="s">
        <v>7125</v>
      </c>
      <c r="F118" s="42" t="s">
        <v>776</v>
      </c>
      <c r="G118" s="42" t="s">
        <v>4611</v>
      </c>
      <c r="H118" s="43"/>
      <c r="I118" s="42"/>
      <c r="J118" s="42" t="s">
        <v>4612</v>
      </c>
      <c r="K118" s="42" t="s">
        <v>1895</v>
      </c>
      <c r="L118" s="42" t="s">
        <v>4613</v>
      </c>
      <c r="M118" s="42" t="s">
        <v>4614</v>
      </c>
      <c r="N118" s="42" t="s">
        <v>1980</v>
      </c>
      <c r="O118" s="42"/>
      <c r="P118" s="42" t="s">
        <v>4615</v>
      </c>
      <c r="Q118" s="42"/>
      <c r="R118" s="42" t="s">
        <v>257</v>
      </c>
      <c r="S118" s="42" t="s">
        <v>258</v>
      </c>
      <c r="T118" s="42" t="s">
        <v>4574</v>
      </c>
      <c r="U118" s="42" t="s">
        <v>498</v>
      </c>
      <c r="V118" s="44" t="s">
        <v>4527</v>
      </c>
      <c r="W118" s="42" t="s">
        <v>3892</v>
      </c>
    </row>
    <row r="119" spans="1:23" ht="30">
      <c r="A119" s="40">
        <v>117</v>
      </c>
      <c r="B119" s="41">
        <v>2151017356</v>
      </c>
      <c r="C119" s="42" t="s">
        <v>262</v>
      </c>
      <c r="D119" s="42" t="s">
        <v>765</v>
      </c>
      <c r="E119" s="43" t="s">
        <v>3797</v>
      </c>
      <c r="F119" s="42" t="s">
        <v>892</v>
      </c>
      <c r="G119" s="42" t="s">
        <v>3796</v>
      </c>
      <c r="H119" s="43"/>
      <c r="I119" s="42"/>
      <c r="J119" s="42" t="s">
        <v>4616</v>
      </c>
      <c r="K119" s="42" t="s">
        <v>1895</v>
      </c>
      <c r="L119" s="42" t="s">
        <v>533</v>
      </c>
      <c r="M119" s="42" t="s">
        <v>4617</v>
      </c>
      <c r="N119" s="42" t="s">
        <v>4618</v>
      </c>
      <c r="O119" s="42"/>
      <c r="P119" s="42" t="s">
        <v>4619</v>
      </c>
      <c r="Q119" s="42"/>
      <c r="R119" s="42" t="s">
        <v>257</v>
      </c>
      <c r="S119" s="42" t="s">
        <v>258</v>
      </c>
      <c r="T119" s="42" t="s">
        <v>4574</v>
      </c>
      <c r="U119" s="42" t="s">
        <v>498</v>
      </c>
      <c r="V119" s="44" t="s">
        <v>4527</v>
      </c>
      <c r="W119" s="42" t="s">
        <v>3892</v>
      </c>
    </row>
    <row r="120" spans="1:23" ht="30">
      <c r="A120" s="40">
        <v>118</v>
      </c>
      <c r="B120" s="41">
        <v>2151017217</v>
      </c>
      <c r="C120" s="42" t="s">
        <v>4620</v>
      </c>
      <c r="D120" s="42" t="s">
        <v>760</v>
      </c>
      <c r="E120" s="43" t="s">
        <v>7168</v>
      </c>
      <c r="F120" s="42" t="s">
        <v>835</v>
      </c>
      <c r="G120" s="42" t="s">
        <v>4621</v>
      </c>
      <c r="H120" s="43"/>
      <c r="I120" s="42"/>
      <c r="J120" s="42" t="s">
        <v>4622</v>
      </c>
      <c r="K120" s="42" t="s">
        <v>1895</v>
      </c>
      <c r="L120" s="42" t="s">
        <v>4623</v>
      </c>
      <c r="M120" s="42" t="s">
        <v>4624</v>
      </c>
      <c r="N120" s="42" t="s">
        <v>4625</v>
      </c>
      <c r="O120" s="42"/>
      <c r="P120" s="42" t="s">
        <v>4626</v>
      </c>
      <c r="Q120" s="42"/>
      <c r="R120" s="42" t="s">
        <v>257</v>
      </c>
      <c r="S120" s="42" t="s">
        <v>258</v>
      </c>
      <c r="T120" s="42" t="s">
        <v>4574</v>
      </c>
      <c r="U120" s="42" t="s">
        <v>498</v>
      </c>
      <c r="V120" s="44" t="s">
        <v>4527</v>
      </c>
      <c r="W120" s="42" t="s">
        <v>3892</v>
      </c>
    </row>
    <row r="121" spans="1:23" ht="30">
      <c r="A121" s="40">
        <v>119</v>
      </c>
      <c r="B121" s="41">
        <v>2151017520</v>
      </c>
      <c r="C121" s="42" t="s">
        <v>280</v>
      </c>
      <c r="D121" s="42" t="s">
        <v>760</v>
      </c>
      <c r="E121" s="43" t="s">
        <v>7169</v>
      </c>
      <c r="F121" s="42" t="s">
        <v>821</v>
      </c>
      <c r="G121" s="42" t="s">
        <v>4627</v>
      </c>
      <c r="H121" s="43">
        <v>44964</v>
      </c>
      <c r="I121" s="42"/>
      <c r="J121" s="42" t="s">
        <v>4628</v>
      </c>
      <c r="K121" s="42" t="s">
        <v>1895</v>
      </c>
      <c r="L121" s="42" t="s">
        <v>536</v>
      </c>
      <c r="M121" s="42" t="s">
        <v>4629</v>
      </c>
      <c r="N121" s="42" t="s">
        <v>4630</v>
      </c>
      <c r="O121" s="42"/>
      <c r="P121" s="42" t="s">
        <v>4631</v>
      </c>
      <c r="Q121" s="42"/>
      <c r="R121" s="42" t="s">
        <v>257</v>
      </c>
      <c r="S121" s="42" t="s">
        <v>258</v>
      </c>
      <c r="T121" s="42" t="s">
        <v>4574</v>
      </c>
      <c r="U121" s="42" t="s">
        <v>498</v>
      </c>
      <c r="V121" s="44" t="s">
        <v>4527</v>
      </c>
      <c r="W121" s="42" t="s">
        <v>3892</v>
      </c>
    </row>
    <row r="122" spans="1:23" ht="30">
      <c r="A122" s="40">
        <v>120</v>
      </c>
      <c r="B122" s="41">
        <v>2151017522</v>
      </c>
      <c r="C122" s="42" t="s">
        <v>274</v>
      </c>
      <c r="D122" s="42" t="s">
        <v>760</v>
      </c>
      <c r="E122" s="43" t="s">
        <v>7170</v>
      </c>
      <c r="F122" s="42" t="s">
        <v>4632</v>
      </c>
      <c r="G122" s="42" t="s">
        <v>4633</v>
      </c>
      <c r="H122" s="43"/>
      <c r="I122" s="42"/>
      <c r="J122" s="42" t="s">
        <v>4634</v>
      </c>
      <c r="K122" s="42" t="s">
        <v>1895</v>
      </c>
      <c r="L122" s="42" t="s">
        <v>538</v>
      </c>
      <c r="M122" s="42" t="s">
        <v>4635</v>
      </c>
      <c r="N122" s="42" t="s">
        <v>4636</v>
      </c>
      <c r="O122" s="42"/>
      <c r="P122" s="42" t="s">
        <v>4637</v>
      </c>
      <c r="Q122" s="42"/>
      <c r="R122" s="42" t="s">
        <v>257</v>
      </c>
      <c r="S122" s="42" t="s">
        <v>258</v>
      </c>
      <c r="T122" s="42" t="s">
        <v>4574</v>
      </c>
      <c r="U122" s="42" t="s">
        <v>498</v>
      </c>
      <c r="V122" s="44" t="s">
        <v>4527</v>
      </c>
      <c r="W122" s="42" t="s">
        <v>3892</v>
      </c>
    </row>
    <row r="123" spans="1:23" ht="30">
      <c r="A123" s="40">
        <v>121</v>
      </c>
      <c r="B123" s="41">
        <v>2151017525</v>
      </c>
      <c r="C123" s="42" t="s">
        <v>282</v>
      </c>
      <c r="D123" s="42" t="s">
        <v>760</v>
      </c>
      <c r="E123" s="43" t="s">
        <v>7095</v>
      </c>
      <c r="F123" s="42" t="s">
        <v>761</v>
      </c>
      <c r="G123" s="42" t="s">
        <v>4638</v>
      </c>
      <c r="H123" s="43"/>
      <c r="I123" s="42"/>
      <c r="J123" s="42" t="s">
        <v>4639</v>
      </c>
      <c r="K123" s="42" t="s">
        <v>1895</v>
      </c>
      <c r="L123" s="42" t="s">
        <v>543</v>
      </c>
      <c r="M123" s="42" t="s">
        <v>4232</v>
      </c>
      <c r="N123" s="42" t="s">
        <v>4640</v>
      </c>
      <c r="O123" s="42"/>
      <c r="P123" s="42" t="s">
        <v>4641</v>
      </c>
      <c r="Q123" s="42"/>
      <c r="R123" s="42" t="s">
        <v>257</v>
      </c>
      <c r="S123" s="42" t="s">
        <v>258</v>
      </c>
      <c r="T123" s="42" t="s">
        <v>4574</v>
      </c>
      <c r="U123" s="42" t="s">
        <v>498</v>
      </c>
      <c r="V123" s="44" t="s">
        <v>4527</v>
      </c>
      <c r="W123" s="42" t="s">
        <v>3892</v>
      </c>
    </row>
    <row r="124" spans="1:23" ht="135">
      <c r="A124" s="40">
        <v>122</v>
      </c>
      <c r="B124" s="41">
        <v>2151017527</v>
      </c>
      <c r="C124" s="42" t="s">
        <v>2626</v>
      </c>
      <c r="D124" s="42" t="s">
        <v>760</v>
      </c>
      <c r="E124" s="43" t="s">
        <v>7171</v>
      </c>
      <c r="F124" s="42" t="s">
        <v>3967</v>
      </c>
      <c r="G124" s="42" t="s">
        <v>4642</v>
      </c>
      <c r="H124" s="43"/>
      <c r="I124" s="42"/>
      <c r="J124" s="42" t="s">
        <v>4643</v>
      </c>
      <c r="K124" s="42" t="s">
        <v>1895</v>
      </c>
      <c r="L124" s="42" t="s">
        <v>545</v>
      </c>
      <c r="M124" s="42" t="s">
        <v>4644</v>
      </c>
      <c r="N124" s="42" t="s">
        <v>4645</v>
      </c>
      <c r="O124" s="42"/>
      <c r="P124" s="42" t="s">
        <v>4646</v>
      </c>
      <c r="Q124" s="42"/>
      <c r="R124" s="42" t="s">
        <v>257</v>
      </c>
      <c r="S124" s="42" t="s">
        <v>258</v>
      </c>
      <c r="T124" s="42" t="s">
        <v>4574</v>
      </c>
      <c r="U124" s="42" t="s">
        <v>498</v>
      </c>
      <c r="V124" s="44" t="s">
        <v>4647</v>
      </c>
      <c r="W124" s="42" t="s">
        <v>3905</v>
      </c>
    </row>
    <row r="125" spans="1:23" ht="30">
      <c r="A125" s="40">
        <v>123</v>
      </c>
      <c r="B125" s="41">
        <v>2151017528</v>
      </c>
      <c r="C125" s="42" t="s">
        <v>4648</v>
      </c>
      <c r="D125" s="42" t="s">
        <v>760</v>
      </c>
      <c r="E125" s="43" t="s">
        <v>7165</v>
      </c>
      <c r="F125" s="42"/>
      <c r="G125" s="42" t="s">
        <v>4649</v>
      </c>
      <c r="H125" s="43"/>
      <c r="I125" s="42"/>
      <c r="J125" s="42" t="s">
        <v>4650</v>
      </c>
      <c r="K125" s="42" t="s">
        <v>546</v>
      </c>
      <c r="L125" s="42" t="s">
        <v>546</v>
      </c>
      <c r="M125" s="42" t="s">
        <v>4651</v>
      </c>
      <c r="N125" s="42"/>
      <c r="O125" s="42"/>
      <c r="P125" s="42"/>
      <c r="Q125" s="42"/>
      <c r="R125" s="42" t="s">
        <v>257</v>
      </c>
      <c r="S125" s="42" t="s">
        <v>258</v>
      </c>
      <c r="T125" s="42" t="s">
        <v>4574</v>
      </c>
      <c r="U125" s="42" t="s">
        <v>498</v>
      </c>
      <c r="V125" s="44" t="s">
        <v>4527</v>
      </c>
      <c r="W125" s="42" t="s">
        <v>3892</v>
      </c>
    </row>
    <row r="126" spans="1:23" ht="30">
      <c r="A126" s="40">
        <v>124</v>
      </c>
      <c r="B126" s="41">
        <v>2151017220</v>
      </c>
      <c r="C126" s="42" t="s">
        <v>276</v>
      </c>
      <c r="D126" s="42" t="s">
        <v>760</v>
      </c>
      <c r="E126" s="43" t="s">
        <v>7122</v>
      </c>
      <c r="F126" s="42"/>
      <c r="G126" s="42" t="s">
        <v>4652</v>
      </c>
      <c r="H126" s="43">
        <v>44417</v>
      </c>
      <c r="I126" s="42"/>
      <c r="J126" s="42" t="s">
        <v>4653</v>
      </c>
      <c r="K126" s="42" t="s">
        <v>4654</v>
      </c>
      <c r="L126" s="42" t="s">
        <v>4654</v>
      </c>
      <c r="M126" s="42" t="s">
        <v>4655</v>
      </c>
      <c r="N126" s="42"/>
      <c r="O126" s="42"/>
      <c r="P126" s="42"/>
      <c r="Q126" s="42"/>
      <c r="R126" s="42" t="s">
        <v>257</v>
      </c>
      <c r="S126" s="42" t="s">
        <v>258</v>
      </c>
      <c r="T126" s="42" t="s">
        <v>4574</v>
      </c>
      <c r="U126" s="42" t="s">
        <v>498</v>
      </c>
      <c r="V126" s="44" t="s">
        <v>4527</v>
      </c>
      <c r="W126" s="42" t="s">
        <v>3892</v>
      </c>
    </row>
    <row r="127" spans="1:23" ht="30">
      <c r="A127" s="40">
        <v>125</v>
      </c>
      <c r="B127" s="41">
        <v>2151017362</v>
      </c>
      <c r="C127" s="42" t="s">
        <v>3810</v>
      </c>
      <c r="D127" s="42" t="s">
        <v>760</v>
      </c>
      <c r="E127" s="43" t="s">
        <v>3811</v>
      </c>
      <c r="F127" s="42"/>
      <c r="G127" s="42" t="s">
        <v>4656</v>
      </c>
      <c r="H127" s="43">
        <v>44923</v>
      </c>
      <c r="I127" s="42"/>
      <c r="J127" s="42" t="s">
        <v>4657</v>
      </c>
      <c r="K127" s="42" t="s">
        <v>541</v>
      </c>
      <c r="L127" s="42" t="s">
        <v>541</v>
      </c>
      <c r="M127" s="42" t="s">
        <v>4658</v>
      </c>
      <c r="N127" s="42"/>
      <c r="O127" s="42"/>
      <c r="P127" s="42"/>
      <c r="Q127" s="42"/>
      <c r="R127" s="42" t="s">
        <v>257</v>
      </c>
      <c r="S127" s="42" t="s">
        <v>258</v>
      </c>
      <c r="T127" s="42" t="s">
        <v>4574</v>
      </c>
      <c r="U127" s="42" t="s">
        <v>498</v>
      </c>
      <c r="V127" s="44" t="s">
        <v>4527</v>
      </c>
      <c r="W127" s="42" t="s">
        <v>3892</v>
      </c>
    </row>
    <row r="128" spans="1:23">
      <c r="A128" s="40">
        <v>126</v>
      </c>
      <c r="B128" s="41">
        <v>2151047221</v>
      </c>
      <c r="C128" s="42" t="s">
        <v>428</v>
      </c>
      <c r="D128" s="42" t="s">
        <v>760</v>
      </c>
      <c r="E128" s="43" t="s">
        <v>7172</v>
      </c>
      <c r="F128" s="42" t="s">
        <v>4352</v>
      </c>
      <c r="G128" s="42" t="s">
        <v>4659</v>
      </c>
      <c r="H128" s="43"/>
      <c r="I128" s="42"/>
      <c r="J128" s="42" t="s">
        <v>4660</v>
      </c>
      <c r="K128" s="42" t="s">
        <v>1895</v>
      </c>
      <c r="L128" s="42" t="s">
        <v>4661</v>
      </c>
      <c r="M128" s="42" t="s">
        <v>4662</v>
      </c>
      <c r="N128" s="42" t="s">
        <v>4663</v>
      </c>
      <c r="O128" s="42"/>
      <c r="P128" s="42" t="s">
        <v>4664</v>
      </c>
      <c r="Q128" s="42"/>
      <c r="R128" s="42" t="s">
        <v>386</v>
      </c>
      <c r="S128" s="42" t="s">
        <v>359</v>
      </c>
      <c r="T128" s="42" t="s">
        <v>3891</v>
      </c>
      <c r="U128" s="42" t="s">
        <v>498</v>
      </c>
      <c r="V128" s="44" t="s">
        <v>3892</v>
      </c>
      <c r="W128" s="42" t="s">
        <v>3892</v>
      </c>
    </row>
    <row r="129" spans="1:23">
      <c r="A129" s="40">
        <v>127</v>
      </c>
      <c r="B129" s="41">
        <v>2151047532</v>
      </c>
      <c r="C129" s="42" t="s">
        <v>430</v>
      </c>
      <c r="D129" s="42" t="s">
        <v>765</v>
      </c>
      <c r="E129" s="43" t="s">
        <v>7173</v>
      </c>
      <c r="F129" s="42" t="s">
        <v>899</v>
      </c>
      <c r="G129" s="42" t="s">
        <v>4665</v>
      </c>
      <c r="H129" s="43"/>
      <c r="I129" s="42"/>
      <c r="J129" s="42" t="s">
        <v>4666</v>
      </c>
      <c r="K129" s="42" t="s">
        <v>1895</v>
      </c>
      <c r="L129" s="42" t="s">
        <v>550</v>
      </c>
      <c r="M129" s="42" t="s">
        <v>4667</v>
      </c>
      <c r="N129" s="42"/>
      <c r="O129" s="42"/>
      <c r="P129" s="42"/>
      <c r="Q129" s="42"/>
      <c r="R129" s="42" t="s">
        <v>386</v>
      </c>
      <c r="S129" s="42" t="s">
        <v>359</v>
      </c>
      <c r="T129" s="42" t="s">
        <v>3891</v>
      </c>
      <c r="U129" s="42" t="s">
        <v>498</v>
      </c>
      <c r="V129" s="44" t="s">
        <v>3892</v>
      </c>
      <c r="W129" s="42" t="s">
        <v>3892</v>
      </c>
    </row>
    <row r="130" spans="1:23">
      <c r="A130" s="40">
        <v>128</v>
      </c>
      <c r="B130" s="41">
        <v>2151047533</v>
      </c>
      <c r="C130" s="42" t="s">
        <v>388</v>
      </c>
      <c r="D130" s="42" t="s">
        <v>760</v>
      </c>
      <c r="E130" s="43" t="s">
        <v>7174</v>
      </c>
      <c r="F130" s="42" t="s">
        <v>817</v>
      </c>
      <c r="G130" s="42" t="s">
        <v>4668</v>
      </c>
      <c r="H130" s="43"/>
      <c r="I130" s="42"/>
      <c r="J130" s="42" t="s">
        <v>4669</v>
      </c>
      <c r="K130" s="42" t="s">
        <v>1895</v>
      </c>
      <c r="L130" s="42" t="s">
        <v>551</v>
      </c>
      <c r="M130" s="42" t="s">
        <v>4670</v>
      </c>
      <c r="N130" s="42" t="s">
        <v>3467</v>
      </c>
      <c r="O130" s="42"/>
      <c r="P130" s="42" t="s">
        <v>4671</v>
      </c>
      <c r="Q130" s="42"/>
      <c r="R130" s="42" t="s">
        <v>386</v>
      </c>
      <c r="S130" s="42" t="s">
        <v>359</v>
      </c>
      <c r="T130" s="42" t="s">
        <v>3891</v>
      </c>
      <c r="U130" s="42" t="s">
        <v>498</v>
      </c>
      <c r="V130" s="44" t="s">
        <v>3892</v>
      </c>
      <c r="W130" s="42" t="s">
        <v>3892</v>
      </c>
    </row>
    <row r="131" spans="1:23">
      <c r="A131" s="40">
        <v>129</v>
      </c>
      <c r="B131" s="41">
        <v>2151017344</v>
      </c>
      <c r="C131" s="42" t="s">
        <v>440</v>
      </c>
      <c r="D131" s="42" t="s">
        <v>760</v>
      </c>
      <c r="E131" s="43" t="s">
        <v>3843</v>
      </c>
      <c r="F131" s="42" t="s">
        <v>776</v>
      </c>
      <c r="G131" s="42" t="s">
        <v>3772</v>
      </c>
      <c r="H131" s="43"/>
      <c r="I131" s="42"/>
      <c r="J131" s="42" t="s">
        <v>4672</v>
      </c>
      <c r="K131" s="42" t="s">
        <v>1895</v>
      </c>
      <c r="L131" s="42" t="s">
        <v>519</v>
      </c>
      <c r="M131" s="42" t="s">
        <v>4673</v>
      </c>
      <c r="N131" s="42" t="s">
        <v>4674</v>
      </c>
      <c r="O131" s="42"/>
      <c r="P131" s="42" t="s">
        <v>4675</v>
      </c>
      <c r="Q131" s="42"/>
      <c r="R131" s="42" t="s">
        <v>386</v>
      </c>
      <c r="S131" s="42" t="s">
        <v>359</v>
      </c>
      <c r="T131" s="42" t="s">
        <v>3891</v>
      </c>
      <c r="U131" s="42" t="s">
        <v>498</v>
      </c>
      <c r="V131" s="44" t="s">
        <v>3892</v>
      </c>
      <c r="W131" s="42" t="s">
        <v>3892</v>
      </c>
    </row>
    <row r="132" spans="1:23">
      <c r="A132" s="40">
        <v>130</v>
      </c>
      <c r="B132" s="41">
        <v>2151047536</v>
      </c>
      <c r="C132" s="42" t="s">
        <v>398</v>
      </c>
      <c r="D132" s="42" t="s">
        <v>760</v>
      </c>
      <c r="E132" s="43" t="s">
        <v>7175</v>
      </c>
      <c r="F132" s="42" t="s">
        <v>998</v>
      </c>
      <c r="G132" s="42" t="s">
        <v>4676</v>
      </c>
      <c r="H132" s="43"/>
      <c r="I132" s="42"/>
      <c r="J132" s="42" t="s">
        <v>4677</v>
      </c>
      <c r="K132" s="42" t="s">
        <v>1895</v>
      </c>
      <c r="L132" s="42" t="s">
        <v>556</v>
      </c>
      <c r="M132" s="42" t="s">
        <v>4678</v>
      </c>
      <c r="N132" s="42" t="s">
        <v>4679</v>
      </c>
      <c r="O132" s="42"/>
      <c r="P132" s="42" t="s">
        <v>4680</v>
      </c>
      <c r="Q132" s="42"/>
      <c r="R132" s="42" t="s">
        <v>386</v>
      </c>
      <c r="S132" s="42" t="s">
        <v>359</v>
      </c>
      <c r="T132" s="42" t="s">
        <v>3891</v>
      </c>
      <c r="U132" s="42" t="s">
        <v>498</v>
      </c>
      <c r="V132" s="44" t="s">
        <v>3892</v>
      </c>
      <c r="W132" s="42" t="s">
        <v>3892</v>
      </c>
    </row>
    <row r="133" spans="1:23">
      <c r="A133" s="40">
        <v>131</v>
      </c>
      <c r="B133" s="41">
        <v>2151047222</v>
      </c>
      <c r="C133" s="42" t="s">
        <v>438</v>
      </c>
      <c r="D133" s="42" t="s">
        <v>760</v>
      </c>
      <c r="E133" s="43" t="s">
        <v>7131</v>
      </c>
      <c r="F133" s="42" t="s">
        <v>761</v>
      </c>
      <c r="G133" s="42" t="s">
        <v>4681</v>
      </c>
      <c r="H133" s="43"/>
      <c r="I133" s="42"/>
      <c r="J133" s="42" t="s">
        <v>4682</v>
      </c>
      <c r="K133" s="42" t="s">
        <v>1895</v>
      </c>
      <c r="L133" s="42" t="s">
        <v>4683</v>
      </c>
      <c r="M133" s="42" t="s">
        <v>4684</v>
      </c>
      <c r="N133" s="42" t="s">
        <v>4685</v>
      </c>
      <c r="O133" s="42"/>
      <c r="P133" s="42" t="s">
        <v>3951</v>
      </c>
      <c r="Q133" s="42"/>
      <c r="R133" s="42" t="s">
        <v>386</v>
      </c>
      <c r="S133" s="42" t="s">
        <v>359</v>
      </c>
      <c r="T133" s="42" t="s">
        <v>3891</v>
      </c>
      <c r="U133" s="42" t="s">
        <v>498</v>
      </c>
      <c r="V133" s="44" t="s">
        <v>3892</v>
      </c>
      <c r="W133" s="42" t="s">
        <v>3892</v>
      </c>
    </row>
    <row r="134" spans="1:23">
      <c r="A134" s="40">
        <v>132</v>
      </c>
      <c r="B134" s="41">
        <v>2151047540</v>
      </c>
      <c r="C134" s="42" t="s">
        <v>434</v>
      </c>
      <c r="D134" s="42" t="s">
        <v>760</v>
      </c>
      <c r="E134" s="43" t="s">
        <v>7141</v>
      </c>
      <c r="F134" s="42" t="s">
        <v>790</v>
      </c>
      <c r="G134" s="42" t="s">
        <v>4686</v>
      </c>
      <c r="H134" s="43">
        <v>44522</v>
      </c>
      <c r="I134" s="42"/>
      <c r="J134" s="42" t="s">
        <v>4687</v>
      </c>
      <c r="K134" s="42" t="s">
        <v>1895</v>
      </c>
      <c r="L134" s="42" t="s">
        <v>560</v>
      </c>
      <c r="M134" s="42" t="s">
        <v>4688</v>
      </c>
      <c r="N134" s="42" t="s">
        <v>383</v>
      </c>
      <c r="O134" s="42"/>
      <c r="P134" s="42" t="s">
        <v>4689</v>
      </c>
      <c r="Q134" s="42"/>
      <c r="R134" s="42" t="s">
        <v>386</v>
      </c>
      <c r="S134" s="42" t="s">
        <v>359</v>
      </c>
      <c r="T134" s="42" t="s">
        <v>3891</v>
      </c>
      <c r="U134" s="42" t="s">
        <v>498</v>
      </c>
      <c r="V134" s="44" t="s">
        <v>3892</v>
      </c>
      <c r="W134" s="42" t="s">
        <v>3892</v>
      </c>
    </row>
    <row r="135" spans="1:23">
      <c r="A135" s="40">
        <v>133</v>
      </c>
      <c r="B135" s="41">
        <v>2151047537</v>
      </c>
      <c r="C135" s="42" t="s">
        <v>432</v>
      </c>
      <c r="D135" s="42" t="s">
        <v>760</v>
      </c>
      <c r="E135" s="43" t="s">
        <v>7176</v>
      </c>
      <c r="F135" s="42" t="s">
        <v>3938</v>
      </c>
      <c r="G135" s="42" t="s">
        <v>4690</v>
      </c>
      <c r="H135" s="43"/>
      <c r="I135" s="42"/>
      <c r="J135" s="42" t="s">
        <v>4691</v>
      </c>
      <c r="K135" s="42" t="s">
        <v>1895</v>
      </c>
      <c r="L135" s="42" t="s">
        <v>557</v>
      </c>
      <c r="M135" s="42" t="s">
        <v>4692</v>
      </c>
      <c r="N135" s="42" t="s">
        <v>4693</v>
      </c>
      <c r="O135" s="42"/>
      <c r="P135" s="42" t="s">
        <v>4694</v>
      </c>
      <c r="Q135" s="42"/>
      <c r="R135" s="42" t="s">
        <v>386</v>
      </c>
      <c r="S135" s="42" t="s">
        <v>359</v>
      </c>
      <c r="T135" s="42" t="s">
        <v>3891</v>
      </c>
      <c r="U135" s="42" t="s">
        <v>498</v>
      </c>
      <c r="V135" s="44" t="s">
        <v>3892</v>
      </c>
      <c r="W135" s="42" t="s">
        <v>3892</v>
      </c>
    </row>
    <row r="136" spans="1:23">
      <c r="A136" s="40">
        <v>134</v>
      </c>
      <c r="B136" s="41">
        <v>2151047539</v>
      </c>
      <c r="C136" s="42" t="s">
        <v>4695</v>
      </c>
      <c r="D136" s="42" t="s">
        <v>760</v>
      </c>
      <c r="E136" s="43" t="s">
        <v>7177</v>
      </c>
      <c r="F136" s="42" t="s">
        <v>1032</v>
      </c>
      <c r="G136" s="42" t="s">
        <v>4696</v>
      </c>
      <c r="H136" s="43"/>
      <c r="I136" s="42"/>
      <c r="J136" s="42" t="s">
        <v>4697</v>
      </c>
      <c r="K136" s="42" t="s">
        <v>1895</v>
      </c>
      <c r="L136" s="42" t="s">
        <v>559</v>
      </c>
      <c r="M136" s="42" t="s">
        <v>4698</v>
      </c>
      <c r="N136" s="42" t="s">
        <v>4699</v>
      </c>
      <c r="O136" s="42"/>
      <c r="P136" s="42" t="s">
        <v>4700</v>
      </c>
      <c r="Q136" s="42"/>
      <c r="R136" s="42" t="s">
        <v>386</v>
      </c>
      <c r="S136" s="42" t="s">
        <v>359</v>
      </c>
      <c r="T136" s="42" t="s">
        <v>3891</v>
      </c>
      <c r="U136" s="42" t="s">
        <v>498</v>
      </c>
      <c r="V136" s="44" t="s">
        <v>3892</v>
      </c>
      <c r="W136" s="42" t="s">
        <v>3892</v>
      </c>
    </row>
    <row r="137" spans="1:23">
      <c r="A137" s="40">
        <v>135</v>
      </c>
      <c r="B137" s="41">
        <v>2151047029</v>
      </c>
      <c r="C137" s="42" t="s">
        <v>404</v>
      </c>
      <c r="D137" s="42" t="s">
        <v>760</v>
      </c>
      <c r="E137" s="43" t="s">
        <v>7178</v>
      </c>
      <c r="F137" s="42" t="s">
        <v>844</v>
      </c>
      <c r="G137" s="42" t="s">
        <v>4701</v>
      </c>
      <c r="H137" s="43"/>
      <c r="I137" s="42"/>
      <c r="J137" s="42" t="s">
        <v>4702</v>
      </c>
      <c r="K137" s="42" t="s">
        <v>1895</v>
      </c>
      <c r="L137" s="42" t="s">
        <v>4703</v>
      </c>
      <c r="M137" s="42" t="s">
        <v>4704</v>
      </c>
      <c r="N137" s="42" t="s">
        <v>4705</v>
      </c>
      <c r="O137" s="42"/>
      <c r="P137" s="42" t="s">
        <v>4706</v>
      </c>
      <c r="Q137" s="42"/>
      <c r="R137" s="42" t="s">
        <v>386</v>
      </c>
      <c r="S137" s="42" t="s">
        <v>359</v>
      </c>
      <c r="T137" s="42" t="s">
        <v>3891</v>
      </c>
      <c r="U137" s="42" t="s">
        <v>498</v>
      </c>
      <c r="V137" s="44" t="s">
        <v>3892</v>
      </c>
      <c r="W137" s="42" t="s">
        <v>3892</v>
      </c>
    </row>
    <row r="138" spans="1:23">
      <c r="A138" s="40">
        <v>136</v>
      </c>
      <c r="B138" s="41">
        <v>2151047224</v>
      </c>
      <c r="C138" s="42" t="s">
        <v>4707</v>
      </c>
      <c r="D138" s="42" t="s">
        <v>760</v>
      </c>
      <c r="E138" s="43" t="s">
        <v>7179</v>
      </c>
      <c r="F138" s="42" t="s">
        <v>853</v>
      </c>
      <c r="G138" s="42" t="s">
        <v>4708</v>
      </c>
      <c r="H138" s="43"/>
      <c r="I138" s="42"/>
      <c r="J138" s="42" t="s">
        <v>4709</v>
      </c>
      <c r="K138" s="42" t="s">
        <v>1895</v>
      </c>
      <c r="L138" s="42" t="s">
        <v>4710</v>
      </c>
      <c r="M138" s="42" t="s">
        <v>4711</v>
      </c>
      <c r="N138" s="42" t="s">
        <v>4712</v>
      </c>
      <c r="O138" s="42"/>
      <c r="P138" s="42" t="s">
        <v>4713</v>
      </c>
      <c r="Q138" s="42"/>
      <c r="R138" s="42" t="s">
        <v>386</v>
      </c>
      <c r="S138" s="42" t="s">
        <v>359</v>
      </c>
      <c r="T138" s="42" t="s">
        <v>3891</v>
      </c>
      <c r="U138" s="42" t="s">
        <v>498</v>
      </c>
      <c r="V138" s="44" t="s">
        <v>3892</v>
      </c>
      <c r="W138" s="42" t="s">
        <v>3892</v>
      </c>
    </row>
    <row r="139" spans="1:23">
      <c r="A139" s="40">
        <v>137</v>
      </c>
      <c r="B139" s="41">
        <v>2151047031</v>
      </c>
      <c r="C139" s="42" t="s">
        <v>392</v>
      </c>
      <c r="D139" s="42" t="s">
        <v>760</v>
      </c>
      <c r="E139" s="43" t="s">
        <v>7180</v>
      </c>
      <c r="F139" s="42" t="s">
        <v>821</v>
      </c>
      <c r="G139" s="42" t="s">
        <v>4714</v>
      </c>
      <c r="H139" s="43"/>
      <c r="I139" s="42"/>
      <c r="J139" s="42" t="s">
        <v>4715</v>
      </c>
      <c r="K139" s="42" t="s">
        <v>1895</v>
      </c>
      <c r="L139" s="42" t="s">
        <v>4716</v>
      </c>
      <c r="M139" s="42" t="s">
        <v>4717</v>
      </c>
      <c r="N139" s="42" t="s">
        <v>4718</v>
      </c>
      <c r="O139" s="42"/>
      <c r="P139" s="42" t="s">
        <v>4719</v>
      </c>
      <c r="Q139" s="42"/>
      <c r="R139" s="42" t="s">
        <v>386</v>
      </c>
      <c r="S139" s="42" t="s">
        <v>359</v>
      </c>
      <c r="T139" s="42" t="s">
        <v>3891</v>
      </c>
      <c r="U139" s="42" t="s">
        <v>498</v>
      </c>
      <c r="V139" s="44" t="s">
        <v>3892</v>
      </c>
      <c r="W139" s="42" t="s">
        <v>3892</v>
      </c>
    </row>
    <row r="140" spans="1:23">
      <c r="A140" s="40">
        <v>138</v>
      </c>
      <c r="B140" s="41">
        <v>2151047032</v>
      </c>
      <c r="C140" s="42" t="s">
        <v>406</v>
      </c>
      <c r="D140" s="42" t="s">
        <v>760</v>
      </c>
      <c r="E140" s="43" t="s">
        <v>7121</v>
      </c>
      <c r="F140" s="42" t="s">
        <v>804</v>
      </c>
      <c r="G140" s="42" t="s">
        <v>4720</v>
      </c>
      <c r="H140" s="43"/>
      <c r="I140" s="42"/>
      <c r="J140" s="42" t="s">
        <v>4721</v>
      </c>
      <c r="K140" s="42" t="s">
        <v>1895</v>
      </c>
      <c r="L140" s="42" t="s">
        <v>4722</v>
      </c>
      <c r="M140" s="42" t="s">
        <v>4723</v>
      </c>
      <c r="N140" s="42" t="s">
        <v>4724</v>
      </c>
      <c r="O140" s="42"/>
      <c r="P140" s="42" t="s">
        <v>4725</v>
      </c>
      <c r="Q140" s="42"/>
      <c r="R140" s="42" t="s">
        <v>386</v>
      </c>
      <c r="S140" s="42" t="s">
        <v>359</v>
      </c>
      <c r="T140" s="42" t="s">
        <v>3891</v>
      </c>
      <c r="U140" s="42" t="s">
        <v>498</v>
      </c>
      <c r="V140" s="44" t="s">
        <v>3892</v>
      </c>
      <c r="W140" s="42" t="s">
        <v>3892</v>
      </c>
    </row>
    <row r="141" spans="1:23">
      <c r="A141" s="40">
        <v>139</v>
      </c>
      <c r="B141" s="41">
        <v>2151047225</v>
      </c>
      <c r="C141" s="42" t="s">
        <v>400</v>
      </c>
      <c r="D141" s="42" t="s">
        <v>760</v>
      </c>
      <c r="E141" s="43" t="s">
        <v>7131</v>
      </c>
      <c r="F141" s="42" t="s">
        <v>835</v>
      </c>
      <c r="G141" s="42" t="s">
        <v>4726</v>
      </c>
      <c r="H141" s="43">
        <v>44379</v>
      </c>
      <c r="I141" s="42"/>
      <c r="J141" s="42" t="s">
        <v>4727</v>
      </c>
      <c r="K141" s="42" t="s">
        <v>1895</v>
      </c>
      <c r="L141" s="42" t="s">
        <v>4728</v>
      </c>
      <c r="M141" s="42" t="s">
        <v>4729</v>
      </c>
      <c r="N141" s="42" t="s">
        <v>4730</v>
      </c>
      <c r="O141" s="42"/>
      <c r="P141" s="42" t="s">
        <v>4731</v>
      </c>
      <c r="Q141" s="42"/>
      <c r="R141" s="42" t="s">
        <v>386</v>
      </c>
      <c r="S141" s="42" t="s">
        <v>359</v>
      </c>
      <c r="T141" s="42" t="s">
        <v>3891</v>
      </c>
      <c r="U141" s="42" t="s">
        <v>498</v>
      </c>
      <c r="V141" s="44" t="s">
        <v>3892</v>
      </c>
      <c r="W141" s="42" t="s">
        <v>3892</v>
      </c>
    </row>
    <row r="142" spans="1:23">
      <c r="A142" s="40">
        <v>140</v>
      </c>
      <c r="B142" s="41">
        <v>2151047227</v>
      </c>
      <c r="C142" s="42" t="s">
        <v>422</v>
      </c>
      <c r="D142" s="42" t="s">
        <v>760</v>
      </c>
      <c r="E142" s="43" t="s">
        <v>3824</v>
      </c>
      <c r="F142" s="42" t="s">
        <v>780</v>
      </c>
      <c r="G142" s="42" t="s">
        <v>4732</v>
      </c>
      <c r="H142" s="43"/>
      <c r="I142" s="42"/>
      <c r="J142" s="42" t="s">
        <v>4733</v>
      </c>
      <c r="K142" s="42" t="s">
        <v>1895</v>
      </c>
      <c r="L142" s="42" t="s">
        <v>4734</v>
      </c>
      <c r="M142" s="42" t="s">
        <v>4735</v>
      </c>
      <c r="N142" s="42" t="s">
        <v>4736</v>
      </c>
      <c r="O142" s="42"/>
      <c r="P142" s="42" t="s">
        <v>4737</v>
      </c>
      <c r="Q142" s="42"/>
      <c r="R142" s="42" t="s">
        <v>386</v>
      </c>
      <c r="S142" s="42" t="s">
        <v>359</v>
      </c>
      <c r="T142" s="42" t="s">
        <v>3891</v>
      </c>
      <c r="U142" s="42" t="s">
        <v>498</v>
      </c>
      <c r="V142" s="44" t="s">
        <v>3892</v>
      </c>
      <c r="W142" s="42" t="s">
        <v>3892</v>
      </c>
    </row>
    <row r="143" spans="1:23">
      <c r="A143" s="40">
        <v>141</v>
      </c>
      <c r="B143" s="41">
        <v>2151047368</v>
      </c>
      <c r="C143" s="42" t="s">
        <v>442</v>
      </c>
      <c r="D143" s="42" t="s">
        <v>760</v>
      </c>
      <c r="E143" s="43" t="s">
        <v>2615</v>
      </c>
      <c r="F143" s="42" t="s">
        <v>821</v>
      </c>
      <c r="G143" s="42" t="s">
        <v>3823</v>
      </c>
      <c r="H143" s="43"/>
      <c r="I143" s="42"/>
      <c r="J143" s="42" t="s">
        <v>4738</v>
      </c>
      <c r="K143" s="42" t="s">
        <v>1895</v>
      </c>
      <c r="L143" s="42" t="s">
        <v>547</v>
      </c>
      <c r="M143" s="42" t="s">
        <v>4739</v>
      </c>
      <c r="N143" s="42" t="s">
        <v>830</v>
      </c>
      <c r="O143" s="42"/>
      <c r="P143" s="42" t="s">
        <v>4005</v>
      </c>
      <c r="Q143" s="42"/>
      <c r="R143" s="42" t="s">
        <v>386</v>
      </c>
      <c r="S143" s="42" t="s">
        <v>359</v>
      </c>
      <c r="T143" s="42" t="s">
        <v>3891</v>
      </c>
      <c r="U143" s="42" t="s">
        <v>498</v>
      </c>
      <c r="V143" s="44" t="s">
        <v>3892</v>
      </c>
      <c r="W143" s="42" t="s">
        <v>3892</v>
      </c>
    </row>
    <row r="144" spans="1:23">
      <c r="A144" s="40">
        <v>142</v>
      </c>
      <c r="B144" s="41">
        <v>2151047228</v>
      </c>
      <c r="C144" s="42" t="s">
        <v>4740</v>
      </c>
      <c r="D144" s="42" t="s">
        <v>760</v>
      </c>
      <c r="E144" s="43" t="s">
        <v>7181</v>
      </c>
      <c r="F144" s="42" t="s">
        <v>776</v>
      </c>
      <c r="G144" s="42" t="s">
        <v>4741</v>
      </c>
      <c r="H144" s="43">
        <v>44379</v>
      </c>
      <c r="I144" s="42"/>
      <c r="J144" s="42" t="s">
        <v>4742</v>
      </c>
      <c r="K144" s="42" t="s">
        <v>1895</v>
      </c>
      <c r="L144" s="42" t="s">
        <v>4743</v>
      </c>
      <c r="M144" s="42" t="s">
        <v>4744</v>
      </c>
      <c r="N144" s="42" t="s">
        <v>4745</v>
      </c>
      <c r="O144" s="42"/>
      <c r="P144" s="42" t="s">
        <v>4746</v>
      </c>
      <c r="Q144" s="42"/>
      <c r="R144" s="42" t="s">
        <v>386</v>
      </c>
      <c r="S144" s="42" t="s">
        <v>359</v>
      </c>
      <c r="T144" s="42" t="s">
        <v>3891</v>
      </c>
      <c r="U144" s="42" t="s">
        <v>498</v>
      </c>
      <c r="V144" s="44" t="s">
        <v>3892</v>
      </c>
      <c r="W144" s="42" t="s">
        <v>3892</v>
      </c>
    </row>
    <row r="145" spans="1:23" ht="60">
      <c r="A145" s="40">
        <v>143</v>
      </c>
      <c r="B145" s="41">
        <v>2151047033</v>
      </c>
      <c r="C145" s="42" t="s">
        <v>4747</v>
      </c>
      <c r="D145" s="42" t="s">
        <v>760</v>
      </c>
      <c r="E145" s="43" t="s">
        <v>3769</v>
      </c>
      <c r="F145" s="42" t="s">
        <v>776</v>
      </c>
      <c r="G145" s="42" t="s">
        <v>4748</v>
      </c>
      <c r="H145" s="43"/>
      <c r="I145" s="42"/>
      <c r="J145" s="42" t="s">
        <v>4749</v>
      </c>
      <c r="K145" s="42" t="s">
        <v>1895</v>
      </c>
      <c r="L145" s="42" t="s">
        <v>4750</v>
      </c>
      <c r="M145" s="42" t="s">
        <v>4751</v>
      </c>
      <c r="N145" s="42" t="s">
        <v>4752</v>
      </c>
      <c r="O145" s="42"/>
      <c r="P145" s="42" t="s">
        <v>4753</v>
      </c>
      <c r="Q145" s="42"/>
      <c r="R145" s="42" t="s">
        <v>386</v>
      </c>
      <c r="S145" s="42" t="s">
        <v>359</v>
      </c>
      <c r="T145" s="42" t="s">
        <v>3891</v>
      </c>
      <c r="U145" s="42" t="s">
        <v>498</v>
      </c>
      <c r="V145" s="44" t="s">
        <v>4754</v>
      </c>
      <c r="W145" s="42" t="s">
        <v>3905</v>
      </c>
    </row>
    <row r="146" spans="1:23" ht="60">
      <c r="A146" s="40">
        <v>144</v>
      </c>
      <c r="B146" s="41">
        <v>2151047546</v>
      </c>
      <c r="C146" s="42" t="s">
        <v>4755</v>
      </c>
      <c r="D146" s="42" t="s">
        <v>760</v>
      </c>
      <c r="E146" s="43" t="s">
        <v>7182</v>
      </c>
      <c r="F146" s="42" t="s">
        <v>892</v>
      </c>
      <c r="G146" s="42" t="s">
        <v>4756</v>
      </c>
      <c r="H146" s="43"/>
      <c r="I146" s="42"/>
      <c r="J146" s="42" t="s">
        <v>4757</v>
      </c>
      <c r="K146" s="42" t="s">
        <v>1895</v>
      </c>
      <c r="L146" s="42" t="s">
        <v>567</v>
      </c>
      <c r="M146" s="42" t="s">
        <v>4758</v>
      </c>
      <c r="N146" s="42" t="s">
        <v>4759</v>
      </c>
      <c r="O146" s="42"/>
      <c r="P146" s="42" t="s">
        <v>4760</v>
      </c>
      <c r="Q146" s="42"/>
      <c r="R146" s="42" t="s">
        <v>386</v>
      </c>
      <c r="S146" s="42" t="s">
        <v>359</v>
      </c>
      <c r="T146" s="42" t="s">
        <v>3891</v>
      </c>
      <c r="U146" s="42" t="s">
        <v>498</v>
      </c>
      <c r="V146" s="44" t="s">
        <v>4761</v>
      </c>
      <c r="W146" s="42" t="s">
        <v>3905</v>
      </c>
    </row>
    <row r="147" spans="1:23">
      <c r="A147" s="40">
        <v>145</v>
      </c>
      <c r="B147" s="41">
        <v>2151047035</v>
      </c>
      <c r="C147" s="42" t="s">
        <v>4762</v>
      </c>
      <c r="D147" s="42" t="s">
        <v>760</v>
      </c>
      <c r="E147" s="43" t="s">
        <v>7183</v>
      </c>
      <c r="F147" s="42" t="s">
        <v>867</v>
      </c>
      <c r="G147" s="42" t="s">
        <v>4763</v>
      </c>
      <c r="H147" s="43"/>
      <c r="I147" s="42"/>
      <c r="J147" s="42" t="s">
        <v>4764</v>
      </c>
      <c r="K147" s="42" t="s">
        <v>1895</v>
      </c>
      <c r="L147" s="42" t="s">
        <v>4765</v>
      </c>
      <c r="M147" s="42" t="s">
        <v>4766</v>
      </c>
      <c r="N147" s="42" t="s">
        <v>4767</v>
      </c>
      <c r="O147" s="42"/>
      <c r="P147" s="42" t="s">
        <v>4768</v>
      </c>
      <c r="Q147" s="42"/>
      <c r="R147" s="42" t="s">
        <v>386</v>
      </c>
      <c r="S147" s="42" t="s">
        <v>359</v>
      </c>
      <c r="T147" s="42" t="s">
        <v>3891</v>
      </c>
      <c r="U147" s="42" t="s">
        <v>498</v>
      </c>
      <c r="V147" s="44" t="s">
        <v>3892</v>
      </c>
      <c r="W147" s="42" t="s">
        <v>3892</v>
      </c>
    </row>
    <row r="148" spans="1:23">
      <c r="A148" s="40">
        <v>146</v>
      </c>
      <c r="B148" s="41">
        <v>2151047547</v>
      </c>
      <c r="C148" s="42" t="s">
        <v>1931</v>
      </c>
      <c r="D148" s="42" t="s">
        <v>760</v>
      </c>
      <c r="E148" s="43" t="s">
        <v>3864</v>
      </c>
      <c r="F148" s="42" t="s">
        <v>3900</v>
      </c>
      <c r="G148" s="42" t="s">
        <v>4769</v>
      </c>
      <c r="H148" s="43"/>
      <c r="I148" s="42"/>
      <c r="J148" s="42" t="s">
        <v>4770</v>
      </c>
      <c r="K148" s="42" t="s">
        <v>1895</v>
      </c>
      <c r="L148" s="42" t="s">
        <v>568</v>
      </c>
      <c r="M148" s="42" t="s">
        <v>4771</v>
      </c>
      <c r="N148" s="42" t="s">
        <v>4772</v>
      </c>
      <c r="O148" s="42"/>
      <c r="P148" s="42" t="s">
        <v>4773</v>
      </c>
      <c r="Q148" s="42"/>
      <c r="R148" s="42" t="s">
        <v>386</v>
      </c>
      <c r="S148" s="42" t="s">
        <v>359</v>
      </c>
      <c r="T148" s="42" t="s">
        <v>3891</v>
      </c>
      <c r="U148" s="42" t="s">
        <v>498</v>
      </c>
      <c r="V148" s="44" t="s">
        <v>3892</v>
      </c>
      <c r="W148" s="42" t="s">
        <v>3892</v>
      </c>
    </row>
    <row r="149" spans="1:23">
      <c r="A149" s="40">
        <v>147</v>
      </c>
      <c r="B149" s="41">
        <v>2151047036</v>
      </c>
      <c r="C149" s="42" t="s">
        <v>4774</v>
      </c>
      <c r="D149" s="42" t="s">
        <v>760</v>
      </c>
      <c r="E149" s="43" t="s">
        <v>888</v>
      </c>
      <c r="F149" s="42" t="s">
        <v>811</v>
      </c>
      <c r="G149" s="42" t="s">
        <v>4775</v>
      </c>
      <c r="H149" s="43"/>
      <c r="I149" s="42"/>
      <c r="J149" s="42" t="s">
        <v>4776</v>
      </c>
      <c r="K149" s="42" t="s">
        <v>1895</v>
      </c>
      <c r="L149" s="42" t="s">
        <v>4777</v>
      </c>
      <c r="M149" s="42" t="s">
        <v>4778</v>
      </c>
      <c r="N149" s="42" t="s">
        <v>4779</v>
      </c>
      <c r="O149" s="42"/>
      <c r="P149" s="42" t="s">
        <v>4780</v>
      </c>
      <c r="Q149" s="42"/>
      <c r="R149" s="42" t="s">
        <v>386</v>
      </c>
      <c r="S149" s="42" t="s">
        <v>359</v>
      </c>
      <c r="T149" s="42" t="s">
        <v>3891</v>
      </c>
      <c r="U149" s="42" t="s">
        <v>498</v>
      </c>
      <c r="V149" s="44" t="s">
        <v>3892</v>
      </c>
      <c r="W149" s="42" t="s">
        <v>3892</v>
      </c>
    </row>
    <row r="150" spans="1:23">
      <c r="A150" s="40">
        <v>148</v>
      </c>
      <c r="B150" s="41">
        <v>2151047548</v>
      </c>
      <c r="C150" s="42" t="s">
        <v>390</v>
      </c>
      <c r="D150" s="42" t="s">
        <v>760</v>
      </c>
      <c r="E150" s="43" t="s">
        <v>7184</v>
      </c>
      <c r="F150" s="42" t="s">
        <v>861</v>
      </c>
      <c r="G150" s="42" t="s">
        <v>4781</v>
      </c>
      <c r="H150" s="43"/>
      <c r="I150" s="42"/>
      <c r="J150" s="42" t="s">
        <v>4782</v>
      </c>
      <c r="K150" s="42" t="s">
        <v>1895</v>
      </c>
      <c r="L150" s="42" t="s">
        <v>569</v>
      </c>
      <c r="M150" s="42" t="s">
        <v>4783</v>
      </c>
      <c r="N150" s="42" t="s">
        <v>4784</v>
      </c>
      <c r="O150" s="42"/>
      <c r="P150" s="42" t="s">
        <v>4785</v>
      </c>
      <c r="Q150" s="42"/>
      <c r="R150" s="42" t="s">
        <v>386</v>
      </c>
      <c r="S150" s="42" t="s">
        <v>359</v>
      </c>
      <c r="T150" s="42" t="s">
        <v>3891</v>
      </c>
      <c r="U150" s="42" t="s">
        <v>498</v>
      </c>
      <c r="V150" s="44" t="s">
        <v>3892</v>
      </c>
      <c r="W150" s="42" t="s">
        <v>3892</v>
      </c>
    </row>
    <row r="151" spans="1:23">
      <c r="A151" s="40">
        <v>149</v>
      </c>
      <c r="B151" s="41">
        <v>2151047549</v>
      </c>
      <c r="C151" s="42" t="s">
        <v>394</v>
      </c>
      <c r="D151" s="42" t="s">
        <v>760</v>
      </c>
      <c r="E151" s="43" t="s">
        <v>7185</v>
      </c>
      <c r="F151" s="42" t="s">
        <v>861</v>
      </c>
      <c r="G151" s="42" t="s">
        <v>4786</v>
      </c>
      <c r="H151" s="43">
        <v>44607</v>
      </c>
      <c r="I151" s="42"/>
      <c r="J151" s="42" t="s">
        <v>4787</v>
      </c>
      <c r="K151" s="42" t="s">
        <v>1895</v>
      </c>
      <c r="L151" s="42" t="s">
        <v>570</v>
      </c>
      <c r="M151" s="42" t="s">
        <v>4788</v>
      </c>
      <c r="N151" s="42" t="s">
        <v>4789</v>
      </c>
      <c r="O151" s="42"/>
      <c r="P151" s="42" t="s">
        <v>4790</v>
      </c>
      <c r="Q151" s="42"/>
      <c r="R151" s="42" t="s">
        <v>386</v>
      </c>
      <c r="S151" s="42" t="s">
        <v>359</v>
      </c>
      <c r="T151" s="42" t="s">
        <v>3891</v>
      </c>
      <c r="U151" s="42" t="s">
        <v>498</v>
      </c>
      <c r="V151" s="44" t="s">
        <v>3892</v>
      </c>
      <c r="W151" s="42" t="s">
        <v>3892</v>
      </c>
    </row>
    <row r="152" spans="1:23" ht="60">
      <c r="A152" s="40">
        <v>150</v>
      </c>
      <c r="B152" s="41">
        <v>2151047550</v>
      </c>
      <c r="C152" s="42" t="s">
        <v>4791</v>
      </c>
      <c r="D152" s="42" t="s">
        <v>760</v>
      </c>
      <c r="E152" s="43" t="s">
        <v>7186</v>
      </c>
      <c r="F152" s="42" t="s">
        <v>1032</v>
      </c>
      <c r="G152" s="42" t="s">
        <v>4792</v>
      </c>
      <c r="H152" s="43"/>
      <c r="I152" s="42"/>
      <c r="J152" s="42" t="s">
        <v>4793</v>
      </c>
      <c r="K152" s="42" t="s">
        <v>1895</v>
      </c>
      <c r="L152" s="42" t="s">
        <v>571</v>
      </c>
      <c r="M152" s="42" t="s">
        <v>4794</v>
      </c>
      <c r="N152" s="42" t="s">
        <v>4795</v>
      </c>
      <c r="O152" s="42"/>
      <c r="P152" s="42" t="s">
        <v>1574</v>
      </c>
      <c r="Q152" s="42"/>
      <c r="R152" s="42" t="s">
        <v>386</v>
      </c>
      <c r="S152" s="42" t="s">
        <v>359</v>
      </c>
      <c r="T152" s="42" t="s">
        <v>3891</v>
      </c>
      <c r="U152" s="42" t="s">
        <v>498</v>
      </c>
      <c r="V152" s="44" t="s">
        <v>4796</v>
      </c>
      <c r="W152" s="42" t="s">
        <v>3905</v>
      </c>
    </row>
    <row r="153" spans="1:23">
      <c r="A153" s="40">
        <v>151</v>
      </c>
      <c r="B153" s="41">
        <v>2151047038</v>
      </c>
      <c r="C153" s="42" t="s">
        <v>4797</v>
      </c>
      <c r="D153" s="42" t="s">
        <v>760</v>
      </c>
      <c r="E153" s="43" t="s">
        <v>3282</v>
      </c>
      <c r="F153" s="42" t="s">
        <v>804</v>
      </c>
      <c r="G153" s="42" t="s">
        <v>4798</v>
      </c>
      <c r="H153" s="43">
        <v>44301</v>
      </c>
      <c r="I153" s="42" t="s">
        <v>4443</v>
      </c>
      <c r="J153" s="42" t="s">
        <v>4799</v>
      </c>
      <c r="K153" s="42" t="s">
        <v>1895</v>
      </c>
      <c r="L153" s="42" t="s">
        <v>4800</v>
      </c>
      <c r="M153" s="42" t="s">
        <v>4801</v>
      </c>
      <c r="N153" s="42" t="s">
        <v>4802</v>
      </c>
      <c r="O153" s="42"/>
      <c r="P153" s="42" t="s">
        <v>4803</v>
      </c>
      <c r="Q153" s="42"/>
      <c r="R153" s="42" t="s">
        <v>386</v>
      </c>
      <c r="S153" s="42" t="s">
        <v>359</v>
      </c>
      <c r="T153" s="42" t="s">
        <v>3891</v>
      </c>
      <c r="U153" s="42" t="s">
        <v>498</v>
      </c>
      <c r="V153" s="44" t="s">
        <v>3892</v>
      </c>
      <c r="W153" s="42" t="s">
        <v>3892</v>
      </c>
    </row>
    <row r="154" spans="1:23">
      <c r="A154" s="40">
        <v>152</v>
      </c>
      <c r="B154" s="41">
        <v>2151047039</v>
      </c>
      <c r="C154" s="42" t="s">
        <v>4804</v>
      </c>
      <c r="D154" s="42" t="s">
        <v>760</v>
      </c>
      <c r="E154" s="43" t="s">
        <v>7187</v>
      </c>
      <c r="F154" s="42" t="s">
        <v>1032</v>
      </c>
      <c r="G154" s="42" t="s">
        <v>4805</v>
      </c>
      <c r="H154" s="43"/>
      <c r="I154" s="42"/>
      <c r="J154" s="42" t="s">
        <v>4806</v>
      </c>
      <c r="K154" s="42" t="s">
        <v>1895</v>
      </c>
      <c r="L154" s="42" t="s">
        <v>4807</v>
      </c>
      <c r="M154" s="42" t="s">
        <v>4808</v>
      </c>
      <c r="N154" s="42" t="s">
        <v>4809</v>
      </c>
      <c r="O154" s="42"/>
      <c r="P154" s="42" t="s">
        <v>4810</v>
      </c>
      <c r="Q154" s="42"/>
      <c r="R154" s="42" t="s">
        <v>386</v>
      </c>
      <c r="S154" s="42" t="s">
        <v>359</v>
      </c>
      <c r="T154" s="42" t="s">
        <v>3891</v>
      </c>
      <c r="U154" s="42" t="s">
        <v>498</v>
      </c>
      <c r="V154" s="44" t="s">
        <v>3892</v>
      </c>
      <c r="W154" s="42" t="s">
        <v>3892</v>
      </c>
    </row>
    <row r="155" spans="1:23">
      <c r="A155" s="40">
        <v>153</v>
      </c>
      <c r="B155" s="41">
        <v>2151047040</v>
      </c>
      <c r="C155" s="42" t="s">
        <v>385</v>
      </c>
      <c r="D155" s="42" t="s">
        <v>760</v>
      </c>
      <c r="E155" s="43" t="s">
        <v>7139</v>
      </c>
      <c r="F155" s="42" t="s">
        <v>4811</v>
      </c>
      <c r="G155" s="42" t="s">
        <v>4812</v>
      </c>
      <c r="H155" s="43"/>
      <c r="I155" s="42"/>
      <c r="J155" s="42" t="s">
        <v>4813</v>
      </c>
      <c r="K155" s="42" t="s">
        <v>1895</v>
      </c>
      <c r="L155" s="42" t="s">
        <v>4814</v>
      </c>
      <c r="M155" s="42" t="s">
        <v>4815</v>
      </c>
      <c r="N155" s="42" t="s">
        <v>4816</v>
      </c>
      <c r="O155" s="42"/>
      <c r="P155" s="42" t="s">
        <v>4817</v>
      </c>
      <c r="Q155" s="42"/>
      <c r="R155" s="42" t="s">
        <v>386</v>
      </c>
      <c r="S155" s="42" t="s">
        <v>359</v>
      </c>
      <c r="T155" s="42" t="s">
        <v>3891</v>
      </c>
      <c r="U155" s="42" t="s">
        <v>498</v>
      </c>
      <c r="V155" s="44" t="s">
        <v>3892</v>
      </c>
      <c r="W155" s="42" t="s">
        <v>3892</v>
      </c>
    </row>
    <row r="156" spans="1:23">
      <c r="A156" s="40">
        <v>154</v>
      </c>
      <c r="B156" s="41">
        <v>2151047229</v>
      </c>
      <c r="C156" s="42" t="s">
        <v>4818</v>
      </c>
      <c r="D156" s="42" t="s">
        <v>760</v>
      </c>
      <c r="E156" s="43" t="s">
        <v>3795</v>
      </c>
      <c r="F156" s="42" t="s">
        <v>3967</v>
      </c>
      <c r="G156" s="42" t="s">
        <v>4819</v>
      </c>
      <c r="H156" s="43">
        <v>43511.625</v>
      </c>
      <c r="I156" s="42" t="s">
        <v>4820</v>
      </c>
      <c r="J156" s="42" t="s">
        <v>4821</v>
      </c>
      <c r="K156" s="42" t="s">
        <v>1895</v>
      </c>
      <c r="L156" s="42" t="s">
        <v>1901</v>
      </c>
      <c r="M156" s="42" t="s">
        <v>4822</v>
      </c>
      <c r="N156" s="42" t="s">
        <v>4823</v>
      </c>
      <c r="O156" s="42" t="s">
        <v>4824</v>
      </c>
      <c r="P156" s="42" t="s">
        <v>4825</v>
      </c>
      <c r="Q156" s="42" t="s">
        <v>4826</v>
      </c>
      <c r="R156" s="42" t="s">
        <v>386</v>
      </c>
      <c r="S156" s="42" t="s">
        <v>359</v>
      </c>
      <c r="T156" s="42" t="s">
        <v>3891</v>
      </c>
      <c r="U156" s="42" t="s">
        <v>498</v>
      </c>
      <c r="V156" s="44" t="s">
        <v>3892</v>
      </c>
      <c r="W156" s="42" t="s">
        <v>3892</v>
      </c>
    </row>
    <row r="157" spans="1:23">
      <c r="A157" s="40">
        <v>155</v>
      </c>
      <c r="B157" s="41">
        <v>2154077183</v>
      </c>
      <c r="C157" s="42" t="s">
        <v>396</v>
      </c>
      <c r="D157" s="42" t="s">
        <v>760</v>
      </c>
      <c r="E157" s="43" t="s">
        <v>7188</v>
      </c>
      <c r="F157" s="42" t="s">
        <v>958</v>
      </c>
      <c r="G157" s="42" t="s">
        <v>4827</v>
      </c>
      <c r="H157" s="43">
        <v>44329</v>
      </c>
      <c r="I157" s="42"/>
      <c r="J157" s="42" t="s">
        <v>4828</v>
      </c>
      <c r="K157" s="42" t="s">
        <v>1895</v>
      </c>
      <c r="L157" s="42" t="s">
        <v>4829</v>
      </c>
      <c r="M157" s="42" t="s">
        <v>4830</v>
      </c>
      <c r="N157" s="42" t="s">
        <v>4831</v>
      </c>
      <c r="O157" s="42"/>
      <c r="P157" s="42" t="s">
        <v>4832</v>
      </c>
      <c r="Q157" s="42"/>
      <c r="R157" s="42" t="s">
        <v>386</v>
      </c>
      <c r="S157" s="42" t="s">
        <v>359</v>
      </c>
      <c r="T157" s="42" t="s">
        <v>3891</v>
      </c>
      <c r="U157" s="42" t="s">
        <v>498</v>
      </c>
      <c r="V157" s="44" t="s">
        <v>3892</v>
      </c>
      <c r="W157" s="42" t="s">
        <v>3892</v>
      </c>
    </row>
    <row r="158" spans="1:23">
      <c r="A158" s="40">
        <v>156</v>
      </c>
      <c r="B158" s="41">
        <v>2151047553</v>
      </c>
      <c r="C158" s="42" t="s">
        <v>4833</v>
      </c>
      <c r="D158" s="42" t="s">
        <v>760</v>
      </c>
      <c r="E158" s="43" t="s">
        <v>1229</v>
      </c>
      <c r="F158" s="42" t="s">
        <v>1073</v>
      </c>
      <c r="G158" s="42" t="s">
        <v>4834</v>
      </c>
      <c r="H158" s="43"/>
      <c r="I158" s="42"/>
      <c r="J158" s="42" t="s">
        <v>4835</v>
      </c>
      <c r="K158" s="42" t="s">
        <v>1895</v>
      </c>
      <c r="L158" s="42" t="s">
        <v>574</v>
      </c>
      <c r="M158" s="42" t="s">
        <v>4836</v>
      </c>
      <c r="N158" s="42" t="s">
        <v>4837</v>
      </c>
      <c r="O158" s="42"/>
      <c r="P158" s="42" t="s">
        <v>4838</v>
      </c>
      <c r="Q158" s="42"/>
      <c r="R158" s="42" t="s">
        <v>386</v>
      </c>
      <c r="S158" s="42" t="s">
        <v>359</v>
      </c>
      <c r="T158" s="42" t="s">
        <v>3891</v>
      </c>
      <c r="U158" s="42" t="s">
        <v>498</v>
      </c>
      <c r="V158" s="44" t="s">
        <v>3892</v>
      </c>
      <c r="W158" s="42" t="s">
        <v>3892</v>
      </c>
    </row>
    <row r="159" spans="1:23">
      <c r="A159" s="40">
        <v>157</v>
      </c>
      <c r="B159" s="41">
        <v>2151047554</v>
      </c>
      <c r="C159" s="42" t="s">
        <v>402</v>
      </c>
      <c r="D159" s="42" t="s">
        <v>760</v>
      </c>
      <c r="E159" s="43" t="s">
        <v>7102</v>
      </c>
      <c r="F159" s="42" t="s">
        <v>4473</v>
      </c>
      <c r="G159" s="42" t="s">
        <v>4839</v>
      </c>
      <c r="H159" s="43"/>
      <c r="I159" s="42"/>
      <c r="J159" s="42" t="s">
        <v>4840</v>
      </c>
      <c r="K159" s="42" t="s">
        <v>1895</v>
      </c>
      <c r="L159" s="42" t="s">
        <v>575</v>
      </c>
      <c r="M159" s="42" t="s">
        <v>4841</v>
      </c>
      <c r="N159" s="42" t="s">
        <v>4842</v>
      </c>
      <c r="O159" s="42"/>
      <c r="P159" s="42" t="s">
        <v>4843</v>
      </c>
      <c r="Q159" s="42"/>
      <c r="R159" s="42" t="s">
        <v>386</v>
      </c>
      <c r="S159" s="42" t="s">
        <v>359</v>
      </c>
      <c r="T159" s="42" t="s">
        <v>3891</v>
      </c>
      <c r="U159" s="42" t="s">
        <v>498</v>
      </c>
      <c r="V159" s="44" t="s">
        <v>3892</v>
      </c>
      <c r="W159" s="42" t="s">
        <v>3892</v>
      </c>
    </row>
    <row r="160" spans="1:23">
      <c r="A160" s="40">
        <v>158</v>
      </c>
      <c r="B160" s="41">
        <v>2151047231</v>
      </c>
      <c r="C160" s="42" t="s">
        <v>4844</v>
      </c>
      <c r="D160" s="42" t="s">
        <v>760</v>
      </c>
      <c r="E160" s="43" t="s">
        <v>7097</v>
      </c>
      <c r="F160" s="42" t="s">
        <v>4845</v>
      </c>
      <c r="G160" s="42" t="s">
        <v>4846</v>
      </c>
      <c r="H160" s="43">
        <v>44959</v>
      </c>
      <c r="I160" s="42"/>
      <c r="J160" s="42" t="s">
        <v>4847</v>
      </c>
      <c r="K160" s="42" t="s">
        <v>1895</v>
      </c>
      <c r="L160" s="42" t="s">
        <v>4848</v>
      </c>
      <c r="M160" s="42" t="s">
        <v>4849</v>
      </c>
      <c r="N160" s="42" t="s">
        <v>4850</v>
      </c>
      <c r="O160" s="42"/>
      <c r="P160" s="42" t="s">
        <v>4851</v>
      </c>
      <c r="Q160" s="42"/>
      <c r="R160" s="42" t="s">
        <v>386</v>
      </c>
      <c r="S160" s="42" t="s">
        <v>359</v>
      </c>
      <c r="T160" s="42" t="s">
        <v>3891</v>
      </c>
      <c r="U160" s="42" t="s">
        <v>498</v>
      </c>
      <c r="V160" s="44" t="s">
        <v>3892</v>
      </c>
      <c r="W160" s="42" t="s">
        <v>3892</v>
      </c>
    </row>
    <row r="161" spans="1:23">
      <c r="A161" s="40">
        <v>159</v>
      </c>
      <c r="B161" s="41">
        <v>2151047555</v>
      </c>
      <c r="C161" s="42" t="s">
        <v>420</v>
      </c>
      <c r="D161" s="42" t="s">
        <v>760</v>
      </c>
      <c r="E161" s="43" t="s">
        <v>7098</v>
      </c>
      <c r="F161" s="42" t="s">
        <v>4852</v>
      </c>
      <c r="G161" s="42" t="s">
        <v>4853</v>
      </c>
      <c r="H161" s="43">
        <v>44879</v>
      </c>
      <c r="I161" s="42"/>
      <c r="J161" s="42" t="s">
        <v>4854</v>
      </c>
      <c r="K161" s="42" t="s">
        <v>1895</v>
      </c>
      <c r="L161" s="42" t="s">
        <v>576</v>
      </c>
      <c r="M161" s="42" t="s">
        <v>4855</v>
      </c>
      <c r="N161" s="42" t="s">
        <v>4856</v>
      </c>
      <c r="O161" s="42"/>
      <c r="P161" s="42" t="s">
        <v>4857</v>
      </c>
      <c r="Q161" s="42"/>
      <c r="R161" s="42" t="s">
        <v>386</v>
      </c>
      <c r="S161" s="42" t="s">
        <v>359</v>
      </c>
      <c r="T161" s="42" t="s">
        <v>3891</v>
      </c>
      <c r="U161" s="42" t="s">
        <v>498</v>
      </c>
      <c r="V161" s="44" t="s">
        <v>3892</v>
      </c>
      <c r="W161" s="42" t="s">
        <v>3892</v>
      </c>
    </row>
    <row r="162" spans="1:23">
      <c r="A162" s="40">
        <v>160</v>
      </c>
      <c r="B162" s="41">
        <v>2151047556</v>
      </c>
      <c r="C162" s="42" t="s">
        <v>4858</v>
      </c>
      <c r="D162" s="42" t="s">
        <v>760</v>
      </c>
      <c r="E162" s="43" t="s">
        <v>7189</v>
      </c>
      <c r="F162" s="42" t="s">
        <v>3900</v>
      </c>
      <c r="G162" s="42" t="s">
        <v>4859</v>
      </c>
      <c r="H162" s="43"/>
      <c r="I162" s="42"/>
      <c r="J162" s="42" t="s">
        <v>4860</v>
      </c>
      <c r="K162" s="42" t="s">
        <v>1895</v>
      </c>
      <c r="L162" s="42" t="s">
        <v>577</v>
      </c>
      <c r="M162" s="42" t="s">
        <v>4861</v>
      </c>
      <c r="N162" s="42" t="s">
        <v>4862</v>
      </c>
      <c r="O162" s="42"/>
      <c r="P162" s="42" t="s">
        <v>4863</v>
      </c>
      <c r="Q162" s="42"/>
      <c r="R162" s="42" t="s">
        <v>386</v>
      </c>
      <c r="S162" s="42" t="s">
        <v>359</v>
      </c>
      <c r="T162" s="42" t="s">
        <v>3891</v>
      </c>
      <c r="U162" s="42" t="s">
        <v>498</v>
      </c>
      <c r="V162" s="44" t="s">
        <v>3892</v>
      </c>
      <c r="W162" s="42" t="s">
        <v>3892</v>
      </c>
    </row>
    <row r="163" spans="1:23">
      <c r="A163" s="40">
        <v>161</v>
      </c>
      <c r="B163" s="41">
        <v>2151047043</v>
      </c>
      <c r="C163" s="42" t="s">
        <v>4864</v>
      </c>
      <c r="D163" s="42" t="s">
        <v>760</v>
      </c>
      <c r="E163" s="43" t="s">
        <v>7190</v>
      </c>
      <c r="F163" s="42" t="s">
        <v>3900</v>
      </c>
      <c r="G163" s="42" t="s">
        <v>4865</v>
      </c>
      <c r="H163" s="43"/>
      <c r="I163" s="42"/>
      <c r="J163" s="42" t="s">
        <v>4866</v>
      </c>
      <c r="K163" s="42" t="s">
        <v>1895</v>
      </c>
      <c r="L163" s="42" t="s">
        <v>4867</v>
      </c>
      <c r="M163" s="42" t="s">
        <v>4868</v>
      </c>
      <c r="N163" s="42" t="s">
        <v>4869</v>
      </c>
      <c r="O163" s="42"/>
      <c r="P163" s="42" t="s">
        <v>4870</v>
      </c>
      <c r="Q163" s="42"/>
      <c r="R163" s="42" t="s">
        <v>386</v>
      </c>
      <c r="S163" s="42" t="s">
        <v>359</v>
      </c>
      <c r="T163" s="42" t="s">
        <v>3891</v>
      </c>
      <c r="U163" s="42" t="s">
        <v>498</v>
      </c>
      <c r="V163" s="44" t="s">
        <v>3892</v>
      </c>
      <c r="W163" s="42" t="s">
        <v>3892</v>
      </c>
    </row>
    <row r="164" spans="1:23">
      <c r="A164" s="40">
        <v>162</v>
      </c>
      <c r="B164" s="41">
        <v>2151047557</v>
      </c>
      <c r="C164" s="42" t="s">
        <v>4871</v>
      </c>
      <c r="D164" s="42" t="s">
        <v>760</v>
      </c>
      <c r="E164" s="43" t="s">
        <v>7191</v>
      </c>
      <c r="F164" s="42" t="s">
        <v>3900</v>
      </c>
      <c r="G164" s="42" t="s">
        <v>4872</v>
      </c>
      <c r="H164" s="43"/>
      <c r="I164" s="42"/>
      <c r="J164" s="42" t="s">
        <v>4873</v>
      </c>
      <c r="K164" s="42" t="s">
        <v>1895</v>
      </c>
      <c r="L164" s="42" t="s">
        <v>578</v>
      </c>
      <c r="M164" s="42" t="s">
        <v>4874</v>
      </c>
      <c r="N164" s="42" t="s">
        <v>4875</v>
      </c>
      <c r="O164" s="42"/>
      <c r="P164" s="42" t="s">
        <v>4876</v>
      </c>
      <c r="Q164" s="42"/>
      <c r="R164" s="42" t="s">
        <v>386</v>
      </c>
      <c r="S164" s="42" t="s">
        <v>359</v>
      </c>
      <c r="T164" s="42" t="s">
        <v>3891</v>
      </c>
      <c r="U164" s="42" t="s">
        <v>498</v>
      </c>
      <c r="V164" s="44" t="s">
        <v>3892</v>
      </c>
      <c r="W164" s="42" t="s">
        <v>3892</v>
      </c>
    </row>
    <row r="165" spans="1:23">
      <c r="A165" s="40">
        <v>163</v>
      </c>
      <c r="B165" s="41">
        <v>2151047044</v>
      </c>
      <c r="C165" s="42" t="s">
        <v>408</v>
      </c>
      <c r="D165" s="42" t="s">
        <v>760</v>
      </c>
      <c r="E165" s="43" t="s">
        <v>7104</v>
      </c>
      <c r="F165" s="42" t="s">
        <v>1032</v>
      </c>
      <c r="G165" s="42" t="s">
        <v>4877</v>
      </c>
      <c r="H165" s="43"/>
      <c r="I165" s="42"/>
      <c r="J165" s="42" t="s">
        <v>4878</v>
      </c>
      <c r="K165" s="42" t="s">
        <v>1895</v>
      </c>
      <c r="L165" s="42" t="s">
        <v>4879</v>
      </c>
      <c r="M165" s="42" t="s">
        <v>4880</v>
      </c>
      <c r="N165" s="42" t="s">
        <v>4881</v>
      </c>
      <c r="O165" s="42"/>
      <c r="P165" s="42" t="s">
        <v>4882</v>
      </c>
      <c r="Q165" s="42"/>
      <c r="R165" s="42" t="s">
        <v>386</v>
      </c>
      <c r="S165" s="42" t="s">
        <v>359</v>
      </c>
      <c r="T165" s="42" t="s">
        <v>3891</v>
      </c>
      <c r="U165" s="42" t="s">
        <v>498</v>
      </c>
      <c r="V165" s="44" t="s">
        <v>3892</v>
      </c>
      <c r="W165" s="42" t="s">
        <v>3892</v>
      </c>
    </row>
    <row r="166" spans="1:23">
      <c r="A166" s="40">
        <v>164</v>
      </c>
      <c r="B166" s="41">
        <v>2151047558</v>
      </c>
      <c r="C166" s="42" t="s">
        <v>4883</v>
      </c>
      <c r="D166" s="42" t="s">
        <v>760</v>
      </c>
      <c r="E166" s="43" t="s">
        <v>7192</v>
      </c>
      <c r="F166" s="42" t="s">
        <v>4352</v>
      </c>
      <c r="G166" s="42" t="s">
        <v>4884</v>
      </c>
      <c r="H166" s="43"/>
      <c r="I166" s="42"/>
      <c r="J166" s="42" t="s">
        <v>4885</v>
      </c>
      <c r="K166" s="42" t="s">
        <v>1895</v>
      </c>
      <c r="L166" s="42" t="s">
        <v>579</v>
      </c>
      <c r="M166" s="42" t="s">
        <v>4886</v>
      </c>
      <c r="N166" s="42" t="s">
        <v>4887</v>
      </c>
      <c r="O166" s="42"/>
      <c r="P166" s="42" t="s">
        <v>4888</v>
      </c>
      <c r="Q166" s="42"/>
      <c r="R166" s="42" t="s">
        <v>386</v>
      </c>
      <c r="S166" s="42" t="s">
        <v>359</v>
      </c>
      <c r="T166" s="42" t="s">
        <v>3891</v>
      </c>
      <c r="U166" s="42" t="s">
        <v>498</v>
      </c>
      <c r="V166" s="44" t="s">
        <v>3892</v>
      </c>
      <c r="W166" s="42" t="s">
        <v>3892</v>
      </c>
    </row>
    <row r="167" spans="1:23">
      <c r="A167" s="40">
        <v>165</v>
      </c>
      <c r="B167" s="41">
        <v>2151047559</v>
      </c>
      <c r="C167" s="42" t="s">
        <v>416</v>
      </c>
      <c r="D167" s="42" t="s">
        <v>760</v>
      </c>
      <c r="E167" s="43" t="s">
        <v>2595</v>
      </c>
      <c r="F167" s="42" t="s">
        <v>857</v>
      </c>
      <c r="G167" s="42" t="s">
        <v>4889</v>
      </c>
      <c r="H167" s="43"/>
      <c r="I167" s="42"/>
      <c r="J167" s="42" t="s">
        <v>4890</v>
      </c>
      <c r="K167" s="42" t="s">
        <v>1895</v>
      </c>
      <c r="L167" s="42" t="s">
        <v>580</v>
      </c>
      <c r="M167" s="42" t="s">
        <v>4891</v>
      </c>
      <c r="N167" s="42" t="s">
        <v>4892</v>
      </c>
      <c r="O167" s="42"/>
      <c r="P167" s="42" t="s">
        <v>4893</v>
      </c>
      <c r="Q167" s="42"/>
      <c r="R167" s="42" t="s">
        <v>386</v>
      </c>
      <c r="S167" s="42" t="s">
        <v>359</v>
      </c>
      <c r="T167" s="42" t="s">
        <v>3891</v>
      </c>
      <c r="U167" s="42" t="s">
        <v>498</v>
      </c>
      <c r="V167" s="44" t="s">
        <v>3892</v>
      </c>
      <c r="W167" s="42" t="s">
        <v>3892</v>
      </c>
    </row>
    <row r="168" spans="1:23">
      <c r="A168" s="40">
        <v>166</v>
      </c>
      <c r="B168" s="41">
        <v>2151047045</v>
      </c>
      <c r="C168" s="42" t="s">
        <v>412</v>
      </c>
      <c r="D168" s="42" t="s">
        <v>760</v>
      </c>
      <c r="E168" s="43" t="s">
        <v>7193</v>
      </c>
      <c r="F168" s="42" t="s">
        <v>776</v>
      </c>
      <c r="G168" s="42" t="s">
        <v>4894</v>
      </c>
      <c r="H168" s="43">
        <v>45489</v>
      </c>
      <c r="I168" s="42"/>
      <c r="J168" s="42" t="s">
        <v>4895</v>
      </c>
      <c r="K168" s="42" t="s">
        <v>1895</v>
      </c>
      <c r="L168" s="42" t="s">
        <v>4896</v>
      </c>
      <c r="M168" s="42"/>
      <c r="N168" s="42" t="s">
        <v>4897</v>
      </c>
      <c r="O168" s="42"/>
      <c r="P168" s="42" t="s">
        <v>4898</v>
      </c>
      <c r="Q168" s="42"/>
      <c r="R168" s="42" t="s">
        <v>386</v>
      </c>
      <c r="S168" s="42" t="s">
        <v>359</v>
      </c>
      <c r="T168" s="42" t="s">
        <v>3891</v>
      </c>
      <c r="U168" s="42" t="s">
        <v>498</v>
      </c>
      <c r="V168" s="44" t="s">
        <v>3892</v>
      </c>
      <c r="W168" s="42" t="s">
        <v>3892</v>
      </c>
    </row>
    <row r="169" spans="1:23">
      <c r="A169" s="40">
        <v>167</v>
      </c>
      <c r="B169" s="41">
        <v>2151047046</v>
      </c>
      <c r="C169" s="42" t="s">
        <v>426</v>
      </c>
      <c r="D169" s="42" t="s">
        <v>760</v>
      </c>
      <c r="E169" s="43" t="s">
        <v>7194</v>
      </c>
      <c r="F169" s="42" t="s">
        <v>811</v>
      </c>
      <c r="G169" s="42" t="s">
        <v>4899</v>
      </c>
      <c r="H169" s="43"/>
      <c r="I169" s="42"/>
      <c r="J169" s="42" t="s">
        <v>4900</v>
      </c>
      <c r="K169" s="42" t="s">
        <v>1895</v>
      </c>
      <c r="L169" s="42" t="s">
        <v>4901</v>
      </c>
      <c r="M169" s="42" t="s">
        <v>4902</v>
      </c>
      <c r="N169" s="42" t="s">
        <v>4903</v>
      </c>
      <c r="O169" s="42"/>
      <c r="P169" s="42" t="s">
        <v>4904</v>
      </c>
      <c r="Q169" s="42"/>
      <c r="R169" s="42" t="s">
        <v>386</v>
      </c>
      <c r="S169" s="42" t="s">
        <v>359</v>
      </c>
      <c r="T169" s="42" t="s">
        <v>3891</v>
      </c>
      <c r="U169" s="42" t="s">
        <v>498</v>
      </c>
      <c r="V169" s="44" t="s">
        <v>3892</v>
      </c>
      <c r="W169" s="42" t="s">
        <v>3892</v>
      </c>
    </row>
    <row r="170" spans="1:23">
      <c r="A170" s="40">
        <v>168</v>
      </c>
      <c r="B170" s="41">
        <v>2151047560</v>
      </c>
      <c r="C170" s="42" t="s">
        <v>410</v>
      </c>
      <c r="D170" s="42" t="s">
        <v>760</v>
      </c>
      <c r="E170" s="43" t="s">
        <v>7195</v>
      </c>
      <c r="F170" s="42" t="s">
        <v>3938</v>
      </c>
      <c r="G170" s="42" t="s">
        <v>4905</v>
      </c>
      <c r="H170" s="43"/>
      <c r="I170" s="42"/>
      <c r="J170" s="42" t="s">
        <v>4906</v>
      </c>
      <c r="K170" s="42" t="s">
        <v>1895</v>
      </c>
      <c r="L170" s="42" t="s">
        <v>581</v>
      </c>
      <c r="M170" s="42" t="s">
        <v>4348</v>
      </c>
      <c r="N170" s="42" t="s">
        <v>4907</v>
      </c>
      <c r="O170" s="42"/>
      <c r="P170" s="42" t="s">
        <v>4908</v>
      </c>
      <c r="Q170" s="42"/>
      <c r="R170" s="42" t="s">
        <v>386</v>
      </c>
      <c r="S170" s="42" t="s">
        <v>359</v>
      </c>
      <c r="T170" s="42" t="s">
        <v>3891</v>
      </c>
      <c r="U170" s="42" t="s">
        <v>498</v>
      </c>
      <c r="V170" s="44" t="s">
        <v>3892</v>
      </c>
      <c r="W170" s="42" t="s">
        <v>3892</v>
      </c>
    </row>
    <row r="171" spans="1:23">
      <c r="A171" s="40">
        <v>169</v>
      </c>
      <c r="B171" s="41">
        <v>2151047048</v>
      </c>
      <c r="C171" s="42" t="s">
        <v>4909</v>
      </c>
      <c r="D171" s="42" t="s">
        <v>760</v>
      </c>
      <c r="E171" s="43" t="s">
        <v>7196</v>
      </c>
      <c r="F171" s="42" t="s">
        <v>844</v>
      </c>
      <c r="G171" s="42" t="s">
        <v>4910</v>
      </c>
      <c r="H171" s="43"/>
      <c r="I171" s="42"/>
      <c r="J171" s="42" t="s">
        <v>4911</v>
      </c>
      <c r="K171" s="42" t="s">
        <v>1895</v>
      </c>
      <c r="L171" s="42" t="s">
        <v>4912</v>
      </c>
      <c r="M171" s="42" t="s">
        <v>4913</v>
      </c>
      <c r="N171" s="42" t="s">
        <v>4914</v>
      </c>
      <c r="O171" s="42"/>
      <c r="P171" s="42" t="s">
        <v>4915</v>
      </c>
      <c r="Q171" s="42"/>
      <c r="R171" s="42" t="s">
        <v>386</v>
      </c>
      <c r="S171" s="42" t="s">
        <v>359</v>
      </c>
      <c r="T171" s="42" t="s">
        <v>3891</v>
      </c>
      <c r="U171" s="42" t="s">
        <v>498</v>
      </c>
      <c r="V171" s="44" t="s">
        <v>3892</v>
      </c>
      <c r="W171" s="42" t="s">
        <v>3892</v>
      </c>
    </row>
    <row r="172" spans="1:23" ht="60">
      <c r="A172" s="40">
        <v>170</v>
      </c>
      <c r="B172" s="41">
        <v>2151047561</v>
      </c>
      <c r="C172" s="42" t="s">
        <v>4916</v>
      </c>
      <c r="D172" s="42" t="s">
        <v>760</v>
      </c>
      <c r="E172" s="43" t="s">
        <v>7197</v>
      </c>
      <c r="F172" s="42" t="s">
        <v>3900</v>
      </c>
      <c r="G172" s="42" t="s">
        <v>4917</v>
      </c>
      <c r="H172" s="43"/>
      <c r="I172" s="42"/>
      <c r="J172" s="42" t="s">
        <v>4918</v>
      </c>
      <c r="K172" s="42" t="s">
        <v>1895</v>
      </c>
      <c r="L172" s="42" t="s">
        <v>582</v>
      </c>
      <c r="M172" s="42" t="s">
        <v>4919</v>
      </c>
      <c r="N172" s="42" t="s">
        <v>4920</v>
      </c>
      <c r="O172" s="42"/>
      <c r="P172" s="42" t="s">
        <v>4921</v>
      </c>
      <c r="Q172" s="42"/>
      <c r="R172" s="42" t="s">
        <v>386</v>
      </c>
      <c r="S172" s="42" t="s">
        <v>359</v>
      </c>
      <c r="T172" s="42" t="s">
        <v>3891</v>
      </c>
      <c r="U172" s="42" t="s">
        <v>498</v>
      </c>
      <c r="V172" s="44" t="s">
        <v>4922</v>
      </c>
      <c r="W172" s="42" t="s">
        <v>3905</v>
      </c>
    </row>
    <row r="173" spans="1:23">
      <c r="A173" s="40">
        <v>171</v>
      </c>
      <c r="B173" s="41">
        <v>2154077192</v>
      </c>
      <c r="C173" s="42" t="s">
        <v>418</v>
      </c>
      <c r="D173" s="42" t="s">
        <v>760</v>
      </c>
      <c r="E173" s="43" t="s">
        <v>1873</v>
      </c>
      <c r="F173" s="42"/>
      <c r="G173" s="42" t="s">
        <v>4923</v>
      </c>
      <c r="H173" s="43"/>
      <c r="I173" s="42"/>
      <c r="J173" s="42" t="s">
        <v>4924</v>
      </c>
      <c r="K173" s="42" t="s">
        <v>4925</v>
      </c>
      <c r="L173" s="42" t="s">
        <v>4925</v>
      </c>
      <c r="M173" s="42" t="s">
        <v>4926</v>
      </c>
      <c r="N173" s="42"/>
      <c r="O173" s="42"/>
      <c r="P173" s="42"/>
      <c r="Q173" s="42"/>
      <c r="R173" s="42" t="s">
        <v>386</v>
      </c>
      <c r="S173" s="42" t="s">
        <v>359</v>
      </c>
      <c r="T173" s="42" t="s">
        <v>3891</v>
      </c>
      <c r="U173" s="42" t="s">
        <v>498</v>
      </c>
      <c r="V173" s="44" t="s">
        <v>3892</v>
      </c>
      <c r="W173" s="42" t="s">
        <v>3892</v>
      </c>
    </row>
    <row r="174" spans="1:23">
      <c r="A174" s="40">
        <v>172</v>
      </c>
      <c r="B174" s="41">
        <v>2151047562</v>
      </c>
      <c r="C174" s="42" t="s">
        <v>4927</v>
      </c>
      <c r="D174" s="42" t="s">
        <v>760</v>
      </c>
      <c r="E174" s="43" t="s">
        <v>7198</v>
      </c>
      <c r="F174" s="42"/>
      <c r="G174" s="42" t="s">
        <v>4928</v>
      </c>
      <c r="H174" s="43"/>
      <c r="I174" s="42"/>
      <c r="J174" s="42" t="s">
        <v>4929</v>
      </c>
      <c r="K174" s="42" t="s">
        <v>583</v>
      </c>
      <c r="L174" s="42" t="s">
        <v>583</v>
      </c>
      <c r="M174" s="42" t="s">
        <v>4930</v>
      </c>
      <c r="N174" s="42"/>
      <c r="O174" s="42"/>
      <c r="P174" s="42"/>
      <c r="Q174" s="42"/>
      <c r="R174" s="42" t="s">
        <v>386</v>
      </c>
      <c r="S174" s="42" t="s">
        <v>359</v>
      </c>
      <c r="T174" s="42" t="s">
        <v>3891</v>
      </c>
      <c r="U174" s="42" t="s">
        <v>498</v>
      </c>
      <c r="V174" s="44" t="s">
        <v>3892</v>
      </c>
      <c r="W174" s="42" t="s">
        <v>3892</v>
      </c>
    </row>
    <row r="175" spans="1:23" ht="105">
      <c r="A175" s="40">
        <v>173</v>
      </c>
      <c r="B175" s="41">
        <v>2151047563</v>
      </c>
      <c r="C175" s="42" t="s">
        <v>4931</v>
      </c>
      <c r="D175" s="42" t="s">
        <v>765</v>
      </c>
      <c r="E175" s="43" t="s">
        <v>7199</v>
      </c>
      <c r="F175" s="42" t="s">
        <v>761</v>
      </c>
      <c r="G175" s="42" t="s">
        <v>4932</v>
      </c>
      <c r="H175" s="43"/>
      <c r="I175" s="42"/>
      <c r="J175" s="42" t="s">
        <v>4933</v>
      </c>
      <c r="K175" s="42" t="s">
        <v>1895</v>
      </c>
      <c r="L175" s="42" t="s">
        <v>584</v>
      </c>
      <c r="M175" s="42" t="s">
        <v>4052</v>
      </c>
      <c r="N175" s="42" t="s">
        <v>4934</v>
      </c>
      <c r="O175" s="42"/>
      <c r="P175" s="42" t="s">
        <v>1854</v>
      </c>
      <c r="Q175" s="42"/>
      <c r="R175" s="42" t="s">
        <v>386</v>
      </c>
      <c r="S175" s="42" t="s">
        <v>359</v>
      </c>
      <c r="T175" s="42" t="s">
        <v>3891</v>
      </c>
      <c r="U175" s="42" t="s">
        <v>498</v>
      </c>
      <c r="V175" s="44" t="s">
        <v>4935</v>
      </c>
      <c r="W175" s="42" t="s">
        <v>3905</v>
      </c>
    </row>
    <row r="176" spans="1:23">
      <c r="A176" s="40">
        <v>174</v>
      </c>
      <c r="B176" s="41">
        <v>2151047567</v>
      </c>
      <c r="C176" s="42" t="s">
        <v>436</v>
      </c>
      <c r="D176" s="42" t="s">
        <v>760</v>
      </c>
      <c r="E176" s="43" t="s">
        <v>7200</v>
      </c>
      <c r="F176" s="42" t="s">
        <v>853</v>
      </c>
      <c r="G176" s="42" t="s">
        <v>4936</v>
      </c>
      <c r="H176" s="43"/>
      <c r="I176" s="42"/>
      <c r="J176" s="42" t="s">
        <v>4937</v>
      </c>
      <c r="K176" s="42" t="s">
        <v>1895</v>
      </c>
      <c r="L176" s="42" t="s">
        <v>588</v>
      </c>
      <c r="M176" s="42" t="s">
        <v>4938</v>
      </c>
      <c r="N176" s="42" t="s">
        <v>4939</v>
      </c>
      <c r="O176" s="42"/>
      <c r="P176" s="42" t="s">
        <v>4940</v>
      </c>
      <c r="Q176" s="42"/>
      <c r="R176" s="42" t="s">
        <v>386</v>
      </c>
      <c r="S176" s="42" t="s">
        <v>359</v>
      </c>
      <c r="T176" s="42" t="s">
        <v>3891</v>
      </c>
      <c r="U176" s="42" t="s">
        <v>498</v>
      </c>
      <c r="V176" s="44" t="s">
        <v>3892</v>
      </c>
      <c r="W176" s="42" t="s">
        <v>3892</v>
      </c>
    </row>
    <row r="177" spans="1:23">
      <c r="A177" s="40">
        <v>175</v>
      </c>
      <c r="B177" s="41">
        <v>2151047049</v>
      </c>
      <c r="C177" s="42" t="s">
        <v>4941</v>
      </c>
      <c r="D177" s="42" t="s">
        <v>760</v>
      </c>
      <c r="E177" s="43" t="s">
        <v>3843</v>
      </c>
      <c r="F177" s="42" t="s">
        <v>3900</v>
      </c>
      <c r="G177" s="42" t="s">
        <v>4942</v>
      </c>
      <c r="H177" s="43"/>
      <c r="I177" s="42"/>
      <c r="J177" s="42" t="s">
        <v>4943</v>
      </c>
      <c r="K177" s="42" t="s">
        <v>1895</v>
      </c>
      <c r="L177" s="42" t="s">
        <v>4944</v>
      </c>
      <c r="M177" s="42" t="s">
        <v>4945</v>
      </c>
      <c r="N177" s="42" t="s">
        <v>3916</v>
      </c>
      <c r="O177" s="42"/>
      <c r="P177" s="42" t="s">
        <v>4946</v>
      </c>
      <c r="Q177" s="42"/>
      <c r="R177" s="42" t="s">
        <v>386</v>
      </c>
      <c r="S177" s="42" t="s">
        <v>359</v>
      </c>
      <c r="T177" s="42" t="s">
        <v>3891</v>
      </c>
      <c r="U177" s="42" t="s">
        <v>498</v>
      </c>
      <c r="V177" s="44" t="s">
        <v>3892</v>
      </c>
      <c r="W177" s="42" t="s">
        <v>3892</v>
      </c>
    </row>
    <row r="178" spans="1:23">
      <c r="A178" s="40">
        <v>176</v>
      </c>
      <c r="B178" s="41">
        <v>2151047570</v>
      </c>
      <c r="C178" s="42" t="s">
        <v>4947</v>
      </c>
      <c r="D178" s="42" t="s">
        <v>760</v>
      </c>
      <c r="E178" s="43" t="s">
        <v>7128</v>
      </c>
      <c r="F178" s="42" t="s">
        <v>4948</v>
      </c>
      <c r="G178" s="42" t="s">
        <v>4949</v>
      </c>
      <c r="H178" s="43"/>
      <c r="I178" s="42"/>
      <c r="J178" s="42" t="s">
        <v>4950</v>
      </c>
      <c r="K178" s="42" t="s">
        <v>1895</v>
      </c>
      <c r="L178" s="42" t="s">
        <v>591</v>
      </c>
      <c r="M178" s="42" t="s">
        <v>4052</v>
      </c>
      <c r="N178" s="42" t="s">
        <v>4951</v>
      </c>
      <c r="O178" s="42"/>
      <c r="P178" s="42" t="s">
        <v>4952</v>
      </c>
      <c r="Q178" s="42"/>
      <c r="R178" s="42" t="s">
        <v>386</v>
      </c>
      <c r="S178" s="42" t="s">
        <v>359</v>
      </c>
      <c r="T178" s="42" t="s">
        <v>3891</v>
      </c>
      <c r="U178" s="42" t="s">
        <v>498</v>
      </c>
      <c r="V178" s="44" t="s">
        <v>3892</v>
      </c>
      <c r="W178" s="42" t="s">
        <v>3892</v>
      </c>
    </row>
    <row r="179" spans="1:23">
      <c r="A179" s="40">
        <v>177</v>
      </c>
      <c r="B179" s="41">
        <v>2151047573</v>
      </c>
      <c r="C179" s="42" t="s">
        <v>424</v>
      </c>
      <c r="D179" s="42" t="s">
        <v>760</v>
      </c>
      <c r="E179" s="43" t="s">
        <v>7201</v>
      </c>
      <c r="F179" s="42" t="s">
        <v>804</v>
      </c>
      <c r="G179" s="42" t="s">
        <v>4953</v>
      </c>
      <c r="H179" s="43">
        <v>44294</v>
      </c>
      <c r="I179" s="42"/>
      <c r="J179" s="42" t="s">
        <v>4954</v>
      </c>
      <c r="K179" s="42" t="s">
        <v>1895</v>
      </c>
      <c r="L179" s="42" t="s">
        <v>594</v>
      </c>
      <c r="M179" s="42" t="s">
        <v>4955</v>
      </c>
      <c r="N179" s="42" t="s">
        <v>4956</v>
      </c>
      <c r="O179" s="42"/>
      <c r="P179" s="42" t="s">
        <v>4957</v>
      </c>
      <c r="Q179" s="42"/>
      <c r="R179" s="42" t="s">
        <v>386</v>
      </c>
      <c r="S179" s="42" t="s">
        <v>359</v>
      </c>
      <c r="T179" s="42" t="s">
        <v>3891</v>
      </c>
      <c r="U179" s="42" t="s">
        <v>498</v>
      </c>
      <c r="V179" s="44" t="s">
        <v>3892</v>
      </c>
      <c r="W179" s="42" t="s">
        <v>3892</v>
      </c>
    </row>
    <row r="180" spans="1:23">
      <c r="A180" s="40">
        <v>178</v>
      </c>
      <c r="B180" s="41">
        <v>2151047574</v>
      </c>
      <c r="C180" s="42" t="s">
        <v>414</v>
      </c>
      <c r="D180" s="42" t="s">
        <v>765</v>
      </c>
      <c r="E180" s="43" t="s">
        <v>7185</v>
      </c>
      <c r="F180" s="42" t="s">
        <v>975</v>
      </c>
      <c r="G180" s="42" t="s">
        <v>4958</v>
      </c>
      <c r="H180" s="43"/>
      <c r="I180" s="42"/>
      <c r="J180" s="42" t="s">
        <v>4959</v>
      </c>
      <c r="K180" s="42" t="s">
        <v>1895</v>
      </c>
      <c r="L180" s="42" t="s">
        <v>595</v>
      </c>
      <c r="M180" s="42" t="s">
        <v>4960</v>
      </c>
      <c r="N180" s="42" t="s">
        <v>4961</v>
      </c>
      <c r="O180" s="42"/>
      <c r="P180" s="42" t="s">
        <v>4962</v>
      </c>
      <c r="Q180" s="42"/>
      <c r="R180" s="42" t="s">
        <v>386</v>
      </c>
      <c r="S180" s="42" t="s">
        <v>359</v>
      </c>
      <c r="T180" s="42" t="s">
        <v>3891</v>
      </c>
      <c r="U180" s="42" t="s">
        <v>498</v>
      </c>
      <c r="V180" s="44" t="s">
        <v>3892</v>
      </c>
      <c r="W180" s="42" t="s">
        <v>3892</v>
      </c>
    </row>
    <row r="181" spans="1:23">
      <c r="A181" s="40">
        <v>179</v>
      </c>
      <c r="B181" s="41">
        <v>2154037752</v>
      </c>
      <c r="C181" s="42" t="s">
        <v>4963</v>
      </c>
      <c r="D181" s="42" t="s">
        <v>765</v>
      </c>
      <c r="E181" s="43" t="s">
        <v>7202</v>
      </c>
      <c r="F181" s="42"/>
      <c r="G181" s="42" t="s">
        <v>4964</v>
      </c>
      <c r="H181" s="43"/>
      <c r="I181" s="42"/>
      <c r="J181" s="42" t="s">
        <v>4965</v>
      </c>
      <c r="K181" s="42" t="s">
        <v>4966</v>
      </c>
      <c r="L181" s="42" t="s">
        <v>4966</v>
      </c>
      <c r="M181" s="42" t="s">
        <v>4967</v>
      </c>
      <c r="N181" s="42"/>
      <c r="O181" s="42"/>
      <c r="P181" s="42"/>
      <c r="Q181" s="42"/>
      <c r="R181" s="42" t="s">
        <v>151</v>
      </c>
      <c r="S181" s="42" t="s">
        <v>494</v>
      </c>
      <c r="T181" s="42" t="s">
        <v>4968</v>
      </c>
      <c r="U181" s="42" t="s">
        <v>498</v>
      </c>
      <c r="V181" s="44" t="s">
        <v>3892</v>
      </c>
      <c r="W181" s="42" t="s">
        <v>3892</v>
      </c>
    </row>
    <row r="182" spans="1:23">
      <c r="A182" s="40">
        <v>180</v>
      </c>
      <c r="B182" s="41">
        <v>2154027253</v>
      </c>
      <c r="C182" s="42" t="s">
        <v>4969</v>
      </c>
      <c r="D182" s="42" t="s">
        <v>765</v>
      </c>
      <c r="E182" s="43" t="s">
        <v>1712</v>
      </c>
      <c r="F182" s="42" t="s">
        <v>861</v>
      </c>
      <c r="G182" s="42" t="s">
        <v>4970</v>
      </c>
      <c r="H182" s="43"/>
      <c r="I182" s="42"/>
      <c r="J182" s="42" t="s">
        <v>4971</v>
      </c>
      <c r="K182" s="42" t="s">
        <v>1895</v>
      </c>
      <c r="L182" s="42" t="s">
        <v>4972</v>
      </c>
      <c r="M182" s="42" t="s">
        <v>4973</v>
      </c>
      <c r="N182" s="42" t="s">
        <v>4974</v>
      </c>
      <c r="O182" s="42"/>
      <c r="P182" s="42" t="s">
        <v>4975</v>
      </c>
      <c r="Q182" s="42"/>
      <c r="R182" s="42" t="s">
        <v>151</v>
      </c>
      <c r="S182" s="42" t="s">
        <v>494</v>
      </c>
      <c r="T182" s="42" t="s">
        <v>4968</v>
      </c>
      <c r="U182" s="42" t="s">
        <v>498</v>
      </c>
      <c r="V182" s="44" t="s">
        <v>3892</v>
      </c>
      <c r="W182" s="42" t="s">
        <v>3892</v>
      </c>
    </row>
    <row r="183" spans="1:23">
      <c r="A183" s="40">
        <v>181</v>
      </c>
      <c r="B183" s="41">
        <v>2154037150</v>
      </c>
      <c r="C183" s="42" t="s">
        <v>174</v>
      </c>
      <c r="D183" s="42" t="s">
        <v>765</v>
      </c>
      <c r="E183" s="43" t="s">
        <v>7203</v>
      </c>
      <c r="F183" s="42" t="s">
        <v>3900</v>
      </c>
      <c r="G183" s="42" t="s">
        <v>4976</v>
      </c>
      <c r="H183" s="43"/>
      <c r="I183" s="42"/>
      <c r="J183" s="42" t="s">
        <v>4977</v>
      </c>
      <c r="K183" s="42" t="s">
        <v>1895</v>
      </c>
      <c r="L183" s="42" t="s">
        <v>4978</v>
      </c>
      <c r="M183" s="42" t="s">
        <v>4979</v>
      </c>
      <c r="N183" s="42" t="s">
        <v>4980</v>
      </c>
      <c r="O183" s="42"/>
      <c r="P183" s="42" t="s">
        <v>4981</v>
      </c>
      <c r="Q183" s="42"/>
      <c r="R183" s="42" t="s">
        <v>151</v>
      </c>
      <c r="S183" s="42" t="s">
        <v>494</v>
      </c>
      <c r="T183" s="42" t="s">
        <v>4968</v>
      </c>
      <c r="U183" s="42" t="s">
        <v>498</v>
      </c>
      <c r="V183" s="44" t="s">
        <v>3892</v>
      </c>
      <c r="W183" s="42" t="s">
        <v>3892</v>
      </c>
    </row>
    <row r="184" spans="1:23">
      <c r="A184" s="40">
        <v>182</v>
      </c>
      <c r="B184" s="41">
        <v>2154037151</v>
      </c>
      <c r="C184" s="42" t="s">
        <v>4982</v>
      </c>
      <c r="D184" s="42" t="s">
        <v>765</v>
      </c>
      <c r="E184" s="43" t="s">
        <v>7178</v>
      </c>
      <c r="F184" s="42" t="s">
        <v>776</v>
      </c>
      <c r="G184" s="42" t="s">
        <v>4983</v>
      </c>
      <c r="H184" s="43"/>
      <c r="I184" s="42"/>
      <c r="J184" s="42" t="s">
        <v>4984</v>
      </c>
      <c r="K184" s="42" t="s">
        <v>1895</v>
      </c>
      <c r="L184" s="42" t="s">
        <v>4985</v>
      </c>
      <c r="M184" s="42" t="s">
        <v>4986</v>
      </c>
      <c r="N184" s="42" t="s">
        <v>4987</v>
      </c>
      <c r="O184" s="42"/>
      <c r="P184" s="42" t="s">
        <v>4988</v>
      </c>
      <c r="Q184" s="42"/>
      <c r="R184" s="42" t="s">
        <v>151</v>
      </c>
      <c r="S184" s="42" t="s">
        <v>494</v>
      </c>
      <c r="T184" s="42" t="s">
        <v>4968</v>
      </c>
      <c r="U184" s="42" t="s">
        <v>498</v>
      </c>
      <c r="V184" s="44" t="s">
        <v>3892</v>
      </c>
      <c r="W184" s="42" t="s">
        <v>3892</v>
      </c>
    </row>
    <row r="185" spans="1:23">
      <c r="A185" s="40">
        <v>183</v>
      </c>
      <c r="B185" s="41">
        <v>2154037759</v>
      </c>
      <c r="C185" s="42" t="s">
        <v>4989</v>
      </c>
      <c r="D185" s="42" t="s">
        <v>765</v>
      </c>
      <c r="E185" s="43" t="s">
        <v>7112</v>
      </c>
      <c r="F185" s="42" t="s">
        <v>3900</v>
      </c>
      <c r="G185" s="42" t="s">
        <v>4990</v>
      </c>
      <c r="H185" s="43"/>
      <c r="I185" s="42"/>
      <c r="J185" s="42" t="s">
        <v>4991</v>
      </c>
      <c r="K185" s="42" t="s">
        <v>1895</v>
      </c>
      <c r="L185" s="42" t="s">
        <v>4992</v>
      </c>
      <c r="M185" s="42" t="s">
        <v>4993</v>
      </c>
      <c r="N185" s="42" t="s">
        <v>1542</v>
      </c>
      <c r="O185" s="42"/>
      <c r="P185" s="42" t="s">
        <v>4994</v>
      </c>
      <c r="Q185" s="42"/>
      <c r="R185" s="42" t="s">
        <v>151</v>
      </c>
      <c r="S185" s="42" t="s">
        <v>494</v>
      </c>
      <c r="T185" s="42" t="s">
        <v>4968</v>
      </c>
      <c r="U185" s="42" t="s">
        <v>498</v>
      </c>
      <c r="V185" s="44" t="s">
        <v>3892</v>
      </c>
      <c r="W185" s="42" t="s">
        <v>3892</v>
      </c>
    </row>
    <row r="186" spans="1:23">
      <c r="A186" s="40">
        <v>184</v>
      </c>
      <c r="B186" s="41">
        <v>2154037764</v>
      </c>
      <c r="C186" s="42" t="s">
        <v>162</v>
      </c>
      <c r="D186" s="42" t="s">
        <v>765</v>
      </c>
      <c r="E186" s="43" t="s">
        <v>7193</v>
      </c>
      <c r="F186" s="42" t="s">
        <v>3900</v>
      </c>
      <c r="G186" s="42" t="s">
        <v>4995</v>
      </c>
      <c r="H186" s="43"/>
      <c r="I186" s="42"/>
      <c r="J186" s="42" t="s">
        <v>4996</v>
      </c>
      <c r="K186" s="42" t="s">
        <v>1895</v>
      </c>
      <c r="L186" s="42" t="s">
        <v>4997</v>
      </c>
      <c r="M186" s="42" t="s">
        <v>4998</v>
      </c>
      <c r="N186" s="42" t="s">
        <v>4999</v>
      </c>
      <c r="O186" s="42"/>
      <c r="P186" s="42" t="s">
        <v>5000</v>
      </c>
      <c r="Q186" s="42"/>
      <c r="R186" s="42" t="s">
        <v>151</v>
      </c>
      <c r="S186" s="42" t="s">
        <v>494</v>
      </c>
      <c r="T186" s="42" t="s">
        <v>4968</v>
      </c>
      <c r="U186" s="42" t="s">
        <v>498</v>
      </c>
      <c r="V186" s="44" t="s">
        <v>3892</v>
      </c>
      <c r="W186" s="42" t="s">
        <v>3892</v>
      </c>
    </row>
    <row r="187" spans="1:23">
      <c r="A187" s="40">
        <v>185</v>
      </c>
      <c r="B187" s="41">
        <v>2154037762</v>
      </c>
      <c r="C187" s="42" t="s">
        <v>178</v>
      </c>
      <c r="D187" s="42" t="s">
        <v>765</v>
      </c>
      <c r="E187" s="43" t="s">
        <v>3433</v>
      </c>
      <c r="F187" s="42" t="s">
        <v>5001</v>
      </c>
      <c r="G187" s="42" t="s">
        <v>5002</v>
      </c>
      <c r="H187" s="43">
        <v>44579</v>
      </c>
      <c r="I187" s="42" t="s">
        <v>5003</v>
      </c>
      <c r="J187" s="42" t="s">
        <v>5004</v>
      </c>
      <c r="K187" s="42" t="s">
        <v>1895</v>
      </c>
      <c r="L187" s="42" t="s">
        <v>1901</v>
      </c>
      <c r="M187" s="42" t="s">
        <v>5005</v>
      </c>
      <c r="N187" s="42" t="s">
        <v>5006</v>
      </c>
      <c r="O187" s="42" t="s">
        <v>5007</v>
      </c>
      <c r="P187" s="42" t="s">
        <v>5008</v>
      </c>
      <c r="Q187" s="42" t="s">
        <v>5009</v>
      </c>
      <c r="R187" s="42" t="s">
        <v>151</v>
      </c>
      <c r="S187" s="42" t="s">
        <v>494</v>
      </c>
      <c r="T187" s="42" t="s">
        <v>4968</v>
      </c>
      <c r="U187" s="42" t="s">
        <v>498</v>
      </c>
      <c r="V187" s="44" t="s">
        <v>3892</v>
      </c>
      <c r="W187" s="42" t="s">
        <v>3892</v>
      </c>
    </row>
    <row r="188" spans="1:23">
      <c r="A188" s="40">
        <v>186</v>
      </c>
      <c r="B188" s="41">
        <v>2154037765</v>
      </c>
      <c r="C188" s="42" t="s">
        <v>5010</v>
      </c>
      <c r="D188" s="42" t="s">
        <v>765</v>
      </c>
      <c r="E188" s="43" t="s">
        <v>7185</v>
      </c>
      <c r="F188" s="42" t="s">
        <v>3900</v>
      </c>
      <c r="G188" s="42" t="s">
        <v>5011</v>
      </c>
      <c r="H188" s="43"/>
      <c r="I188" s="42"/>
      <c r="J188" s="42" t="s">
        <v>5012</v>
      </c>
      <c r="K188" s="42" t="s">
        <v>1895</v>
      </c>
      <c r="L188" s="42" t="s">
        <v>5013</v>
      </c>
      <c r="M188" s="42" t="s">
        <v>5014</v>
      </c>
      <c r="N188" s="42" t="s">
        <v>5015</v>
      </c>
      <c r="O188" s="42"/>
      <c r="P188" s="42" t="s">
        <v>5016</v>
      </c>
      <c r="Q188" s="42"/>
      <c r="R188" s="42" t="s">
        <v>151</v>
      </c>
      <c r="S188" s="42" t="s">
        <v>494</v>
      </c>
      <c r="T188" s="42" t="s">
        <v>4968</v>
      </c>
      <c r="U188" s="42" t="s">
        <v>498</v>
      </c>
      <c r="V188" s="44" t="s">
        <v>3892</v>
      </c>
      <c r="W188" s="42" t="s">
        <v>3892</v>
      </c>
    </row>
    <row r="189" spans="1:23">
      <c r="A189" s="40">
        <v>187</v>
      </c>
      <c r="B189" s="41">
        <v>2154037766</v>
      </c>
      <c r="C189" s="42" t="s">
        <v>166</v>
      </c>
      <c r="D189" s="42" t="s">
        <v>765</v>
      </c>
      <c r="E189" s="43" t="s">
        <v>7204</v>
      </c>
      <c r="F189" s="42" t="s">
        <v>761</v>
      </c>
      <c r="G189" s="42" t="s">
        <v>5017</v>
      </c>
      <c r="H189" s="43"/>
      <c r="I189" s="42"/>
      <c r="J189" s="42" t="s">
        <v>5018</v>
      </c>
      <c r="K189" s="42" t="s">
        <v>1895</v>
      </c>
      <c r="L189" s="42" t="s">
        <v>5019</v>
      </c>
      <c r="M189" s="42" t="s">
        <v>5020</v>
      </c>
      <c r="N189" s="42" t="s">
        <v>5021</v>
      </c>
      <c r="O189" s="42"/>
      <c r="P189" s="42" t="s">
        <v>5022</v>
      </c>
      <c r="Q189" s="42"/>
      <c r="R189" s="42" t="s">
        <v>151</v>
      </c>
      <c r="S189" s="42" t="s">
        <v>494</v>
      </c>
      <c r="T189" s="42" t="s">
        <v>4968</v>
      </c>
      <c r="U189" s="42" t="s">
        <v>498</v>
      </c>
      <c r="V189" s="44" t="s">
        <v>3892</v>
      </c>
      <c r="W189" s="42" t="s">
        <v>3892</v>
      </c>
    </row>
    <row r="190" spans="1:23">
      <c r="A190" s="40">
        <v>188</v>
      </c>
      <c r="B190" s="41">
        <v>2154037153</v>
      </c>
      <c r="C190" s="42" t="s">
        <v>160</v>
      </c>
      <c r="D190" s="42" t="s">
        <v>765</v>
      </c>
      <c r="E190" s="43" t="s">
        <v>7205</v>
      </c>
      <c r="F190" s="42" t="s">
        <v>3967</v>
      </c>
      <c r="G190" s="42" t="s">
        <v>5023</v>
      </c>
      <c r="H190" s="43"/>
      <c r="I190" s="42"/>
      <c r="J190" s="42" t="s">
        <v>5024</v>
      </c>
      <c r="K190" s="42" t="s">
        <v>1895</v>
      </c>
      <c r="L190" s="42" t="s">
        <v>5025</v>
      </c>
      <c r="M190" s="42" t="s">
        <v>5026</v>
      </c>
      <c r="N190" s="42" t="s">
        <v>5027</v>
      </c>
      <c r="O190" s="42"/>
      <c r="P190" s="42" t="s">
        <v>5028</v>
      </c>
      <c r="Q190" s="42"/>
      <c r="R190" s="42" t="s">
        <v>151</v>
      </c>
      <c r="S190" s="42" t="s">
        <v>494</v>
      </c>
      <c r="T190" s="42" t="s">
        <v>4968</v>
      </c>
      <c r="U190" s="42" t="s">
        <v>498</v>
      </c>
      <c r="V190" s="44" t="s">
        <v>3892</v>
      </c>
      <c r="W190" s="42" t="s">
        <v>3892</v>
      </c>
    </row>
    <row r="191" spans="1:23">
      <c r="A191" s="40">
        <v>189</v>
      </c>
      <c r="B191" s="41">
        <v>2154037297</v>
      </c>
      <c r="C191" s="42" t="s">
        <v>5029</v>
      </c>
      <c r="D191" s="42" t="s">
        <v>765</v>
      </c>
      <c r="E191" s="43" t="s">
        <v>7137</v>
      </c>
      <c r="F191" s="42" t="s">
        <v>5030</v>
      </c>
      <c r="G191" s="42" t="s">
        <v>5031</v>
      </c>
      <c r="H191" s="43"/>
      <c r="I191" s="42"/>
      <c r="J191" s="42" t="s">
        <v>5032</v>
      </c>
      <c r="K191" s="42" t="s">
        <v>1895</v>
      </c>
      <c r="L191" s="42" t="s">
        <v>5033</v>
      </c>
      <c r="M191" s="42" t="s">
        <v>5034</v>
      </c>
      <c r="N191" s="42" t="s">
        <v>5035</v>
      </c>
      <c r="O191" s="42"/>
      <c r="P191" s="42" t="s">
        <v>5036</v>
      </c>
      <c r="Q191" s="42"/>
      <c r="R191" s="42" t="s">
        <v>151</v>
      </c>
      <c r="S191" s="42" t="s">
        <v>494</v>
      </c>
      <c r="T191" s="42" t="s">
        <v>4968</v>
      </c>
      <c r="U191" s="42" t="s">
        <v>498</v>
      </c>
      <c r="V191" s="44" t="s">
        <v>3892</v>
      </c>
      <c r="W191" s="42" t="s">
        <v>3892</v>
      </c>
    </row>
    <row r="192" spans="1:23">
      <c r="A192" s="40">
        <v>190</v>
      </c>
      <c r="B192" s="41">
        <v>2154037768</v>
      </c>
      <c r="C192" s="42" t="s">
        <v>5037</v>
      </c>
      <c r="D192" s="42" t="s">
        <v>765</v>
      </c>
      <c r="E192" s="43" t="s">
        <v>3670</v>
      </c>
      <c r="F192" s="42" t="s">
        <v>5038</v>
      </c>
      <c r="G192" s="42" t="s">
        <v>5039</v>
      </c>
      <c r="H192" s="43"/>
      <c r="I192" s="42"/>
      <c r="J192" s="42" t="s">
        <v>5040</v>
      </c>
      <c r="K192" s="42" t="s">
        <v>1895</v>
      </c>
      <c r="L192" s="42" t="s">
        <v>5041</v>
      </c>
      <c r="M192" s="42" t="s">
        <v>5042</v>
      </c>
      <c r="N192" s="42" t="s">
        <v>5043</v>
      </c>
      <c r="O192" s="42"/>
      <c r="P192" s="42" t="s">
        <v>5044</v>
      </c>
      <c r="Q192" s="42"/>
      <c r="R192" s="42" t="s">
        <v>151</v>
      </c>
      <c r="S192" s="42" t="s">
        <v>494</v>
      </c>
      <c r="T192" s="42" t="s">
        <v>4968</v>
      </c>
      <c r="U192" s="42" t="s">
        <v>498</v>
      </c>
      <c r="V192" s="44" t="s">
        <v>3892</v>
      </c>
      <c r="W192" s="42" t="s">
        <v>3892</v>
      </c>
    </row>
    <row r="193" spans="1:23">
      <c r="A193" s="40">
        <v>191</v>
      </c>
      <c r="B193" s="41">
        <v>2154037154</v>
      </c>
      <c r="C193" s="42" t="s">
        <v>188</v>
      </c>
      <c r="D193" s="42" t="s">
        <v>765</v>
      </c>
      <c r="E193" s="43" t="s">
        <v>7147</v>
      </c>
      <c r="F193" s="42" t="s">
        <v>3938</v>
      </c>
      <c r="G193" s="42" t="s">
        <v>5045</v>
      </c>
      <c r="H193" s="43"/>
      <c r="I193" s="42"/>
      <c r="J193" s="42" t="s">
        <v>5046</v>
      </c>
      <c r="K193" s="42" t="s">
        <v>1895</v>
      </c>
      <c r="L193" s="42" t="s">
        <v>5047</v>
      </c>
      <c r="M193" s="42" t="s">
        <v>5048</v>
      </c>
      <c r="N193" s="42" t="s">
        <v>5049</v>
      </c>
      <c r="O193" s="42"/>
      <c r="P193" s="42" t="s">
        <v>5050</v>
      </c>
      <c r="Q193" s="42"/>
      <c r="R193" s="42" t="s">
        <v>151</v>
      </c>
      <c r="S193" s="42" t="s">
        <v>494</v>
      </c>
      <c r="T193" s="42" t="s">
        <v>4968</v>
      </c>
      <c r="U193" s="42" t="s">
        <v>498</v>
      </c>
      <c r="V193" s="44" t="s">
        <v>3892</v>
      </c>
      <c r="W193" s="42" t="s">
        <v>3892</v>
      </c>
    </row>
    <row r="194" spans="1:23">
      <c r="A194" s="40">
        <v>192</v>
      </c>
      <c r="B194" s="41">
        <v>2154037769</v>
      </c>
      <c r="C194" s="42" t="s">
        <v>186</v>
      </c>
      <c r="D194" s="42" t="s">
        <v>765</v>
      </c>
      <c r="E194" s="43" t="s">
        <v>7206</v>
      </c>
      <c r="F194" s="42" t="s">
        <v>853</v>
      </c>
      <c r="G194" s="42" t="s">
        <v>5051</v>
      </c>
      <c r="H194" s="43"/>
      <c r="I194" s="42"/>
      <c r="J194" s="42" t="s">
        <v>5052</v>
      </c>
      <c r="K194" s="42" t="s">
        <v>1895</v>
      </c>
      <c r="L194" s="42" t="s">
        <v>5053</v>
      </c>
      <c r="M194" s="42" t="s">
        <v>5054</v>
      </c>
      <c r="N194" s="42" t="s">
        <v>5055</v>
      </c>
      <c r="O194" s="42"/>
      <c r="P194" s="42" t="s">
        <v>5056</v>
      </c>
      <c r="Q194" s="42"/>
      <c r="R194" s="42" t="s">
        <v>151</v>
      </c>
      <c r="S194" s="42" t="s">
        <v>494</v>
      </c>
      <c r="T194" s="42" t="s">
        <v>4968</v>
      </c>
      <c r="U194" s="42" t="s">
        <v>498</v>
      </c>
      <c r="V194" s="44" t="s">
        <v>3892</v>
      </c>
      <c r="W194" s="42" t="s">
        <v>3892</v>
      </c>
    </row>
    <row r="195" spans="1:23">
      <c r="A195" s="40">
        <v>193</v>
      </c>
      <c r="B195" s="41">
        <v>2154037770</v>
      </c>
      <c r="C195" s="42" t="s">
        <v>5057</v>
      </c>
      <c r="D195" s="42" t="s">
        <v>760</v>
      </c>
      <c r="E195" s="43" t="s">
        <v>7121</v>
      </c>
      <c r="F195" s="42" t="s">
        <v>3900</v>
      </c>
      <c r="G195" s="42" t="s">
        <v>5058</v>
      </c>
      <c r="H195" s="43"/>
      <c r="I195" s="42"/>
      <c r="J195" s="42" t="s">
        <v>5059</v>
      </c>
      <c r="K195" s="42" t="s">
        <v>1895</v>
      </c>
      <c r="L195" s="42" t="s">
        <v>5060</v>
      </c>
      <c r="M195" s="42" t="s">
        <v>5061</v>
      </c>
      <c r="N195" s="42" t="s">
        <v>5062</v>
      </c>
      <c r="O195" s="42"/>
      <c r="P195" s="42" t="s">
        <v>5063</v>
      </c>
      <c r="Q195" s="42"/>
      <c r="R195" s="42" t="s">
        <v>151</v>
      </c>
      <c r="S195" s="42" t="s">
        <v>494</v>
      </c>
      <c r="T195" s="42" t="s">
        <v>4968</v>
      </c>
      <c r="U195" s="42" t="s">
        <v>498</v>
      </c>
      <c r="V195" s="44" t="s">
        <v>3892</v>
      </c>
      <c r="W195" s="42" t="s">
        <v>3892</v>
      </c>
    </row>
    <row r="196" spans="1:23">
      <c r="A196" s="40">
        <v>194</v>
      </c>
      <c r="B196" s="41">
        <v>2154037298</v>
      </c>
      <c r="C196" s="42" t="s">
        <v>5064</v>
      </c>
      <c r="D196" s="42" t="s">
        <v>765</v>
      </c>
      <c r="E196" s="43" t="s">
        <v>7124</v>
      </c>
      <c r="F196" s="42" t="s">
        <v>5065</v>
      </c>
      <c r="G196" s="42" t="s">
        <v>5066</v>
      </c>
      <c r="H196" s="43"/>
      <c r="I196" s="42"/>
      <c r="J196" s="42" t="s">
        <v>5067</v>
      </c>
      <c r="K196" s="42" t="s">
        <v>1895</v>
      </c>
      <c r="L196" s="42" t="s">
        <v>5068</v>
      </c>
      <c r="M196" s="42" t="s">
        <v>5069</v>
      </c>
      <c r="N196" s="42" t="s">
        <v>5070</v>
      </c>
      <c r="O196" s="42"/>
      <c r="P196" s="42" t="s">
        <v>5071</v>
      </c>
      <c r="Q196" s="42"/>
      <c r="R196" s="42" t="s">
        <v>151</v>
      </c>
      <c r="S196" s="42" t="s">
        <v>494</v>
      </c>
      <c r="T196" s="42" t="s">
        <v>4968</v>
      </c>
      <c r="U196" s="42" t="s">
        <v>498</v>
      </c>
      <c r="V196" s="44" t="s">
        <v>3892</v>
      </c>
      <c r="W196" s="42" t="s">
        <v>3892</v>
      </c>
    </row>
    <row r="197" spans="1:23">
      <c r="A197" s="40">
        <v>195</v>
      </c>
      <c r="B197" s="41">
        <v>2154037772</v>
      </c>
      <c r="C197" s="42" t="s">
        <v>184</v>
      </c>
      <c r="D197" s="42" t="s">
        <v>765</v>
      </c>
      <c r="E197" s="43" t="s">
        <v>7133</v>
      </c>
      <c r="F197" s="42" t="s">
        <v>5072</v>
      </c>
      <c r="G197" s="42" t="s">
        <v>5073</v>
      </c>
      <c r="H197" s="43"/>
      <c r="I197" s="42"/>
      <c r="J197" s="42" t="s">
        <v>5074</v>
      </c>
      <c r="K197" s="42" t="s">
        <v>1895</v>
      </c>
      <c r="L197" s="42" t="s">
        <v>5075</v>
      </c>
      <c r="M197" s="42" t="s">
        <v>5076</v>
      </c>
      <c r="N197" s="42" t="s">
        <v>5077</v>
      </c>
      <c r="O197" s="42"/>
      <c r="P197" s="42" t="s">
        <v>5078</v>
      </c>
      <c r="Q197" s="42"/>
      <c r="R197" s="42" t="s">
        <v>151</v>
      </c>
      <c r="S197" s="42" t="s">
        <v>494</v>
      </c>
      <c r="T197" s="42" t="s">
        <v>4968</v>
      </c>
      <c r="U197" s="42" t="s">
        <v>498</v>
      </c>
      <c r="V197" s="44" t="s">
        <v>3892</v>
      </c>
      <c r="W197" s="42" t="s">
        <v>3892</v>
      </c>
    </row>
    <row r="198" spans="1:23">
      <c r="A198" s="40">
        <v>196</v>
      </c>
      <c r="B198" s="41">
        <v>2154037773</v>
      </c>
      <c r="C198" s="42" t="s">
        <v>180</v>
      </c>
      <c r="D198" s="42" t="s">
        <v>765</v>
      </c>
      <c r="E198" s="43" t="s">
        <v>7207</v>
      </c>
      <c r="F198" s="42" t="s">
        <v>1032</v>
      </c>
      <c r="G198" s="42" t="s">
        <v>5079</v>
      </c>
      <c r="H198" s="43"/>
      <c r="I198" s="42"/>
      <c r="J198" s="42" t="s">
        <v>5080</v>
      </c>
      <c r="K198" s="42" t="s">
        <v>1895</v>
      </c>
      <c r="L198" s="42" t="s">
        <v>5081</v>
      </c>
      <c r="M198" s="42" t="s">
        <v>5082</v>
      </c>
      <c r="N198" s="42" t="s">
        <v>5083</v>
      </c>
      <c r="O198" s="42"/>
      <c r="P198" s="42" t="s">
        <v>5084</v>
      </c>
      <c r="Q198" s="42"/>
      <c r="R198" s="42" t="s">
        <v>151</v>
      </c>
      <c r="S198" s="42" t="s">
        <v>494</v>
      </c>
      <c r="T198" s="42" t="s">
        <v>4968</v>
      </c>
      <c r="U198" s="42" t="s">
        <v>498</v>
      </c>
      <c r="V198" s="44" t="s">
        <v>3892</v>
      </c>
      <c r="W198" s="42" t="s">
        <v>3892</v>
      </c>
    </row>
    <row r="199" spans="1:23">
      <c r="A199" s="40">
        <v>197</v>
      </c>
      <c r="B199" s="41">
        <v>2154037778</v>
      </c>
      <c r="C199" s="42" t="s">
        <v>5085</v>
      </c>
      <c r="D199" s="42" t="s">
        <v>765</v>
      </c>
      <c r="E199" s="43" t="s">
        <v>7142</v>
      </c>
      <c r="F199" s="42" t="s">
        <v>3900</v>
      </c>
      <c r="G199" s="42" t="s">
        <v>5086</v>
      </c>
      <c r="H199" s="43"/>
      <c r="I199" s="42"/>
      <c r="J199" s="42" t="s">
        <v>5087</v>
      </c>
      <c r="K199" s="42" t="s">
        <v>1895</v>
      </c>
      <c r="L199" s="42" t="s">
        <v>5088</v>
      </c>
      <c r="M199" s="42" t="s">
        <v>5089</v>
      </c>
      <c r="N199" s="42" t="s">
        <v>5090</v>
      </c>
      <c r="O199" s="42"/>
      <c r="P199" s="42" t="s">
        <v>5091</v>
      </c>
      <c r="Q199" s="42"/>
      <c r="R199" s="42" t="s">
        <v>151</v>
      </c>
      <c r="S199" s="42" t="s">
        <v>494</v>
      </c>
      <c r="T199" s="42" t="s">
        <v>4968</v>
      </c>
      <c r="U199" s="42" t="s">
        <v>498</v>
      </c>
      <c r="V199" s="44" t="s">
        <v>3892</v>
      </c>
      <c r="W199" s="42" t="s">
        <v>3892</v>
      </c>
    </row>
    <row r="200" spans="1:23">
      <c r="A200" s="40">
        <v>198</v>
      </c>
      <c r="B200" s="41">
        <v>2154037299</v>
      </c>
      <c r="C200" s="42" t="s">
        <v>5092</v>
      </c>
      <c r="D200" s="42" t="s">
        <v>765</v>
      </c>
      <c r="E200" s="43" t="s">
        <v>7208</v>
      </c>
      <c r="F200" s="42" t="s">
        <v>804</v>
      </c>
      <c r="G200" s="42" t="s">
        <v>5093</v>
      </c>
      <c r="H200" s="43"/>
      <c r="I200" s="42"/>
      <c r="J200" s="42" t="s">
        <v>5094</v>
      </c>
      <c r="K200" s="42" t="s">
        <v>1895</v>
      </c>
      <c r="L200" s="42" t="s">
        <v>5095</v>
      </c>
      <c r="M200" s="42" t="s">
        <v>5096</v>
      </c>
      <c r="N200" s="42" t="s">
        <v>5097</v>
      </c>
      <c r="O200" s="42"/>
      <c r="P200" s="42" t="s">
        <v>5098</v>
      </c>
      <c r="Q200" s="42"/>
      <c r="R200" s="42" t="s">
        <v>151</v>
      </c>
      <c r="S200" s="42" t="s">
        <v>494</v>
      </c>
      <c r="T200" s="42" t="s">
        <v>4968</v>
      </c>
      <c r="U200" s="42" t="s">
        <v>498</v>
      </c>
      <c r="V200" s="44" t="s">
        <v>3892</v>
      </c>
      <c r="W200" s="42" t="s">
        <v>3892</v>
      </c>
    </row>
    <row r="201" spans="1:23">
      <c r="A201" s="40">
        <v>199</v>
      </c>
      <c r="B201" s="41">
        <v>2154037300</v>
      </c>
      <c r="C201" s="42" t="s">
        <v>150</v>
      </c>
      <c r="D201" s="42" t="s">
        <v>765</v>
      </c>
      <c r="E201" s="43" t="s">
        <v>7209</v>
      </c>
      <c r="F201" s="42" t="s">
        <v>5099</v>
      </c>
      <c r="G201" s="42" t="s">
        <v>5100</v>
      </c>
      <c r="H201" s="43"/>
      <c r="I201" s="42"/>
      <c r="J201" s="42" t="s">
        <v>5101</v>
      </c>
      <c r="K201" s="42" t="s">
        <v>1895</v>
      </c>
      <c r="L201" s="42" t="s">
        <v>5102</v>
      </c>
      <c r="M201" s="42" t="s">
        <v>5103</v>
      </c>
      <c r="N201" s="42" t="s">
        <v>2634</v>
      </c>
      <c r="O201" s="42"/>
      <c r="P201" s="42" t="s">
        <v>5104</v>
      </c>
      <c r="Q201" s="42"/>
      <c r="R201" s="42" t="s">
        <v>151</v>
      </c>
      <c r="S201" s="42" t="s">
        <v>494</v>
      </c>
      <c r="T201" s="42" t="s">
        <v>4968</v>
      </c>
      <c r="U201" s="42" t="s">
        <v>498</v>
      </c>
      <c r="V201" s="44" t="s">
        <v>3892</v>
      </c>
      <c r="W201" s="42" t="s">
        <v>3892</v>
      </c>
    </row>
    <row r="202" spans="1:23">
      <c r="A202" s="40">
        <v>200</v>
      </c>
      <c r="B202" s="41">
        <v>2154037779</v>
      </c>
      <c r="C202" s="42" t="s">
        <v>5105</v>
      </c>
      <c r="D202" s="42" t="s">
        <v>765</v>
      </c>
      <c r="E202" s="43" t="s">
        <v>7210</v>
      </c>
      <c r="F202" s="42" t="s">
        <v>776</v>
      </c>
      <c r="G202" s="42" t="s">
        <v>5106</v>
      </c>
      <c r="H202" s="43"/>
      <c r="I202" s="42"/>
      <c r="J202" s="42" t="s">
        <v>5107</v>
      </c>
      <c r="K202" s="42" t="s">
        <v>1895</v>
      </c>
      <c r="L202" s="42" t="s">
        <v>5108</v>
      </c>
      <c r="M202" s="42" t="s">
        <v>5109</v>
      </c>
      <c r="N202" s="42" t="s">
        <v>5110</v>
      </c>
      <c r="O202" s="42"/>
      <c r="P202" s="42" t="s">
        <v>5111</v>
      </c>
      <c r="Q202" s="42"/>
      <c r="R202" s="42" t="s">
        <v>151</v>
      </c>
      <c r="S202" s="42" t="s">
        <v>494</v>
      </c>
      <c r="T202" s="42" t="s">
        <v>4968</v>
      </c>
      <c r="U202" s="42" t="s">
        <v>498</v>
      </c>
      <c r="V202" s="44" t="s">
        <v>3892</v>
      </c>
      <c r="W202" s="42" t="s">
        <v>3892</v>
      </c>
    </row>
    <row r="203" spans="1:23">
      <c r="A203" s="40">
        <v>201</v>
      </c>
      <c r="B203" s="41">
        <v>2154037157</v>
      </c>
      <c r="C203" s="42" t="s">
        <v>182</v>
      </c>
      <c r="D203" s="42" t="s">
        <v>765</v>
      </c>
      <c r="E203" s="43" t="s">
        <v>2759</v>
      </c>
      <c r="F203" s="42" t="s">
        <v>1049</v>
      </c>
      <c r="G203" s="42" t="s">
        <v>5112</v>
      </c>
      <c r="H203" s="43"/>
      <c r="I203" s="42"/>
      <c r="J203" s="42" t="s">
        <v>5113</v>
      </c>
      <c r="K203" s="42" t="s">
        <v>1895</v>
      </c>
      <c r="L203" s="42" t="s">
        <v>5114</v>
      </c>
      <c r="M203" s="42" t="s">
        <v>5115</v>
      </c>
      <c r="N203" s="42" t="s">
        <v>5116</v>
      </c>
      <c r="O203" s="42"/>
      <c r="P203" s="42" t="s">
        <v>5117</v>
      </c>
      <c r="Q203" s="42"/>
      <c r="R203" s="42" t="s">
        <v>151</v>
      </c>
      <c r="S203" s="42" t="s">
        <v>494</v>
      </c>
      <c r="T203" s="42" t="s">
        <v>4968</v>
      </c>
      <c r="U203" s="42" t="s">
        <v>498</v>
      </c>
      <c r="V203" s="44" t="s">
        <v>3892</v>
      </c>
      <c r="W203" s="42" t="s">
        <v>3892</v>
      </c>
    </row>
    <row r="204" spans="1:23">
      <c r="A204" s="40">
        <v>202</v>
      </c>
      <c r="B204" s="41">
        <v>2154037380</v>
      </c>
      <c r="C204" s="42" t="s">
        <v>153</v>
      </c>
      <c r="D204" s="42" t="s">
        <v>765</v>
      </c>
      <c r="E204" s="43" t="s">
        <v>1109</v>
      </c>
      <c r="F204" s="42" t="s">
        <v>857</v>
      </c>
      <c r="G204" s="42" t="s">
        <v>5118</v>
      </c>
      <c r="H204" s="43"/>
      <c r="I204" s="42"/>
      <c r="J204" s="42" t="s">
        <v>5119</v>
      </c>
      <c r="K204" s="42" t="s">
        <v>1895</v>
      </c>
      <c r="L204" s="42" t="s">
        <v>562</v>
      </c>
      <c r="M204" s="42" t="s">
        <v>5120</v>
      </c>
      <c r="N204" s="42" t="s">
        <v>5121</v>
      </c>
      <c r="O204" s="42"/>
      <c r="P204" s="42" t="s">
        <v>5122</v>
      </c>
      <c r="Q204" s="42"/>
      <c r="R204" s="42" t="s">
        <v>151</v>
      </c>
      <c r="S204" s="42" t="s">
        <v>494</v>
      </c>
      <c r="T204" s="42" t="s">
        <v>4968</v>
      </c>
      <c r="U204" s="42" t="s">
        <v>498</v>
      </c>
      <c r="V204" s="44" t="s">
        <v>3892</v>
      </c>
      <c r="W204" s="42" t="s">
        <v>3892</v>
      </c>
    </row>
    <row r="205" spans="1:23">
      <c r="A205" s="40">
        <v>203</v>
      </c>
      <c r="B205" s="41">
        <v>2154037785</v>
      </c>
      <c r="C205" s="42" t="s">
        <v>5123</v>
      </c>
      <c r="D205" s="42" t="s">
        <v>765</v>
      </c>
      <c r="E205" s="43" t="s">
        <v>7211</v>
      </c>
      <c r="F205" s="42" t="s">
        <v>835</v>
      </c>
      <c r="G205" s="42" t="s">
        <v>5124</v>
      </c>
      <c r="H205" s="43"/>
      <c r="I205" s="42"/>
      <c r="J205" s="42" t="s">
        <v>5125</v>
      </c>
      <c r="K205" s="42" t="s">
        <v>1895</v>
      </c>
      <c r="L205" s="42" t="s">
        <v>5126</v>
      </c>
      <c r="M205" s="42" t="s">
        <v>5127</v>
      </c>
      <c r="N205" s="42" t="s">
        <v>5128</v>
      </c>
      <c r="O205" s="42"/>
      <c r="P205" s="42" t="s">
        <v>5129</v>
      </c>
      <c r="Q205" s="42"/>
      <c r="R205" s="42" t="s">
        <v>151</v>
      </c>
      <c r="S205" s="42" t="s">
        <v>494</v>
      </c>
      <c r="T205" s="42" t="s">
        <v>4968</v>
      </c>
      <c r="U205" s="42" t="s">
        <v>498</v>
      </c>
      <c r="V205" s="44" t="s">
        <v>3892</v>
      </c>
      <c r="W205" s="42" t="s">
        <v>3892</v>
      </c>
    </row>
    <row r="206" spans="1:23" ht="105">
      <c r="A206" s="40">
        <v>204</v>
      </c>
      <c r="B206" s="41">
        <v>2154037158</v>
      </c>
      <c r="C206" s="42" t="s">
        <v>5130</v>
      </c>
      <c r="D206" s="42" t="s">
        <v>765</v>
      </c>
      <c r="E206" s="43" t="s">
        <v>7202</v>
      </c>
      <c r="F206" s="42" t="s">
        <v>804</v>
      </c>
      <c r="G206" s="42" t="s">
        <v>5131</v>
      </c>
      <c r="H206" s="43"/>
      <c r="I206" s="42"/>
      <c r="J206" s="42" t="s">
        <v>5132</v>
      </c>
      <c r="K206" s="42" t="s">
        <v>1895</v>
      </c>
      <c r="L206" s="42" t="s">
        <v>5133</v>
      </c>
      <c r="M206" s="42" t="s">
        <v>5134</v>
      </c>
      <c r="N206" s="42" t="s">
        <v>5135</v>
      </c>
      <c r="O206" s="42"/>
      <c r="P206" s="42" t="s">
        <v>5136</v>
      </c>
      <c r="Q206" s="42"/>
      <c r="R206" s="42" t="s">
        <v>151</v>
      </c>
      <c r="S206" s="42" t="s">
        <v>494</v>
      </c>
      <c r="T206" s="42" t="s">
        <v>4968</v>
      </c>
      <c r="U206" s="42" t="s">
        <v>498</v>
      </c>
      <c r="V206" s="44" t="s">
        <v>5137</v>
      </c>
      <c r="W206" s="42" t="s">
        <v>3905</v>
      </c>
    </row>
    <row r="207" spans="1:23">
      <c r="A207" s="40">
        <v>205</v>
      </c>
      <c r="B207" s="41">
        <v>2154027124</v>
      </c>
      <c r="C207" s="42" t="s">
        <v>156</v>
      </c>
      <c r="D207" s="42" t="s">
        <v>765</v>
      </c>
      <c r="E207" s="43" t="s">
        <v>7212</v>
      </c>
      <c r="F207" s="42" t="s">
        <v>867</v>
      </c>
      <c r="G207" s="42" t="s">
        <v>5138</v>
      </c>
      <c r="H207" s="43"/>
      <c r="I207" s="42"/>
      <c r="J207" s="42" t="s">
        <v>5139</v>
      </c>
      <c r="K207" s="42" t="s">
        <v>1895</v>
      </c>
      <c r="L207" s="42" t="s">
        <v>5140</v>
      </c>
      <c r="M207" s="42" t="s">
        <v>5141</v>
      </c>
      <c r="N207" s="42" t="s">
        <v>5142</v>
      </c>
      <c r="O207" s="42"/>
      <c r="P207" s="42" t="s">
        <v>5143</v>
      </c>
      <c r="Q207" s="42"/>
      <c r="R207" s="42" t="s">
        <v>151</v>
      </c>
      <c r="S207" s="42" t="s">
        <v>494</v>
      </c>
      <c r="T207" s="42" t="s">
        <v>4968</v>
      </c>
      <c r="U207" s="42" t="s">
        <v>498</v>
      </c>
      <c r="V207" s="44" t="s">
        <v>3892</v>
      </c>
      <c r="W207" s="42" t="s">
        <v>3892</v>
      </c>
    </row>
    <row r="208" spans="1:23">
      <c r="A208" s="40">
        <v>206</v>
      </c>
      <c r="B208" s="41">
        <v>2154037302</v>
      </c>
      <c r="C208" s="42" t="s">
        <v>5144</v>
      </c>
      <c r="D208" s="42" t="s">
        <v>765</v>
      </c>
      <c r="E208" s="43" t="s">
        <v>7204</v>
      </c>
      <c r="F208" s="42" t="s">
        <v>776</v>
      </c>
      <c r="G208" s="42" t="s">
        <v>5145</v>
      </c>
      <c r="H208" s="43"/>
      <c r="I208" s="42"/>
      <c r="J208" s="42" t="s">
        <v>5146</v>
      </c>
      <c r="K208" s="42" t="s">
        <v>1895</v>
      </c>
      <c r="L208" s="42" t="s">
        <v>5147</v>
      </c>
      <c r="M208" s="42" t="s">
        <v>5148</v>
      </c>
      <c r="N208" s="42" t="s">
        <v>5149</v>
      </c>
      <c r="O208" s="42"/>
      <c r="P208" s="42" t="s">
        <v>5150</v>
      </c>
      <c r="Q208" s="42"/>
      <c r="R208" s="42" t="s">
        <v>151</v>
      </c>
      <c r="S208" s="42" t="s">
        <v>494</v>
      </c>
      <c r="T208" s="42" t="s">
        <v>4968</v>
      </c>
      <c r="U208" s="42" t="s">
        <v>498</v>
      </c>
      <c r="V208" s="44" t="s">
        <v>3892</v>
      </c>
      <c r="W208" s="42" t="s">
        <v>3892</v>
      </c>
    </row>
    <row r="209" spans="1:23">
      <c r="A209" s="40">
        <v>207</v>
      </c>
      <c r="B209" s="41">
        <v>2154037161</v>
      </c>
      <c r="C209" s="42" t="s">
        <v>164</v>
      </c>
      <c r="D209" s="42" t="s">
        <v>765</v>
      </c>
      <c r="E209" s="43" t="s">
        <v>7100</v>
      </c>
      <c r="F209" s="42" t="s">
        <v>853</v>
      </c>
      <c r="G209" s="42" t="s">
        <v>5151</v>
      </c>
      <c r="H209" s="43"/>
      <c r="I209" s="42"/>
      <c r="J209" s="42" t="s">
        <v>5152</v>
      </c>
      <c r="K209" s="42" t="s">
        <v>1895</v>
      </c>
      <c r="L209" s="42" t="s">
        <v>5153</v>
      </c>
      <c r="M209" s="42" t="s">
        <v>5154</v>
      </c>
      <c r="N209" s="42" t="s">
        <v>5155</v>
      </c>
      <c r="O209" s="42"/>
      <c r="P209" s="42" t="s">
        <v>5156</v>
      </c>
      <c r="Q209" s="42"/>
      <c r="R209" s="42" t="s">
        <v>151</v>
      </c>
      <c r="S209" s="42" t="s">
        <v>494</v>
      </c>
      <c r="T209" s="42" t="s">
        <v>4968</v>
      </c>
      <c r="U209" s="42" t="s">
        <v>498</v>
      </c>
      <c r="V209" s="44" t="s">
        <v>3892</v>
      </c>
      <c r="W209" s="42" t="s">
        <v>3892</v>
      </c>
    </row>
    <row r="210" spans="1:23">
      <c r="A210" s="40">
        <v>208</v>
      </c>
      <c r="B210" s="41">
        <v>2154037788</v>
      </c>
      <c r="C210" s="42" t="s">
        <v>5157</v>
      </c>
      <c r="D210" s="42" t="s">
        <v>765</v>
      </c>
      <c r="E210" s="43" t="s">
        <v>3863</v>
      </c>
      <c r="F210" s="42" t="s">
        <v>3900</v>
      </c>
      <c r="G210" s="42" t="s">
        <v>5158</v>
      </c>
      <c r="H210" s="43"/>
      <c r="I210" s="42"/>
      <c r="J210" s="42" t="s">
        <v>5159</v>
      </c>
      <c r="K210" s="42" t="s">
        <v>1895</v>
      </c>
      <c r="L210" s="42" t="s">
        <v>5160</v>
      </c>
      <c r="M210" s="42" t="s">
        <v>5161</v>
      </c>
      <c r="N210" s="42" t="s">
        <v>5162</v>
      </c>
      <c r="O210" s="42"/>
      <c r="P210" s="42" t="s">
        <v>5163</v>
      </c>
      <c r="Q210" s="42"/>
      <c r="R210" s="42" t="s">
        <v>151</v>
      </c>
      <c r="S210" s="42" t="s">
        <v>494</v>
      </c>
      <c r="T210" s="42" t="s">
        <v>4968</v>
      </c>
      <c r="U210" s="42" t="s">
        <v>498</v>
      </c>
      <c r="V210" s="44" t="s">
        <v>3892</v>
      </c>
      <c r="W210" s="42" t="s">
        <v>3892</v>
      </c>
    </row>
    <row r="211" spans="1:23">
      <c r="A211" s="40">
        <v>209</v>
      </c>
      <c r="B211" s="41">
        <v>2154077195</v>
      </c>
      <c r="C211" s="42" t="s">
        <v>168</v>
      </c>
      <c r="D211" s="42" t="s">
        <v>765</v>
      </c>
      <c r="E211" s="43" t="s">
        <v>7213</v>
      </c>
      <c r="F211" s="42" t="s">
        <v>4435</v>
      </c>
      <c r="G211" s="42" t="s">
        <v>5164</v>
      </c>
      <c r="H211" s="43"/>
      <c r="I211" s="42"/>
      <c r="J211" s="42" t="s">
        <v>5165</v>
      </c>
      <c r="K211" s="42" t="s">
        <v>1895</v>
      </c>
      <c r="L211" s="42" t="s">
        <v>5166</v>
      </c>
      <c r="M211" s="42" t="s">
        <v>5167</v>
      </c>
      <c r="N211" s="42" t="s">
        <v>5168</v>
      </c>
      <c r="O211" s="42"/>
      <c r="P211" s="42" t="s">
        <v>5169</v>
      </c>
      <c r="Q211" s="42"/>
      <c r="R211" s="42" t="s">
        <v>151</v>
      </c>
      <c r="S211" s="42" t="s">
        <v>494</v>
      </c>
      <c r="T211" s="42" t="s">
        <v>4968</v>
      </c>
      <c r="U211" s="42" t="s">
        <v>498</v>
      </c>
      <c r="V211" s="44" t="s">
        <v>3892</v>
      </c>
      <c r="W211" s="42" t="s">
        <v>3892</v>
      </c>
    </row>
    <row r="212" spans="1:23" ht="60">
      <c r="A212" s="40">
        <v>210</v>
      </c>
      <c r="B212" s="41">
        <v>2154037384</v>
      </c>
      <c r="C212" s="42" t="s">
        <v>158</v>
      </c>
      <c r="D212" s="42" t="s">
        <v>765</v>
      </c>
      <c r="E212" s="43" t="s">
        <v>7214</v>
      </c>
      <c r="F212" s="42" t="s">
        <v>4352</v>
      </c>
      <c r="G212" s="42" t="s">
        <v>3858</v>
      </c>
      <c r="H212" s="43"/>
      <c r="I212" s="42"/>
      <c r="J212" s="42" t="s">
        <v>5170</v>
      </c>
      <c r="K212" s="42" t="s">
        <v>1895</v>
      </c>
      <c r="L212" s="42" t="s">
        <v>566</v>
      </c>
      <c r="M212" s="42" t="s">
        <v>5171</v>
      </c>
      <c r="N212" s="42" t="s">
        <v>5172</v>
      </c>
      <c r="O212" s="42"/>
      <c r="P212" s="42" t="s">
        <v>5173</v>
      </c>
      <c r="Q212" s="42"/>
      <c r="R212" s="42" t="s">
        <v>151</v>
      </c>
      <c r="S212" s="42" t="s">
        <v>494</v>
      </c>
      <c r="T212" s="42" t="s">
        <v>4968</v>
      </c>
      <c r="U212" s="42" t="s">
        <v>498</v>
      </c>
      <c r="V212" s="44" t="s">
        <v>5174</v>
      </c>
      <c r="W212" s="42" t="s">
        <v>3905</v>
      </c>
    </row>
    <row r="213" spans="1:23">
      <c r="A213" s="40">
        <v>211</v>
      </c>
      <c r="B213" s="41">
        <v>2154037794</v>
      </c>
      <c r="C213" s="42" t="s">
        <v>176</v>
      </c>
      <c r="D213" s="42" t="s">
        <v>765</v>
      </c>
      <c r="E213" s="43" t="s">
        <v>3769</v>
      </c>
      <c r="F213" s="42" t="s">
        <v>3900</v>
      </c>
      <c r="G213" s="42" t="s">
        <v>5175</v>
      </c>
      <c r="H213" s="43"/>
      <c r="I213" s="42"/>
      <c r="J213" s="42" t="s">
        <v>5176</v>
      </c>
      <c r="K213" s="42" t="s">
        <v>1895</v>
      </c>
      <c r="L213" s="42" t="s">
        <v>5177</v>
      </c>
      <c r="M213" s="42" t="s">
        <v>5178</v>
      </c>
      <c r="N213" s="42" t="s">
        <v>5179</v>
      </c>
      <c r="O213" s="42"/>
      <c r="P213" s="42" t="s">
        <v>5180</v>
      </c>
      <c r="Q213" s="42"/>
      <c r="R213" s="42" t="s">
        <v>151</v>
      </c>
      <c r="S213" s="42" t="s">
        <v>494</v>
      </c>
      <c r="T213" s="42" t="s">
        <v>4968</v>
      </c>
      <c r="U213" s="42" t="s">
        <v>498</v>
      </c>
      <c r="V213" s="44" t="s">
        <v>3892</v>
      </c>
      <c r="W213" s="42" t="s">
        <v>3892</v>
      </c>
    </row>
    <row r="214" spans="1:23">
      <c r="A214" s="40">
        <v>212</v>
      </c>
      <c r="B214" s="41">
        <v>2154037792</v>
      </c>
      <c r="C214" s="42" t="s">
        <v>5181</v>
      </c>
      <c r="D214" s="42" t="s">
        <v>765</v>
      </c>
      <c r="E214" s="43" t="s">
        <v>7215</v>
      </c>
      <c r="F214" s="42" t="s">
        <v>853</v>
      </c>
      <c r="G214" s="42" t="s">
        <v>5182</v>
      </c>
      <c r="H214" s="43"/>
      <c r="I214" s="42" t="s">
        <v>5183</v>
      </c>
      <c r="J214" s="42" t="s">
        <v>5184</v>
      </c>
      <c r="K214" s="42" t="s">
        <v>1895</v>
      </c>
      <c r="L214" s="42" t="s">
        <v>5185</v>
      </c>
      <c r="M214" s="42" t="s">
        <v>5186</v>
      </c>
      <c r="N214" s="42" t="s">
        <v>5187</v>
      </c>
      <c r="O214" s="42"/>
      <c r="P214" s="42" t="s">
        <v>5188</v>
      </c>
      <c r="Q214" s="42"/>
      <c r="R214" s="42" t="s">
        <v>151</v>
      </c>
      <c r="S214" s="42" t="s">
        <v>494</v>
      </c>
      <c r="T214" s="42" t="s">
        <v>4968</v>
      </c>
      <c r="U214" s="42" t="s">
        <v>498</v>
      </c>
      <c r="V214" s="44" t="s">
        <v>3892</v>
      </c>
      <c r="W214" s="42" t="s">
        <v>3892</v>
      </c>
    </row>
    <row r="215" spans="1:23">
      <c r="A215" s="40">
        <v>213</v>
      </c>
      <c r="B215" s="41">
        <v>2154037797</v>
      </c>
      <c r="C215" s="42" t="s">
        <v>5189</v>
      </c>
      <c r="D215" s="42" t="s">
        <v>765</v>
      </c>
      <c r="E215" s="43" t="s">
        <v>3776</v>
      </c>
      <c r="F215" s="42"/>
      <c r="G215" s="42" t="s">
        <v>5190</v>
      </c>
      <c r="H215" s="43"/>
      <c r="I215" s="42"/>
      <c r="J215" s="42" t="s">
        <v>5191</v>
      </c>
      <c r="K215" s="42" t="s">
        <v>5192</v>
      </c>
      <c r="L215" s="42" t="s">
        <v>5192</v>
      </c>
      <c r="M215" s="42" t="s">
        <v>5193</v>
      </c>
      <c r="N215" s="42"/>
      <c r="O215" s="42"/>
      <c r="P215" s="42"/>
      <c r="Q215" s="42"/>
      <c r="R215" s="42" t="s">
        <v>151</v>
      </c>
      <c r="S215" s="42" t="s">
        <v>494</v>
      </c>
      <c r="T215" s="42" t="s">
        <v>4968</v>
      </c>
      <c r="U215" s="42" t="s">
        <v>498</v>
      </c>
      <c r="V215" s="44" t="s">
        <v>3892</v>
      </c>
      <c r="W215" s="42" t="s">
        <v>3892</v>
      </c>
    </row>
    <row r="216" spans="1:23" ht="105">
      <c r="A216" s="40">
        <v>214</v>
      </c>
      <c r="B216" s="41">
        <v>2154037798</v>
      </c>
      <c r="C216" s="42" t="s">
        <v>5194</v>
      </c>
      <c r="D216" s="42" t="s">
        <v>765</v>
      </c>
      <c r="E216" s="43" t="s">
        <v>7216</v>
      </c>
      <c r="F216" s="42" t="s">
        <v>5195</v>
      </c>
      <c r="G216" s="42" t="s">
        <v>5196</v>
      </c>
      <c r="H216" s="43"/>
      <c r="I216" s="42"/>
      <c r="J216" s="42" t="s">
        <v>5197</v>
      </c>
      <c r="K216" s="42" t="s">
        <v>1895</v>
      </c>
      <c r="L216" s="42" t="s">
        <v>5198</v>
      </c>
      <c r="M216" s="42" t="s">
        <v>5199</v>
      </c>
      <c r="N216" s="42" t="s">
        <v>5200</v>
      </c>
      <c r="O216" s="42"/>
      <c r="P216" s="42" t="s">
        <v>5201</v>
      </c>
      <c r="Q216" s="42"/>
      <c r="R216" s="42" t="s">
        <v>151</v>
      </c>
      <c r="S216" s="42" t="s">
        <v>494</v>
      </c>
      <c r="T216" s="42" t="s">
        <v>4968</v>
      </c>
      <c r="U216" s="42" t="s">
        <v>498</v>
      </c>
      <c r="V216" s="44" t="s">
        <v>5202</v>
      </c>
      <c r="W216" s="42" t="s">
        <v>3905</v>
      </c>
    </row>
    <row r="217" spans="1:23">
      <c r="A217" s="40">
        <v>215</v>
      </c>
      <c r="B217" s="41">
        <v>2154037164</v>
      </c>
      <c r="C217" s="42" t="s">
        <v>5203</v>
      </c>
      <c r="D217" s="42" t="s">
        <v>765</v>
      </c>
      <c r="E217" s="43" t="s">
        <v>7129</v>
      </c>
      <c r="F217" s="42" t="s">
        <v>5204</v>
      </c>
      <c r="G217" s="42" t="s">
        <v>5205</v>
      </c>
      <c r="H217" s="43"/>
      <c r="I217" s="42"/>
      <c r="J217" s="42" t="s">
        <v>5206</v>
      </c>
      <c r="K217" s="42" t="s">
        <v>1895</v>
      </c>
      <c r="L217" s="42" t="s">
        <v>5207</v>
      </c>
      <c r="M217" s="42" t="s">
        <v>5208</v>
      </c>
      <c r="N217" s="42" t="s">
        <v>5209</v>
      </c>
      <c r="O217" s="42"/>
      <c r="P217" s="42" t="s">
        <v>5210</v>
      </c>
      <c r="Q217" s="42"/>
      <c r="R217" s="42" t="s">
        <v>151</v>
      </c>
      <c r="S217" s="42" t="s">
        <v>494</v>
      </c>
      <c r="T217" s="42" t="s">
        <v>4968</v>
      </c>
      <c r="U217" s="42" t="s">
        <v>498</v>
      </c>
      <c r="V217" s="44" t="s">
        <v>3892</v>
      </c>
      <c r="W217" s="42" t="s">
        <v>3892</v>
      </c>
    </row>
    <row r="218" spans="1:23">
      <c r="A218" s="40">
        <v>216</v>
      </c>
      <c r="B218" s="41">
        <v>2154037801</v>
      </c>
      <c r="C218" s="42" t="s">
        <v>3026</v>
      </c>
      <c r="D218" s="42" t="s">
        <v>765</v>
      </c>
      <c r="E218" s="43" t="s">
        <v>7217</v>
      </c>
      <c r="F218" s="42" t="s">
        <v>3900</v>
      </c>
      <c r="G218" s="42" t="s">
        <v>5211</v>
      </c>
      <c r="H218" s="43"/>
      <c r="I218" s="42"/>
      <c r="J218" s="42" t="s">
        <v>5212</v>
      </c>
      <c r="K218" s="42" t="s">
        <v>1895</v>
      </c>
      <c r="L218" s="42" t="s">
        <v>5213</v>
      </c>
      <c r="M218" s="42" t="s">
        <v>5214</v>
      </c>
      <c r="N218" s="42" t="s">
        <v>5215</v>
      </c>
      <c r="O218" s="42"/>
      <c r="P218" s="42" t="s">
        <v>5216</v>
      </c>
      <c r="Q218" s="42"/>
      <c r="R218" s="42" t="s">
        <v>151</v>
      </c>
      <c r="S218" s="42" t="s">
        <v>494</v>
      </c>
      <c r="T218" s="42" t="s">
        <v>4968</v>
      </c>
      <c r="U218" s="42" t="s">
        <v>498</v>
      </c>
      <c r="V218" s="44" t="s">
        <v>3892</v>
      </c>
      <c r="W218" s="42" t="s">
        <v>3892</v>
      </c>
    </row>
    <row r="219" spans="1:23">
      <c r="A219" s="40">
        <v>217</v>
      </c>
      <c r="B219" s="41">
        <v>2154037802</v>
      </c>
      <c r="C219" s="42" t="s">
        <v>3026</v>
      </c>
      <c r="D219" s="42" t="s">
        <v>765</v>
      </c>
      <c r="E219" s="43" t="s">
        <v>7218</v>
      </c>
      <c r="F219" s="42" t="s">
        <v>3900</v>
      </c>
      <c r="G219" s="42" t="s">
        <v>5217</v>
      </c>
      <c r="H219" s="43"/>
      <c r="I219" s="42"/>
      <c r="J219" s="42" t="s">
        <v>5218</v>
      </c>
      <c r="K219" s="42" t="s">
        <v>1895</v>
      </c>
      <c r="L219" s="42" t="s">
        <v>5219</v>
      </c>
      <c r="M219" s="42" t="s">
        <v>5220</v>
      </c>
      <c r="N219" s="42" t="s">
        <v>5221</v>
      </c>
      <c r="O219" s="42"/>
      <c r="P219" s="42" t="s">
        <v>5222</v>
      </c>
      <c r="Q219" s="42"/>
      <c r="R219" s="42" t="s">
        <v>151</v>
      </c>
      <c r="S219" s="42" t="s">
        <v>494</v>
      </c>
      <c r="T219" s="42" t="s">
        <v>4968</v>
      </c>
      <c r="U219" s="42" t="s">
        <v>498</v>
      </c>
      <c r="V219" s="44" t="s">
        <v>3892</v>
      </c>
      <c r="W219" s="42" t="s">
        <v>3892</v>
      </c>
    </row>
    <row r="220" spans="1:23">
      <c r="A220" s="40">
        <v>218</v>
      </c>
      <c r="B220" s="41">
        <v>2154037322</v>
      </c>
      <c r="C220" s="42" t="s">
        <v>3026</v>
      </c>
      <c r="D220" s="42" t="s">
        <v>765</v>
      </c>
      <c r="E220" s="43" t="s">
        <v>7132</v>
      </c>
      <c r="F220" s="42" t="s">
        <v>3967</v>
      </c>
      <c r="G220" s="42" t="s">
        <v>5223</v>
      </c>
      <c r="H220" s="43"/>
      <c r="I220" s="42"/>
      <c r="J220" s="42" t="s">
        <v>5224</v>
      </c>
      <c r="K220" s="42" t="s">
        <v>1895</v>
      </c>
      <c r="L220" s="42" t="s">
        <v>637</v>
      </c>
      <c r="M220" s="42" t="s">
        <v>5225</v>
      </c>
      <c r="N220" s="42" t="s">
        <v>5226</v>
      </c>
      <c r="O220" s="42"/>
      <c r="P220" s="42" t="s">
        <v>3297</v>
      </c>
      <c r="Q220" s="42"/>
      <c r="R220" s="42" t="s">
        <v>151</v>
      </c>
      <c r="S220" s="42" t="s">
        <v>494</v>
      </c>
      <c r="T220" s="42" t="s">
        <v>4968</v>
      </c>
      <c r="U220" s="42" t="s">
        <v>498</v>
      </c>
      <c r="V220" s="44" t="s">
        <v>3892</v>
      </c>
      <c r="W220" s="42" t="s">
        <v>3892</v>
      </c>
    </row>
    <row r="221" spans="1:23">
      <c r="A221" s="40">
        <v>219</v>
      </c>
      <c r="B221" s="41">
        <v>2154037166</v>
      </c>
      <c r="C221" s="42" t="s">
        <v>5227</v>
      </c>
      <c r="D221" s="42" t="s">
        <v>760</v>
      </c>
      <c r="E221" s="43" t="s">
        <v>7219</v>
      </c>
      <c r="F221" s="42" t="s">
        <v>882</v>
      </c>
      <c r="G221" s="42" t="s">
        <v>5228</v>
      </c>
      <c r="H221" s="43"/>
      <c r="I221" s="42"/>
      <c r="J221" s="42" t="s">
        <v>5229</v>
      </c>
      <c r="K221" s="42" t="s">
        <v>1895</v>
      </c>
      <c r="L221" s="42" t="s">
        <v>5230</v>
      </c>
      <c r="M221" s="42" t="s">
        <v>5231</v>
      </c>
      <c r="N221" s="42" t="s">
        <v>5232</v>
      </c>
      <c r="O221" s="42"/>
      <c r="P221" s="42" t="s">
        <v>5233</v>
      </c>
      <c r="Q221" s="42"/>
      <c r="R221" s="42" t="s">
        <v>151</v>
      </c>
      <c r="S221" s="42" t="s">
        <v>494</v>
      </c>
      <c r="T221" s="42" t="s">
        <v>4968</v>
      </c>
      <c r="U221" s="42" t="s">
        <v>498</v>
      </c>
      <c r="V221" s="44" t="s">
        <v>3892</v>
      </c>
      <c r="W221" s="42" t="s">
        <v>3892</v>
      </c>
    </row>
    <row r="222" spans="1:23">
      <c r="A222" s="40">
        <v>220</v>
      </c>
      <c r="B222" s="41">
        <v>2154037168</v>
      </c>
      <c r="C222" s="42" t="s">
        <v>5234</v>
      </c>
      <c r="D222" s="42" t="s">
        <v>765</v>
      </c>
      <c r="E222" s="43" t="s">
        <v>7220</v>
      </c>
      <c r="F222" s="42" t="s">
        <v>958</v>
      </c>
      <c r="G222" s="42" t="s">
        <v>5235</v>
      </c>
      <c r="H222" s="43"/>
      <c r="I222" s="42"/>
      <c r="J222" s="42" t="s">
        <v>5236</v>
      </c>
      <c r="K222" s="42" t="s">
        <v>1895</v>
      </c>
      <c r="L222" s="42" t="s">
        <v>5237</v>
      </c>
      <c r="M222" s="42" t="s">
        <v>5238</v>
      </c>
      <c r="N222" s="42" t="s">
        <v>3132</v>
      </c>
      <c r="O222" s="42"/>
      <c r="P222" s="42" t="s">
        <v>5239</v>
      </c>
      <c r="Q222" s="42"/>
      <c r="R222" s="42" t="s">
        <v>151</v>
      </c>
      <c r="S222" s="42" t="s">
        <v>494</v>
      </c>
      <c r="T222" s="42" t="s">
        <v>4968</v>
      </c>
      <c r="U222" s="42" t="s">
        <v>498</v>
      </c>
      <c r="V222" s="44" t="s">
        <v>3892</v>
      </c>
      <c r="W222" s="42" t="s">
        <v>3892</v>
      </c>
    </row>
    <row r="223" spans="1:23" ht="105">
      <c r="A223" s="40">
        <v>221</v>
      </c>
      <c r="B223" s="41">
        <v>2154037304</v>
      </c>
      <c r="C223" s="42" t="s">
        <v>5240</v>
      </c>
      <c r="D223" s="42" t="s">
        <v>765</v>
      </c>
      <c r="E223" s="43" t="s">
        <v>7144</v>
      </c>
      <c r="F223" s="42" t="s">
        <v>3900</v>
      </c>
      <c r="G223" s="42" t="s">
        <v>5241</v>
      </c>
      <c r="H223" s="43"/>
      <c r="I223" s="42"/>
      <c r="J223" s="42" t="s">
        <v>5242</v>
      </c>
      <c r="K223" s="42" t="s">
        <v>1895</v>
      </c>
      <c r="L223" s="42" t="s">
        <v>5243</v>
      </c>
      <c r="M223" s="42" t="s">
        <v>5244</v>
      </c>
      <c r="N223" s="42" t="s">
        <v>5245</v>
      </c>
      <c r="O223" s="42"/>
      <c r="P223" s="42" t="s">
        <v>5246</v>
      </c>
      <c r="Q223" s="42"/>
      <c r="R223" s="42" t="s">
        <v>151</v>
      </c>
      <c r="S223" s="42" t="s">
        <v>494</v>
      </c>
      <c r="T223" s="42" t="s">
        <v>4968</v>
      </c>
      <c r="U223" s="42" t="s">
        <v>498</v>
      </c>
      <c r="V223" s="44" t="s">
        <v>5247</v>
      </c>
      <c r="W223" s="42" t="s">
        <v>3905</v>
      </c>
    </row>
    <row r="224" spans="1:23">
      <c r="A224" s="40">
        <v>222</v>
      </c>
      <c r="B224" s="41">
        <v>2154037169</v>
      </c>
      <c r="C224" s="42" t="s">
        <v>190</v>
      </c>
      <c r="D224" s="42" t="s">
        <v>765</v>
      </c>
      <c r="E224" s="43" t="s">
        <v>7221</v>
      </c>
      <c r="F224" s="42" t="s">
        <v>804</v>
      </c>
      <c r="G224" s="42" t="s">
        <v>5248</v>
      </c>
      <c r="H224" s="43"/>
      <c r="I224" s="42"/>
      <c r="J224" s="42" t="s">
        <v>5249</v>
      </c>
      <c r="K224" s="42" t="s">
        <v>1895</v>
      </c>
      <c r="L224" s="42" t="s">
        <v>5250</v>
      </c>
      <c r="M224" s="42" t="s">
        <v>5251</v>
      </c>
      <c r="N224" s="42" t="s">
        <v>5252</v>
      </c>
      <c r="O224" s="42"/>
      <c r="P224" s="42" t="s">
        <v>5253</v>
      </c>
      <c r="Q224" s="42"/>
      <c r="R224" s="42" t="s">
        <v>151</v>
      </c>
      <c r="S224" s="42" t="s">
        <v>494</v>
      </c>
      <c r="T224" s="42" t="s">
        <v>4968</v>
      </c>
      <c r="U224" s="42" t="s">
        <v>498</v>
      </c>
      <c r="V224" s="44" t="s">
        <v>3892</v>
      </c>
      <c r="W224" s="42" t="s">
        <v>3892</v>
      </c>
    </row>
    <row r="225" spans="1:23">
      <c r="A225" s="40">
        <v>223</v>
      </c>
      <c r="B225" s="41">
        <v>2154037804</v>
      </c>
      <c r="C225" s="42" t="s">
        <v>5254</v>
      </c>
      <c r="D225" s="42" t="s">
        <v>765</v>
      </c>
      <c r="E225" s="43" t="s">
        <v>1359</v>
      </c>
      <c r="F225" s="42" t="s">
        <v>5255</v>
      </c>
      <c r="G225" s="42" t="s">
        <v>5256</v>
      </c>
      <c r="H225" s="43">
        <v>44529</v>
      </c>
      <c r="I225" s="42" t="s">
        <v>5257</v>
      </c>
      <c r="J225" s="42" t="s">
        <v>5258</v>
      </c>
      <c r="K225" s="42" t="s">
        <v>1895</v>
      </c>
      <c r="L225" s="42" t="s">
        <v>1908</v>
      </c>
      <c r="M225" s="42" t="s">
        <v>5259</v>
      </c>
      <c r="N225" s="42" t="s">
        <v>4974</v>
      </c>
      <c r="O225" s="42" t="s">
        <v>5258</v>
      </c>
      <c r="P225" s="42" t="s">
        <v>5260</v>
      </c>
      <c r="Q225" s="42" t="s">
        <v>5229</v>
      </c>
      <c r="R225" s="42" t="s">
        <v>151</v>
      </c>
      <c r="S225" s="42" t="s">
        <v>494</v>
      </c>
      <c r="T225" s="42" t="s">
        <v>4968</v>
      </c>
      <c r="U225" s="42" t="s">
        <v>498</v>
      </c>
      <c r="V225" s="44" t="s">
        <v>3892</v>
      </c>
      <c r="W225" s="42" t="s">
        <v>3892</v>
      </c>
    </row>
    <row r="226" spans="1:23">
      <c r="A226" s="40">
        <v>224</v>
      </c>
      <c r="B226" s="41">
        <v>2154077172</v>
      </c>
      <c r="C226" s="42" t="s">
        <v>5261</v>
      </c>
      <c r="D226" s="42" t="s">
        <v>760</v>
      </c>
      <c r="E226" s="43" t="s">
        <v>7222</v>
      </c>
      <c r="F226" s="42" t="s">
        <v>772</v>
      </c>
      <c r="G226" s="42" t="s">
        <v>5262</v>
      </c>
      <c r="H226" s="43">
        <v>44522</v>
      </c>
      <c r="I226" s="42"/>
      <c r="J226" s="42" t="s">
        <v>5263</v>
      </c>
      <c r="K226" s="42" t="s">
        <v>1895</v>
      </c>
      <c r="L226" s="42" t="s">
        <v>5264</v>
      </c>
      <c r="M226" s="42" t="s">
        <v>5265</v>
      </c>
      <c r="N226" s="42" t="s">
        <v>5266</v>
      </c>
      <c r="O226" s="42"/>
      <c r="P226" s="42" t="s">
        <v>5267</v>
      </c>
      <c r="Q226" s="42"/>
      <c r="R226" s="42" t="s">
        <v>108</v>
      </c>
      <c r="S226" s="42" t="s">
        <v>665</v>
      </c>
      <c r="T226" s="42" t="s">
        <v>5268</v>
      </c>
      <c r="U226" s="42" t="s">
        <v>498</v>
      </c>
      <c r="V226" s="44" t="s">
        <v>3892</v>
      </c>
      <c r="W226" s="42" t="s">
        <v>3892</v>
      </c>
    </row>
    <row r="227" spans="1:23">
      <c r="A227" s="40">
        <v>225</v>
      </c>
      <c r="B227" s="41">
        <v>2154077848</v>
      </c>
      <c r="C227" s="42" t="s">
        <v>116</v>
      </c>
      <c r="D227" s="42" t="s">
        <v>765</v>
      </c>
      <c r="E227" s="43" t="s">
        <v>7223</v>
      </c>
      <c r="F227" s="42" t="s">
        <v>835</v>
      </c>
      <c r="G227" s="42" t="s">
        <v>5269</v>
      </c>
      <c r="H227" s="43"/>
      <c r="I227" s="42"/>
      <c r="J227" s="42" t="s">
        <v>5270</v>
      </c>
      <c r="K227" s="42" t="s">
        <v>1895</v>
      </c>
      <c r="L227" s="42" t="s">
        <v>5271</v>
      </c>
      <c r="M227" s="42" t="s">
        <v>5272</v>
      </c>
      <c r="N227" s="42" t="s">
        <v>5273</v>
      </c>
      <c r="O227" s="42"/>
      <c r="P227" s="42" t="s">
        <v>5274</v>
      </c>
      <c r="Q227" s="42"/>
      <c r="R227" s="42" t="s">
        <v>108</v>
      </c>
      <c r="S227" s="42" t="s">
        <v>665</v>
      </c>
      <c r="T227" s="42" t="s">
        <v>5268</v>
      </c>
      <c r="U227" s="42" t="s">
        <v>498</v>
      </c>
      <c r="V227" s="44" t="s">
        <v>3892</v>
      </c>
      <c r="W227" s="42" t="s">
        <v>3892</v>
      </c>
    </row>
    <row r="228" spans="1:23">
      <c r="A228" s="40">
        <v>226</v>
      </c>
      <c r="B228" s="41">
        <v>2154077860</v>
      </c>
      <c r="C228" s="42" t="s">
        <v>118</v>
      </c>
      <c r="D228" s="42" t="s">
        <v>765</v>
      </c>
      <c r="E228" s="43" t="s">
        <v>3814</v>
      </c>
      <c r="F228" s="42" t="s">
        <v>804</v>
      </c>
      <c r="G228" s="42" t="s">
        <v>5275</v>
      </c>
      <c r="H228" s="43"/>
      <c r="I228" s="42"/>
      <c r="J228" s="42" t="s">
        <v>5276</v>
      </c>
      <c r="K228" s="42" t="s">
        <v>1895</v>
      </c>
      <c r="L228" s="42" t="s">
        <v>5277</v>
      </c>
      <c r="M228" s="42" t="s">
        <v>5278</v>
      </c>
      <c r="N228" s="42" t="s">
        <v>5279</v>
      </c>
      <c r="O228" s="42"/>
      <c r="P228" s="42" t="s">
        <v>5280</v>
      </c>
      <c r="Q228" s="42"/>
      <c r="R228" s="42" t="s">
        <v>108</v>
      </c>
      <c r="S228" s="42" t="s">
        <v>665</v>
      </c>
      <c r="T228" s="42" t="s">
        <v>5268</v>
      </c>
      <c r="U228" s="42" t="s">
        <v>498</v>
      </c>
      <c r="V228" s="44" t="s">
        <v>3892</v>
      </c>
      <c r="W228" s="42" t="s">
        <v>3892</v>
      </c>
    </row>
    <row r="229" spans="1:23">
      <c r="A229" s="40">
        <v>227</v>
      </c>
      <c r="B229" s="41">
        <v>2154077874</v>
      </c>
      <c r="C229" s="42" t="s">
        <v>5281</v>
      </c>
      <c r="D229" s="42" t="s">
        <v>760</v>
      </c>
      <c r="E229" s="43" t="s">
        <v>7224</v>
      </c>
      <c r="F229" s="42" t="s">
        <v>772</v>
      </c>
      <c r="G229" s="42" t="s">
        <v>5282</v>
      </c>
      <c r="H229" s="43"/>
      <c r="I229" s="42"/>
      <c r="J229" s="42" t="s">
        <v>5283</v>
      </c>
      <c r="K229" s="42" t="s">
        <v>1895</v>
      </c>
      <c r="L229" s="42" t="s">
        <v>5284</v>
      </c>
      <c r="M229" s="42" t="s">
        <v>5285</v>
      </c>
      <c r="N229" s="42" t="s">
        <v>5286</v>
      </c>
      <c r="O229" s="42"/>
      <c r="P229" s="42" t="s">
        <v>5287</v>
      </c>
      <c r="Q229" s="42"/>
      <c r="R229" s="42" t="s">
        <v>108</v>
      </c>
      <c r="S229" s="42" t="s">
        <v>665</v>
      </c>
      <c r="T229" s="42" t="s">
        <v>5268</v>
      </c>
      <c r="U229" s="42" t="s">
        <v>498</v>
      </c>
      <c r="V229" s="44" t="s">
        <v>3892</v>
      </c>
      <c r="W229" s="42" t="s">
        <v>3892</v>
      </c>
    </row>
    <row r="230" spans="1:23" ht="60">
      <c r="A230" s="40">
        <v>228</v>
      </c>
      <c r="B230" s="41">
        <v>2154077892</v>
      </c>
      <c r="C230" s="42" t="s">
        <v>5288</v>
      </c>
      <c r="D230" s="42" t="s">
        <v>765</v>
      </c>
      <c r="E230" s="43" t="s">
        <v>7225</v>
      </c>
      <c r="F230" s="42" t="s">
        <v>5289</v>
      </c>
      <c r="G230" s="42" t="s">
        <v>5290</v>
      </c>
      <c r="H230" s="43"/>
      <c r="I230" s="42"/>
      <c r="J230" s="42" t="s">
        <v>5291</v>
      </c>
      <c r="K230" s="42" t="s">
        <v>1895</v>
      </c>
      <c r="L230" s="42" t="s">
        <v>5292</v>
      </c>
      <c r="M230" s="42" t="s">
        <v>5293</v>
      </c>
      <c r="N230" s="42" t="s">
        <v>5294</v>
      </c>
      <c r="O230" s="42"/>
      <c r="P230" s="42" t="s">
        <v>5295</v>
      </c>
      <c r="Q230" s="42"/>
      <c r="R230" s="42" t="s">
        <v>108</v>
      </c>
      <c r="S230" s="42" t="s">
        <v>665</v>
      </c>
      <c r="T230" s="42" t="s">
        <v>5268</v>
      </c>
      <c r="U230" s="42" t="s">
        <v>498</v>
      </c>
      <c r="V230" s="44" t="s">
        <v>5296</v>
      </c>
      <c r="W230" s="42" t="s">
        <v>3905</v>
      </c>
    </row>
    <row r="231" spans="1:23" ht="60">
      <c r="A231" s="40">
        <v>229</v>
      </c>
      <c r="B231" s="41">
        <v>2154077175</v>
      </c>
      <c r="C231" s="42" t="s">
        <v>5297</v>
      </c>
      <c r="D231" s="42" t="s">
        <v>760</v>
      </c>
      <c r="E231" s="43" t="s">
        <v>2422</v>
      </c>
      <c r="F231" s="42" t="s">
        <v>5298</v>
      </c>
      <c r="G231" s="42" t="s">
        <v>5299</v>
      </c>
      <c r="H231" s="43"/>
      <c r="I231" s="42"/>
      <c r="J231" s="42" t="s">
        <v>5300</v>
      </c>
      <c r="K231" s="42" t="s">
        <v>1895</v>
      </c>
      <c r="L231" s="42" t="s">
        <v>5301</v>
      </c>
      <c r="M231" s="42" t="s">
        <v>5302</v>
      </c>
      <c r="N231" s="42" t="s">
        <v>5303</v>
      </c>
      <c r="O231" s="42"/>
      <c r="P231" s="42" t="s">
        <v>5304</v>
      </c>
      <c r="Q231" s="42"/>
      <c r="R231" s="42" t="s">
        <v>108</v>
      </c>
      <c r="S231" s="42" t="s">
        <v>665</v>
      </c>
      <c r="T231" s="42" t="s">
        <v>5268</v>
      </c>
      <c r="U231" s="42" t="s">
        <v>498</v>
      </c>
      <c r="V231" s="44" t="s">
        <v>5305</v>
      </c>
      <c r="W231" s="42" t="s">
        <v>3905</v>
      </c>
    </row>
    <row r="232" spans="1:23">
      <c r="A232" s="40">
        <v>230</v>
      </c>
      <c r="B232" s="41">
        <v>2154077814</v>
      </c>
      <c r="C232" s="42" t="s">
        <v>5306</v>
      </c>
      <c r="D232" s="42" t="s">
        <v>760</v>
      </c>
      <c r="E232" s="43" t="s">
        <v>7189</v>
      </c>
      <c r="F232" s="42" t="s">
        <v>4531</v>
      </c>
      <c r="G232" s="42" t="s">
        <v>5307</v>
      </c>
      <c r="H232" s="43"/>
      <c r="I232" s="42"/>
      <c r="J232" s="42" t="s">
        <v>5308</v>
      </c>
      <c r="K232" s="42" t="s">
        <v>1895</v>
      </c>
      <c r="L232" s="42" t="s">
        <v>5309</v>
      </c>
      <c r="M232" s="42" t="s">
        <v>5310</v>
      </c>
      <c r="N232" s="42" t="s">
        <v>5311</v>
      </c>
      <c r="O232" s="42"/>
      <c r="P232" s="42" t="s">
        <v>5312</v>
      </c>
      <c r="Q232" s="42"/>
      <c r="R232" s="42" t="s">
        <v>108</v>
      </c>
      <c r="S232" s="42" t="s">
        <v>665</v>
      </c>
      <c r="T232" s="42" t="s">
        <v>5268</v>
      </c>
      <c r="U232" s="42" t="s">
        <v>498</v>
      </c>
      <c r="V232" s="44" t="s">
        <v>3892</v>
      </c>
      <c r="W232" s="42" t="s">
        <v>3892</v>
      </c>
    </row>
    <row r="233" spans="1:23">
      <c r="A233" s="40">
        <v>231</v>
      </c>
      <c r="B233" s="41">
        <v>2154077878</v>
      </c>
      <c r="C233" s="42" t="s">
        <v>112</v>
      </c>
      <c r="D233" s="42" t="s">
        <v>760</v>
      </c>
      <c r="E233" s="43" t="s">
        <v>3805</v>
      </c>
      <c r="F233" s="42" t="s">
        <v>804</v>
      </c>
      <c r="G233" s="42" t="s">
        <v>5313</v>
      </c>
      <c r="H233" s="43"/>
      <c r="I233" s="42"/>
      <c r="J233" s="42" t="s">
        <v>5314</v>
      </c>
      <c r="K233" s="42" t="s">
        <v>1895</v>
      </c>
      <c r="L233" s="42" t="s">
        <v>5315</v>
      </c>
      <c r="M233" s="42" t="s">
        <v>5316</v>
      </c>
      <c r="N233" s="42" t="s">
        <v>1542</v>
      </c>
      <c r="O233" s="42"/>
      <c r="P233" s="42" t="s">
        <v>5317</v>
      </c>
      <c r="Q233" s="42"/>
      <c r="R233" s="42" t="s">
        <v>108</v>
      </c>
      <c r="S233" s="42" t="s">
        <v>665</v>
      </c>
      <c r="T233" s="42" t="s">
        <v>5268</v>
      </c>
      <c r="U233" s="42" t="s">
        <v>498</v>
      </c>
      <c r="V233" s="44" t="s">
        <v>3892</v>
      </c>
      <c r="W233" s="42" t="s">
        <v>3892</v>
      </c>
    </row>
    <row r="234" spans="1:23">
      <c r="A234" s="40">
        <v>232</v>
      </c>
      <c r="B234" s="41">
        <v>2154077888</v>
      </c>
      <c r="C234" s="42" t="s">
        <v>5318</v>
      </c>
      <c r="D234" s="42" t="s">
        <v>765</v>
      </c>
      <c r="E234" s="43" t="s">
        <v>3852</v>
      </c>
      <c r="F234" s="42" t="s">
        <v>5319</v>
      </c>
      <c r="G234" s="42" t="s">
        <v>5320</v>
      </c>
      <c r="H234" s="43"/>
      <c r="I234" s="42"/>
      <c r="J234" s="42" t="s">
        <v>5321</v>
      </c>
      <c r="K234" s="42" t="s">
        <v>1895</v>
      </c>
      <c r="L234" s="42" t="s">
        <v>5322</v>
      </c>
      <c r="M234" s="42" t="s">
        <v>5323</v>
      </c>
      <c r="N234" s="42" t="s">
        <v>5324</v>
      </c>
      <c r="O234" s="42"/>
      <c r="P234" s="42" t="s">
        <v>5325</v>
      </c>
      <c r="Q234" s="42"/>
      <c r="R234" s="42" t="s">
        <v>108</v>
      </c>
      <c r="S234" s="42" t="s">
        <v>665</v>
      </c>
      <c r="T234" s="42" t="s">
        <v>5268</v>
      </c>
      <c r="U234" s="42" t="s">
        <v>498</v>
      </c>
      <c r="V234" s="44" t="s">
        <v>3892</v>
      </c>
      <c r="W234" s="42" t="s">
        <v>3892</v>
      </c>
    </row>
    <row r="235" spans="1:23">
      <c r="A235" s="40">
        <v>233</v>
      </c>
      <c r="B235" s="41">
        <v>2154077854</v>
      </c>
      <c r="C235" s="42" t="s">
        <v>120</v>
      </c>
      <c r="D235" s="42" t="s">
        <v>765</v>
      </c>
      <c r="E235" s="43" t="s">
        <v>7143</v>
      </c>
      <c r="F235" s="42" t="s">
        <v>5319</v>
      </c>
      <c r="G235" s="42" t="s">
        <v>5326</v>
      </c>
      <c r="H235" s="43"/>
      <c r="I235" s="42"/>
      <c r="J235" s="42" t="s">
        <v>5327</v>
      </c>
      <c r="K235" s="42" t="s">
        <v>1895</v>
      </c>
      <c r="L235" s="42" t="s">
        <v>5328</v>
      </c>
      <c r="M235" s="42" t="s">
        <v>5329</v>
      </c>
      <c r="N235" s="42" t="s">
        <v>5330</v>
      </c>
      <c r="O235" s="42"/>
      <c r="P235" s="42" t="s">
        <v>5331</v>
      </c>
      <c r="Q235" s="42"/>
      <c r="R235" s="42" t="s">
        <v>108</v>
      </c>
      <c r="S235" s="42" t="s">
        <v>665</v>
      </c>
      <c r="T235" s="42" t="s">
        <v>5268</v>
      </c>
      <c r="U235" s="42" t="s">
        <v>498</v>
      </c>
      <c r="V235" s="44" t="s">
        <v>3892</v>
      </c>
      <c r="W235" s="42" t="s">
        <v>3892</v>
      </c>
    </row>
    <row r="236" spans="1:23">
      <c r="A236" s="40">
        <v>234</v>
      </c>
      <c r="B236" s="41">
        <v>2154077831</v>
      </c>
      <c r="C236" s="42" t="s">
        <v>5332</v>
      </c>
      <c r="D236" s="42" t="s">
        <v>760</v>
      </c>
      <c r="E236" s="43" t="s">
        <v>3769</v>
      </c>
      <c r="F236" s="42" t="s">
        <v>861</v>
      </c>
      <c r="G236" s="42" t="s">
        <v>5333</v>
      </c>
      <c r="H236" s="43"/>
      <c r="I236" s="42"/>
      <c r="J236" s="42" t="s">
        <v>5334</v>
      </c>
      <c r="K236" s="42" t="s">
        <v>1895</v>
      </c>
      <c r="L236" s="42" t="s">
        <v>5335</v>
      </c>
      <c r="M236" s="42" t="s">
        <v>5336</v>
      </c>
      <c r="N236" s="42" t="s">
        <v>5337</v>
      </c>
      <c r="O236" s="42"/>
      <c r="P236" s="42" t="s">
        <v>5338</v>
      </c>
      <c r="Q236" s="42"/>
      <c r="R236" s="42" t="s">
        <v>108</v>
      </c>
      <c r="S236" s="42" t="s">
        <v>665</v>
      </c>
      <c r="T236" s="42" t="s">
        <v>5268</v>
      </c>
      <c r="U236" s="42" t="s">
        <v>498</v>
      </c>
      <c r="V236" s="44" t="s">
        <v>3892</v>
      </c>
      <c r="W236" s="42" t="s">
        <v>3892</v>
      </c>
    </row>
    <row r="237" spans="1:23">
      <c r="A237" s="40">
        <v>235</v>
      </c>
      <c r="B237" s="41">
        <v>2154077188</v>
      </c>
      <c r="C237" s="42" t="s">
        <v>5339</v>
      </c>
      <c r="D237" s="42" t="s">
        <v>765</v>
      </c>
      <c r="E237" s="43" t="s">
        <v>7113</v>
      </c>
      <c r="F237" s="42" t="s">
        <v>5340</v>
      </c>
      <c r="G237" s="42" t="s">
        <v>5341</v>
      </c>
      <c r="H237" s="43"/>
      <c r="I237" s="42"/>
      <c r="J237" s="42" t="s">
        <v>5342</v>
      </c>
      <c r="K237" s="42" t="s">
        <v>1895</v>
      </c>
      <c r="L237" s="42" t="s">
        <v>5343</v>
      </c>
      <c r="M237" s="42" t="s">
        <v>5344</v>
      </c>
      <c r="N237" s="42" t="s">
        <v>5345</v>
      </c>
      <c r="O237" s="42"/>
      <c r="P237" s="42" t="s">
        <v>5346</v>
      </c>
      <c r="Q237" s="42"/>
      <c r="R237" s="42" t="s">
        <v>108</v>
      </c>
      <c r="S237" s="42" t="s">
        <v>665</v>
      </c>
      <c r="T237" s="42" t="s">
        <v>5268</v>
      </c>
      <c r="U237" s="42" t="s">
        <v>498</v>
      </c>
      <c r="V237" s="44" t="s">
        <v>3892</v>
      </c>
      <c r="W237" s="42" t="s">
        <v>3892</v>
      </c>
    </row>
    <row r="238" spans="1:23">
      <c r="A238" s="40">
        <v>236</v>
      </c>
      <c r="B238" s="41">
        <v>2154077309</v>
      </c>
      <c r="C238" s="42" t="s">
        <v>5347</v>
      </c>
      <c r="D238" s="42" t="s">
        <v>765</v>
      </c>
      <c r="E238" s="43" t="s">
        <v>3816</v>
      </c>
      <c r="F238" s="42" t="s">
        <v>5348</v>
      </c>
      <c r="G238" s="42" t="s">
        <v>5349</v>
      </c>
      <c r="H238" s="43"/>
      <c r="I238" s="42"/>
      <c r="J238" s="42" t="s">
        <v>5350</v>
      </c>
      <c r="K238" s="42" t="s">
        <v>1895</v>
      </c>
      <c r="L238" s="42" t="s">
        <v>5351</v>
      </c>
      <c r="M238" s="42" t="s">
        <v>5352</v>
      </c>
      <c r="N238" s="42" t="s">
        <v>5353</v>
      </c>
      <c r="O238" s="42"/>
      <c r="P238" s="42" t="s">
        <v>5354</v>
      </c>
      <c r="Q238" s="42"/>
      <c r="R238" s="42" t="s">
        <v>108</v>
      </c>
      <c r="S238" s="42" t="s">
        <v>665</v>
      </c>
      <c r="T238" s="42" t="s">
        <v>5268</v>
      </c>
      <c r="U238" s="42" t="s">
        <v>498</v>
      </c>
      <c r="V238" s="44" t="s">
        <v>3892</v>
      </c>
      <c r="W238" s="42" t="s">
        <v>3892</v>
      </c>
    </row>
    <row r="239" spans="1:23" ht="60">
      <c r="A239" s="40">
        <v>237</v>
      </c>
      <c r="B239" s="41">
        <v>2154077855</v>
      </c>
      <c r="C239" s="42" t="s">
        <v>114</v>
      </c>
      <c r="D239" s="42" t="s">
        <v>765</v>
      </c>
      <c r="E239" s="43" t="s">
        <v>3793</v>
      </c>
      <c r="F239" s="42" t="s">
        <v>3900</v>
      </c>
      <c r="G239" s="42" t="s">
        <v>5355</v>
      </c>
      <c r="H239" s="43"/>
      <c r="I239" s="42"/>
      <c r="J239" s="42" t="s">
        <v>5356</v>
      </c>
      <c r="K239" s="42" t="s">
        <v>2135</v>
      </c>
      <c r="L239" s="42" t="s">
        <v>5357</v>
      </c>
      <c r="M239" s="42" t="s">
        <v>5358</v>
      </c>
      <c r="N239" s="42" t="s">
        <v>5359</v>
      </c>
      <c r="O239" s="42"/>
      <c r="P239" s="42" t="s">
        <v>5360</v>
      </c>
      <c r="Q239" s="42"/>
      <c r="R239" s="42" t="s">
        <v>108</v>
      </c>
      <c r="S239" s="42" t="s">
        <v>665</v>
      </c>
      <c r="T239" s="42" t="s">
        <v>5268</v>
      </c>
      <c r="U239" s="42" t="s">
        <v>498</v>
      </c>
      <c r="V239" s="44" t="s">
        <v>5361</v>
      </c>
      <c r="W239" s="42" t="s">
        <v>3905</v>
      </c>
    </row>
    <row r="240" spans="1:23">
      <c r="A240" s="40">
        <v>238</v>
      </c>
      <c r="B240" s="41">
        <v>2154077853</v>
      </c>
      <c r="C240" s="42" t="s">
        <v>5362</v>
      </c>
      <c r="D240" s="42" t="s">
        <v>760</v>
      </c>
      <c r="E240" s="43" t="s">
        <v>7226</v>
      </c>
      <c r="F240" s="42" t="s">
        <v>5363</v>
      </c>
      <c r="G240" s="42" t="s">
        <v>5364</v>
      </c>
      <c r="H240" s="43"/>
      <c r="I240" s="42"/>
      <c r="J240" s="42" t="s">
        <v>5365</v>
      </c>
      <c r="K240" s="42" t="s">
        <v>1895</v>
      </c>
      <c r="L240" s="42" t="s">
        <v>5366</v>
      </c>
      <c r="M240" s="42" t="s">
        <v>5367</v>
      </c>
      <c r="N240" s="42" t="s">
        <v>5368</v>
      </c>
      <c r="O240" s="42"/>
      <c r="P240" s="42" t="s">
        <v>5369</v>
      </c>
      <c r="Q240" s="42"/>
      <c r="R240" s="42" t="s">
        <v>108</v>
      </c>
      <c r="S240" s="42" t="s">
        <v>665</v>
      </c>
      <c r="T240" s="42" t="s">
        <v>5268</v>
      </c>
      <c r="U240" s="42" t="s">
        <v>498</v>
      </c>
      <c r="V240" s="44" t="s">
        <v>3892</v>
      </c>
      <c r="W240" s="42" t="s">
        <v>3892</v>
      </c>
    </row>
    <row r="241" spans="1:23">
      <c r="A241" s="40">
        <v>239</v>
      </c>
      <c r="B241" s="41">
        <v>2154077882</v>
      </c>
      <c r="C241" s="42" t="s">
        <v>5370</v>
      </c>
      <c r="D241" s="42" t="s">
        <v>760</v>
      </c>
      <c r="E241" s="43" t="s">
        <v>3553</v>
      </c>
      <c r="F241" s="42" t="s">
        <v>804</v>
      </c>
      <c r="G241" s="42" t="s">
        <v>5371</v>
      </c>
      <c r="H241" s="43"/>
      <c r="I241" s="42"/>
      <c r="J241" s="42" t="s">
        <v>5372</v>
      </c>
      <c r="K241" s="42" t="s">
        <v>1895</v>
      </c>
      <c r="L241" s="42" t="s">
        <v>5373</v>
      </c>
      <c r="M241" s="42" t="s">
        <v>5374</v>
      </c>
      <c r="N241" s="42" t="s">
        <v>5375</v>
      </c>
      <c r="O241" s="42"/>
      <c r="P241" s="42" t="s">
        <v>5376</v>
      </c>
      <c r="Q241" s="42"/>
      <c r="R241" s="42" t="s">
        <v>108</v>
      </c>
      <c r="S241" s="42" t="s">
        <v>665</v>
      </c>
      <c r="T241" s="42" t="s">
        <v>5268</v>
      </c>
      <c r="U241" s="42" t="s">
        <v>498</v>
      </c>
      <c r="V241" s="44" t="s">
        <v>3892</v>
      </c>
      <c r="W241" s="42" t="s">
        <v>3892</v>
      </c>
    </row>
    <row r="242" spans="1:23">
      <c r="A242" s="40">
        <v>240</v>
      </c>
      <c r="B242" s="41">
        <v>2154077313</v>
      </c>
      <c r="C242" s="42" t="s">
        <v>122</v>
      </c>
      <c r="D242" s="42" t="s">
        <v>760</v>
      </c>
      <c r="E242" s="43" t="s">
        <v>7227</v>
      </c>
      <c r="F242" s="42" t="s">
        <v>4531</v>
      </c>
      <c r="G242" s="42" t="s">
        <v>5377</v>
      </c>
      <c r="H242" s="43"/>
      <c r="I242" s="42"/>
      <c r="J242" s="42" t="s">
        <v>5378</v>
      </c>
      <c r="K242" s="42" t="s">
        <v>1895</v>
      </c>
      <c r="L242" s="42" t="s">
        <v>5379</v>
      </c>
      <c r="M242" s="42" t="s">
        <v>5380</v>
      </c>
      <c r="N242" s="42" t="s">
        <v>5381</v>
      </c>
      <c r="O242" s="42"/>
      <c r="P242" s="42" t="s">
        <v>5382</v>
      </c>
      <c r="Q242" s="42"/>
      <c r="R242" s="42" t="s">
        <v>108</v>
      </c>
      <c r="S242" s="42" t="s">
        <v>665</v>
      </c>
      <c r="T242" s="42" t="s">
        <v>5268</v>
      </c>
      <c r="U242" s="42" t="s">
        <v>498</v>
      </c>
      <c r="V242" s="44" t="s">
        <v>3892</v>
      </c>
      <c r="W242" s="42" t="s">
        <v>3892</v>
      </c>
    </row>
    <row r="243" spans="1:23" ht="60">
      <c r="A243" s="40">
        <v>241</v>
      </c>
      <c r="B243" s="41">
        <v>2154077193</v>
      </c>
      <c r="C243" s="42" t="s">
        <v>5383</v>
      </c>
      <c r="D243" s="42" t="s">
        <v>760</v>
      </c>
      <c r="E243" s="43" t="s">
        <v>7228</v>
      </c>
      <c r="F243" s="42" t="s">
        <v>4531</v>
      </c>
      <c r="G243" s="42" t="s">
        <v>5384</v>
      </c>
      <c r="H243" s="43"/>
      <c r="I243" s="42"/>
      <c r="J243" s="42" t="s">
        <v>5385</v>
      </c>
      <c r="K243" s="42" t="s">
        <v>2135</v>
      </c>
      <c r="L243" s="42" t="s">
        <v>5386</v>
      </c>
      <c r="M243" s="42" t="s">
        <v>5387</v>
      </c>
      <c r="N243" s="42" t="s">
        <v>5388</v>
      </c>
      <c r="O243" s="42"/>
      <c r="P243" s="42" t="s">
        <v>5389</v>
      </c>
      <c r="Q243" s="42"/>
      <c r="R243" s="42" t="s">
        <v>108</v>
      </c>
      <c r="S243" s="42" t="s">
        <v>665</v>
      </c>
      <c r="T243" s="42" t="s">
        <v>5268</v>
      </c>
      <c r="U243" s="42" t="s">
        <v>498</v>
      </c>
      <c r="V243" s="44" t="s">
        <v>5390</v>
      </c>
      <c r="W243" s="42" t="s">
        <v>3905</v>
      </c>
    </row>
    <row r="244" spans="1:23">
      <c r="A244" s="40">
        <v>242</v>
      </c>
      <c r="B244" s="41">
        <v>2154077858</v>
      </c>
      <c r="C244" s="42" t="s">
        <v>5391</v>
      </c>
      <c r="D244" s="42" t="s">
        <v>765</v>
      </c>
      <c r="E244" s="43" t="s">
        <v>3834</v>
      </c>
      <c r="F244" s="42" t="s">
        <v>5392</v>
      </c>
      <c r="G244" s="42" t="s">
        <v>5393</v>
      </c>
      <c r="H244" s="43"/>
      <c r="I244" s="42"/>
      <c r="J244" s="42" t="s">
        <v>5394</v>
      </c>
      <c r="K244" s="42" t="s">
        <v>1895</v>
      </c>
      <c r="L244" s="42" t="s">
        <v>5395</v>
      </c>
      <c r="M244" s="42" t="s">
        <v>5396</v>
      </c>
      <c r="N244" s="42" t="s">
        <v>5397</v>
      </c>
      <c r="O244" s="42"/>
      <c r="P244" s="42" t="s">
        <v>5398</v>
      </c>
      <c r="Q244" s="42"/>
      <c r="R244" s="42" t="s">
        <v>108</v>
      </c>
      <c r="S244" s="42" t="s">
        <v>665</v>
      </c>
      <c r="T244" s="42" t="s">
        <v>5268</v>
      </c>
      <c r="U244" s="42" t="s">
        <v>498</v>
      </c>
      <c r="V244" s="44" t="s">
        <v>3892</v>
      </c>
      <c r="W244" s="42" t="s">
        <v>3892</v>
      </c>
    </row>
    <row r="245" spans="1:23">
      <c r="A245" s="40">
        <v>243</v>
      </c>
      <c r="B245" s="41">
        <v>2154077872</v>
      </c>
      <c r="C245" s="42" t="s">
        <v>5399</v>
      </c>
      <c r="D245" s="42" t="s">
        <v>765</v>
      </c>
      <c r="E245" s="43" t="s">
        <v>7229</v>
      </c>
      <c r="F245" s="42" t="s">
        <v>3938</v>
      </c>
      <c r="G245" s="42" t="s">
        <v>5400</v>
      </c>
      <c r="H245" s="43"/>
      <c r="I245" s="42"/>
      <c r="J245" s="42" t="s">
        <v>5401</v>
      </c>
      <c r="K245" s="42" t="s">
        <v>1895</v>
      </c>
      <c r="L245" s="42" t="s">
        <v>5402</v>
      </c>
      <c r="M245" s="42" t="s">
        <v>5403</v>
      </c>
      <c r="N245" s="42" t="s">
        <v>5404</v>
      </c>
      <c r="O245" s="42"/>
      <c r="P245" s="42" t="s">
        <v>5405</v>
      </c>
      <c r="Q245" s="42"/>
      <c r="R245" s="42" t="s">
        <v>108</v>
      </c>
      <c r="S245" s="42" t="s">
        <v>665</v>
      </c>
      <c r="T245" s="42" t="s">
        <v>5268</v>
      </c>
      <c r="U245" s="42" t="s">
        <v>498</v>
      </c>
      <c r="V245" s="44" t="s">
        <v>3892</v>
      </c>
      <c r="W245" s="42" t="s">
        <v>3892</v>
      </c>
    </row>
    <row r="246" spans="1:23" ht="60">
      <c r="A246" s="40">
        <v>244</v>
      </c>
      <c r="B246" s="41">
        <v>2154077835</v>
      </c>
      <c r="C246" s="42" t="s">
        <v>5406</v>
      </c>
      <c r="D246" s="42" t="s">
        <v>765</v>
      </c>
      <c r="E246" s="43" t="s">
        <v>7230</v>
      </c>
      <c r="F246" s="42" t="s">
        <v>3900</v>
      </c>
      <c r="G246" s="42" t="s">
        <v>5407</v>
      </c>
      <c r="H246" s="43"/>
      <c r="I246" s="42"/>
      <c r="J246" s="42" t="s">
        <v>5408</v>
      </c>
      <c r="K246" s="42" t="s">
        <v>1895</v>
      </c>
      <c r="L246" s="42" t="s">
        <v>5409</v>
      </c>
      <c r="M246" s="42" t="s">
        <v>5410</v>
      </c>
      <c r="N246" s="42" t="s">
        <v>5411</v>
      </c>
      <c r="O246" s="42"/>
      <c r="P246" s="42" t="s">
        <v>5412</v>
      </c>
      <c r="Q246" s="42"/>
      <c r="R246" s="42" t="s">
        <v>108</v>
      </c>
      <c r="S246" s="42" t="s">
        <v>665</v>
      </c>
      <c r="T246" s="42" t="s">
        <v>5268</v>
      </c>
      <c r="U246" s="42" t="s">
        <v>498</v>
      </c>
      <c r="V246" s="44" t="s">
        <v>5413</v>
      </c>
      <c r="W246" s="42" t="s">
        <v>3905</v>
      </c>
    </row>
    <row r="247" spans="1:23">
      <c r="A247" s="40">
        <v>245</v>
      </c>
      <c r="B247" s="41">
        <v>2154077824</v>
      </c>
      <c r="C247" s="42" t="s">
        <v>107</v>
      </c>
      <c r="D247" s="42" t="s">
        <v>760</v>
      </c>
      <c r="E247" s="43" t="s">
        <v>3623</v>
      </c>
      <c r="F247" s="42" t="s">
        <v>5414</v>
      </c>
      <c r="G247" s="42" t="s">
        <v>5415</v>
      </c>
      <c r="H247" s="43"/>
      <c r="I247" s="42"/>
      <c r="J247" s="42" t="s">
        <v>5416</v>
      </c>
      <c r="K247" s="42" t="s">
        <v>1895</v>
      </c>
      <c r="L247" s="42" t="s">
        <v>5417</v>
      </c>
      <c r="M247" s="42" t="s">
        <v>5418</v>
      </c>
      <c r="N247" s="42" t="s">
        <v>5419</v>
      </c>
      <c r="O247" s="42"/>
      <c r="P247" s="42" t="s">
        <v>5420</v>
      </c>
      <c r="Q247" s="42"/>
      <c r="R247" s="42" t="s">
        <v>108</v>
      </c>
      <c r="S247" s="42" t="s">
        <v>665</v>
      </c>
      <c r="T247" s="42" t="s">
        <v>5268</v>
      </c>
      <c r="U247" s="42" t="s">
        <v>498</v>
      </c>
      <c r="V247" s="44" t="s">
        <v>3892</v>
      </c>
      <c r="W247" s="42" t="s">
        <v>3892</v>
      </c>
    </row>
    <row r="248" spans="1:23">
      <c r="A248" s="40">
        <v>246</v>
      </c>
      <c r="B248" s="41">
        <v>2154077862</v>
      </c>
      <c r="C248" s="42" t="s">
        <v>5421</v>
      </c>
      <c r="D248" s="42" t="s">
        <v>760</v>
      </c>
      <c r="E248" s="43" t="s">
        <v>7102</v>
      </c>
      <c r="F248" s="42" t="s">
        <v>4435</v>
      </c>
      <c r="G248" s="42" t="s">
        <v>5422</v>
      </c>
      <c r="H248" s="43"/>
      <c r="I248" s="42"/>
      <c r="J248" s="42" t="s">
        <v>5423</v>
      </c>
      <c r="K248" s="42" t="s">
        <v>1895</v>
      </c>
      <c r="L248" s="42" t="s">
        <v>5424</v>
      </c>
      <c r="M248" s="42" t="s">
        <v>5425</v>
      </c>
      <c r="N248" s="42" t="s">
        <v>5426</v>
      </c>
      <c r="O248" s="42"/>
      <c r="P248" s="42" t="s">
        <v>5427</v>
      </c>
      <c r="Q248" s="42"/>
      <c r="R248" s="42" t="s">
        <v>108</v>
      </c>
      <c r="S248" s="42" t="s">
        <v>665</v>
      </c>
      <c r="T248" s="42" t="s">
        <v>5268</v>
      </c>
      <c r="U248" s="42" t="s">
        <v>498</v>
      </c>
      <c r="V248" s="44" t="s">
        <v>3892</v>
      </c>
      <c r="W248" s="42" t="s">
        <v>3892</v>
      </c>
    </row>
    <row r="249" spans="1:23">
      <c r="A249" s="40">
        <v>247</v>
      </c>
      <c r="B249" s="41">
        <v>2154077900</v>
      </c>
      <c r="C249" s="42" t="s">
        <v>125</v>
      </c>
      <c r="D249" s="42" t="s">
        <v>760</v>
      </c>
      <c r="E249" s="43" t="s">
        <v>7230</v>
      </c>
      <c r="F249" s="42" t="s">
        <v>5428</v>
      </c>
      <c r="G249" s="42" t="s">
        <v>5429</v>
      </c>
      <c r="H249" s="43">
        <v>44573</v>
      </c>
      <c r="I249" s="42"/>
      <c r="J249" s="42" t="s">
        <v>5430</v>
      </c>
      <c r="K249" s="42" t="s">
        <v>1895</v>
      </c>
      <c r="L249" s="42" t="s">
        <v>5431</v>
      </c>
      <c r="M249" s="42" t="s">
        <v>5432</v>
      </c>
      <c r="N249" s="42" t="s">
        <v>5433</v>
      </c>
      <c r="O249" s="42"/>
      <c r="P249" s="42" t="s">
        <v>5434</v>
      </c>
      <c r="Q249" s="42"/>
      <c r="R249" s="42" t="s">
        <v>108</v>
      </c>
      <c r="S249" s="42" t="s">
        <v>665</v>
      </c>
      <c r="T249" s="42" t="s">
        <v>5268</v>
      </c>
      <c r="U249" s="42" t="s">
        <v>498</v>
      </c>
      <c r="V249" s="44" t="s">
        <v>3892</v>
      </c>
      <c r="W249" s="42" t="s">
        <v>3892</v>
      </c>
    </row>
    <row r="250" spans="1:23">
      <c r="A250" s="40">
        <v>248</v>
      </c>
      <c r="B250" s="41">
        <v>2154077198</v>
      </c>
      <c r="C250" s="42" t="s">
        <v>5435</v>
      </c>
      <c r="D250" s="42" t="s">
        <v>765</v>
      </c>
      <c r="E250" s="43" t="s">
        <v>7201</v>
      </c>
      <c r="F250" s="42" t="s">
        <v>5436</v>
      </c>
      <c r="G250" s="42" t="s">
        <v>5437</v>
      </c>
      <c r="H250" s="43">
        <v>44295</v>
      </c>
      <c r="I250" s="42"/>
      <c r="J250" s="42" t="s">
        <v>5438</v>
      </c>
      <c r="K250" s="42" t="s">
        <v>1895</v>
      </c>
      <c r="L250" s="42" t="s">
        <v>5439</v>
      </c>
      <c r="M250" s="42" t="s">
        <v>5440</v>
      </c>
      <c r="N250" s="42" t="s">
        <v>3584</v>
      </c>
      <c r="O250" s="42"/>
      <c r="P250" s="42" t="s">
        <v>5441</v>
      </c>
      <c r="Q250" s="42"/>
      <c r="R250" s="42" t="s">
        <v>108</v>
      </c>
      <c r="S250" s="42" t="s">
        <v>665</v>
      </c>
      <c r="T250" s="42" t="s">
        <v>5268</v>
      </c>
      <c r="U250" s="42" t="s">
        <v>498</v>
      </c>
      <c r="V250" s="44" t="s">
        <v>3892</v>
      </c>
      <c r="W250" s="42" t="s">
        <v>3892</v>
      </c>
    </row>
    <row r="251" spans="1:23">
      <c r="A251" s="40">
        <v>249</v>
      </c>
      <c r="B251" s="41">
        <v>2154077200</v>
      </c>
      <c r="C251" s="42" t="s">
        <v>5442</v>
      </c>
      <c r="D251" s="42" t="s">
        <v>765</v>
      </c>
      <c r="E251" s="43" t="s">
        <v>7231</v>
      </c>
      <c r="F251" s="42" t="s">
        <v>5443</v>
      </c>
      <c r="G251" s="42" t="s">
        <v>5444</v>
      </c>
      <c r="H251" s="43">
        <v>44300</v>
      </c>
      <c r="I251" s="42" t="s">
        <v>5445</v>
      </c>
      <c r="J251" s="42" t="s">
        <v>5446</v>
      </c>
      <c r="K251" s="42" t="s">
        <v>1895</v>
      </c>
      <c r="L251" s="42" t="s">
        <v>1901</v>
      </c>
      <c r="M251" s="42" t="s">
        <v>5447</v>
      </c>
      <c r="N251" s="42" t="s">
        <v>5448</v>
      </c>
      <c r="O251" s="42" t="s">
        <v>5449</v>
      </c>
      <c r="P251" s="42" t="s">
        <v>4988</v>
      </c>
      <c r="Q251" s="42" t="s">
        <v>5450</v>
      </c>
      <c r="R251" s="42" t="s">
        <v>108</v>
      </c>
      <c r="S251" s="42" t="s">
        <v>665</v>
      </c>
      <c r="T251" s="42" t="s">
        <v>5268</v>
      </c>
      <c r="U251" s="42" t="s">
        <v>498</v>
      </c>
      <c r="V251" s="44" t="s">
        <v>3892</v>
      </c>
      <c r="W251" s="42" t="s">
        <v>3892</v>
      </c>
    </row>
    <row r="252" spans="1:23">
      <c r="A252" s="40">
        <v>250</v>
      </c>
      <c r="B252" s="41">
        <v>2154077204</v>
      </c>
      <c r="C252" s="42" t="s">
        <v>5451</v>
      </c>
      <c r="D252" s="42" t="s">
        <v>760</v>
      </c>
      <c r="E252" s="43" t="s">
        <v>7232</v>
      </c>
      <c r="F252" s="42" t="s">
        <v>5452</v>
      </c>
      <c r="G252" s="42" t="s">
        <v>5453</v>
      </c>
      <c r="H252" s="43"/>
      <c r="I252" s="42"/>
      <c r="J252" s="42" t="s">
        <v>5454</v>
      </c>
      <c r="K252" s="42" t="s">
        <v>1895</v>
      </c>
      <c r="L252" s="42" t="s">
        <v>5455</v>
      </c>
      <c r="M252" s="42" t="s">
        <v>5456</v>
      </c>
      <c r="N252" s="42" t="s">
        <v>5457</v>
      </c>
      <c r="O252" s="42"/>
      <c r="P252" s="42" t="s">
        <v>5458</v>
      </c>
      <c r="Q252" s="42"/>
      <c r="R252" s="42" t="s">
        <v>108</v>
      </c>
      <c r="S252" s="42" t="s">
        <v>665</v>
      </c>
      <c r="T252" s="42" t="s">
        <v>5268</v>
      </c>
      <c r="U252" s="42" t="s">
        <v>498</v>
      </c>
      <c r="V252" s="44" t="s">
        <v>3892</v>
      </c>
      <c r="W252" s="42" t="s">
        <v>3892</v>
      </c>
    </row>
    <row r="253" spans="1:23">
      <c r="A253" s="40">
        <v>251</v>
      </c>
      <c r="B253" s="41">
        <v>2154077894</v>
      </c>
      <c r="C253" s="42" t="s">
        <v>5459</v>
      </c>
      <c r="D253" s="42" t="s">
        <v>760</v>
      </c>
      <c r="E253" s="43" t="s">
        <v>7154</v>
      </c>
      <c r="F253" s="42" t="s">
        <v>857</v>
      </c>
      <c r="G253" s="42" t="s">
        <v>5460</v>
      </c>
      <c r="H253" s="43"/>
      <c r="I253" s="42"/>
      <c r="J253" s="42" t="s">
        <v>5461</v>
      </c>
      <c r="K253" s="42" t="s">
        <v>1895</v>
      </c>
      <c r="L253" s="42" t="s">
        <v>5462</v>
      </c>
      <c r="M253" s="42" t="s">
        <v>5463</v>
      </c>
      <c r="N253" s="42" t="s">
        <v>5464</v>
      </c>
      <c r="O253" s="42"/>
      <c r="P253" s="42" t="s">
        <v>5465</v>
      </c>
      <c r="Q253" s="42"/>
      <c r="R253" s="42" t="s">
        <v>108</v>
      </c>
      <c r="S253" s="42" t="s">
        <v>665</v>
      </c>
      <c r="T253" s="42" t="s">
        <v>5268</v>
      </c>
      <c r="U253" s="42" t="s">
        <v>498</v>
      </c>
      <c r="V253" s="44" t="s">
        <v>3892</v>
      </c>
      <c r="W253" s="42" t="s">
        <v>3892</v>
      </c>
    </row>
    <row r="254" spans="1:23">
      <c r="A254" s="40">
        <v>252</v>
      </c>
      <c r="B254" s="41">
        <v>2154077317</v>
      </c>
      <c r="C254" s="42" t="s">
        <v>5466</v>
      </c>
      <c r="D254" s="42" t="s">
        <v>765</v>
      </c>
      <c r="E254" s="43" t="s">
        <v>7194</v>
      </c>
      <c r="F254" s="42" t="s">
        <v>4072</v>
      </c>
      <c r="G254" s="42" t="s">
        <v>5467</v>
      </c>
      <c r="H254" s="43">
        <v>44829</v>
      </c>
      <c r="I254" s="42" t="s">
        <v>5468</v>
      </c>
      <c r="J254" s="42" t="s">
        <v>5469</v>
      </c>
      <c r="K254" s="42" t="s">
        <v>1895</v>
      </c>
      <c r="L254" s="42" t="s">
        <v>1896</v>
      </c>
      <c r="M254" s="42" t="s">
        <v>5470</v>
      </c>
      <c r="N254" s="42"/>
      <c r="O254" s="42"/>
      <c r="P254" s="42" t="s">
        <v>5471</v>
      </c>
      <c r="Q254" s="42" t="s">
        <v>5472</v>
      </c>
      <c r="R254" s="42" t="s">
        <v>108</v>
      </c>
      <c r="S254" s="42" t="s">
        <v>665</v>
      </c>
      <c r="T254" s="42" t="s">
        <v>5268</v>
      </c>
      <c r="U254" s="42" t="s">
        <v>498</v>
      </c>
      <c r="V254" s="44" t="s">
        <v>3892</v>
      </c>
      <c r="W254" s="42" t="s">
        <v>3892</v>
      </c>
    </row>
    <row r="255" spans="1:23">
      <c r="A255" s="40">
        <v>253</v>
      </c>
      <c r="B255" s="41">
        <v>2154077815</v>
      </c>
      <c r="C255" s="42" t="s">
        <v>5473</v>
      </c>
      <c r="D255" s="42" t="s">
        <v>765</v>
      </c>
      <c r="E255" s="43" t="s">
        <v>7233</v>
      </c>
      <c r="F255" s="42"/>
      <c r="G255" s="42" t="s">
        <v>5474</v>
      </c>
      <c r="H255" s="43"/>
      <c r="I255" s="42"/>
      <c r="J255" s="42" t="s">
        <v>5475</v>
      </c>
      <c r="K255" s="42" t="s">
        <v>5476</v>
      </c>
      <c r="L255" s="42" t="s">
        <v>5476</v>
      </c>
      <c r="M255" s="42" t="s">
        <v>5477</v>
      </c>
      <c r="N255" s="42"/>
      <c r="O255" s="42"/>
      <c r="P255" s="42"/>
      <c r="Q255" s="42"/>
      <c r="R255" s="42" t="s">
        <v>129</v>
      </c>
      <c r="S255" s="42" t="s">
        <v>665</v>
      </c>
      <c r="T255" s="42" t="s">
        <v>5268</v>
      </c>
      <c r="U255" s="42" t="s">
        <v>498</v>
      </c>
      <c r="V255" s="44" t="s">
        <v>3892</v>
      </c>
      <c r="W255" s="42" t="s">
        <v>3892</v>
      </c>
    </row>
    <row r="256" spans="1:23" ht="60">
      <c r="A256" s="40">
        <v>254</v>
      </c>
      <c r="B256" s="41">
        <v>2154077171</v>
      </c>
      <c r="C256" s="42" t="s">
        <v>5478</v>
      </c>
      <c r="D256" s="42" t="s">
        <v>765</v>
      </c>
      <c r="E256" s="43" t="s">
        <v>7234</v>
      </c>
      <c r="F256" s="42"/>
      <c r="G256" s="42" t="s">
        <v>5479</v>
      </c>
      <c r="H256" s="43"/>
      <c r="I256" s="42"/>
      <c r="J256" s="42" t="s">
        <v>5480</v>
      </c>
      <c r="K256" s="42" t="s">
        <v>5481</v>
      </c>
      <c r="L256" s="42" t="s">
        <v>5481</v>
      </c>
      <c r="M256" s="42" t="s">
        <v>5482</v>
      </c>
      <c r="N256" s="42"/>
      <c r="O256" s="42"/>
      <c r="P256" s="42"/>
      <c r="Q256" s="42"/>
      <c r="R256" s="42" t="s">
        <v>129</v>
      </c>
      <c r="S256" s="42" t="s">
        <v>665</v>
      </c>
      <c r="T256" s="42" t="s">
        <v>5268</v>
      </c>
      <c r="U256" s="42" t="s">
        <v>498</v>
      </c>
      <c r="V256" s="44" t="s">
        <v>5483</v>
      </c>
      <c r="W256" s="42" t="s">
        <v>3905</v>
      </c>
    </row>
    <row r="257" spans="1:23">
      <c r="A257" s="40">
        <v>255</v>
      </c>
      <c r="B257" s="41">
        <v>2154077844</v>
      </c>
      <c r="C257" s="42" t="s">
        <v>5484</v>
      </c>
      <c r="D257" s="42" t="s">
        <v>765</v>
      </c>
      <c r="E257" s="43" t="s">
        <v>3776</v>
      </c>
      <c r="F257" s="42" t="s">
        <v>817</v>
      </c>
      <c r="G257" s="42" t="s">
        <v>5485</v>
      </c>
      <c r="H257" s="43"/>
      <c r="I257" s="42"/>
      <c r="J257" s="42" t="s">
        <v>5486</v>
      </c>
      <c r="K257" s="42" t="s">
        <v>1895</v>
      </c>
      <c r="L257" s="42" t="s">
        <v>5487</v>
      </c>
      <c r="M257" s="42" t="s">
        <v>5488</v>
      </c>
      <c r="N257" s="42" t="s">
        <v>5489</v>
      </c>
      <c r="O257" s="42"/>
      <c r="P257" s="42" t="s">
        <v>5490</v>
      </c>
      <c r="Q257" s="42"/>
      <c r="R257" s="42" t="s">
        <v>129</v>
      </c>
      <c r="S257" s="42" t="s">
        <v>665</v>
      </c>
      <c r="T257" s="42" t="s">
        <v>5268</v>
      </c>
      <c r="U257" s="42" t="s">
        <v>498</v>
      </c>
      <c r="V257" s="44" t="s">
        <v>3892</v>
      </c>
      <c r="W257" s="42" t="s">
        <v>3892</v>
      </c>
    </row>
    <row r="258" spans="1:23">
      <c r="A258" s="40">
        <v>256</v>
      </c>
      <c r="B258" s="41">
        <v>2154077886</v>
      </c>
      <c r="C258" s="42" t="s">
        <v>135</v>
      </c>
      <c r="D258" s="42" t="s">
        <v>765</v>
      </c>
      <c r="E258" s="43" t="s">
        <v>7235</v>
      </c>
      <c r="F258" s="42" t="s">
        <v>804</v>
      </c>
      <c r="G258" s="42" t="s">
        <v>5491</v>
      </c>
      <c r="H258" s="43"/>
      <c r="I258" s="42"/>
      <c r="J258" s="42" t="s">
        <v>5492</v>
      </c>
      <c r="K258" s="42" t="s">
        <v>1895</v>
      </c>
      <c r="L258" s="42" t="s">
        <v>5493</v>
      </c>
      <c r="M258" s="42" t="s">
        <v>5494</v>
      </c>
      <c r="N258" s="42" t="s">
        <v>5495</v>
      </c>
      <c r="O258" s="42"/>
      <c r="P258" s="42" t="s">
        <v>5496</v>
      </c>
      <c r="Q258" s="42"/>
      <c r="R258" s="42" t="s">
        <v>129</v>
      </c>
      <c r="S258" s="42" t="s">
        <v>665</v>
      </c>
      <c r="T258" s="42" t="s">
        <v>5268</v>
      </c>
      <c r="U258" s="42" t="s">
        <v>498</v>
      </c>
      <c r="V258" s="44" t="s">
        <v>3892</v>
      </c>
      <c r="W258" s="42" t="s">
        <v>3892</v>
      </c>
    </row>
    <row r="259" spans="1:23">
      <c r="A259" s="40">
        <v>257</v>
      </c>
      <c r="B259" s="41">
        <v>2154077821</v>
      </c>
      <c r="C259" s="42" t="s">
        <v>5497</v>
      </c>
      <c r="D259" s="42" t="s">
        <v>760</v>
      </c>
      <c r="E259" s="43" t="s">
        <v>3715</v>
      </c>
      <c r="F259" s="42" t="s">
        <v>3900</v>
      </c>
      <c r="G259" s="42" t="s">
        <v>5498</v>
      </c>
      <c r="H259" s="43"/>
      <c r="I259" s="42"/>
      <c r="J259" s="42" t="s">
        <v>5499</v>
      </c>
      <c r="K259" s="42" t="s">
        <v>1895</v>
      </c>
      <c r="L259" s="42" t="s">
        <v>5500</v>
      </c>
      <c r="M259" s="42" t="s">
        <v>5501</v>
      </c>
      <c r="N259" s="42" t="s">
        <v>5502</v>
      </c>
      <c r="O259" s="42"/>
      <c r="P259" s="42" t="s">
        <v>5503</v>
      </c>
      <c r="Q259" s="42"/>
      <c r="R259" s="42" t="s">
        <v>129</v>
      </c>
      <c r="S259" s="42" t="s">
        <v>665</v>
      </c>
      <c r="T259" s="42" t="s">
        <v>5268</v>
      </c>
      <c r="U259" s="42" t="s">
        <v>498</v>
      </c>
      <c r="V259" s="44" t="s">
        <v>3892</v>
      </c>
      <c r="W259" s="42" t="s">
        <v>3892</v>
      </c>
    </row>
    <row r="260" spans="1:23">
      <c r="A260" s="40">
        <v>258</v>
      </c>
      <c r="B260" s="41">
        <v>2154077828</v>
      </c>
      <c r="C260" s="42" t="s">
        <v>5504</v>
      </c>
      <c r="D260" s="42" t="s">
        <v>765</v>
      </c>
      <c r="E260" s="43" t="s">
        <v>7151</v>
      </c>
      <c r="F260" s="42" t="s">
        <v>804</v>
      </c>
      <c r="G260" s="42" t="s">
        <v>5505</v>
      </c>
      <c r="H260" s="43"/>
      <c r="I260" s="42"/>
      <c r="J260" s="42" t="s">
        <v>5506</v>
      </c>
      <c r="K260" s="42" t="s">
        <v>1895</v>
      </c>
      <c r="L260" s="42" t="s">
        <v>5507</v>
      </c>
      <c r="M260" s="42" t="s">
        <v>5508</v>
      </c>
      <c r="N260" s="42" t="s">
        <v>5509</v>
      </c>
      <c r="O260" s="42"/>
      <c r="P260" s="42" t="s">
        <v>5510</v>
      </c>
      <c r="Q260" s="42"/>
      <c r="R260" s="42" t="s">
        <v>129</v>
      </c>
      <c r="S260" s="42" t="s">
        <v>665</v>
      </c>
      <c r="T260" s="42" t="s">
        <v>5268</v>
      </c>
      <c r="U260" s="42" t="s">
        <v>498</v>
      </c>
      <c r="V260" s="44" t="s">
        <v>3892</v>
      </c>
      <c r="W260" s="42" t="s">
        <v>3892</v>
      </c>
    </row>
    <row r="261" spans="1:23">
      <c r="A261" s="40">
        <v>259</v>
      </c>
      <c r="B261" s="41">
        <v>2154077173</v>
      </c>
      <c r="C261" s="42" t="s">
        <v>5511</v>
      </c>
      <c r="D261" s="42" t="s">
        <v>765</v>
      </c>
      <c r="E261" s="43" t="s">
        <v>7236</v>
      </c>
      <c r="F261" s="42" t="s">
        <v>5512</v>
      </c>
      <c r="G261" s="42" t="s">
        <v>5513</v>
      </c>
      <c r="H261" s="43"/>
      <c r="I261" s="42"/>
      <c r="J261" s="42" t="s">
        <v>5514</v>
      </c>
      <c r="K261" s="42" t="s">
        <v>1895</v>
      </c>
      <c r="L261" s="42" t="s">
        <v>5515</v>
      </c>
      <c r="M261" s="42" t="s">
        <v>5516</v>
      </c>
      <c r="N261" s="42" t="s">
        <v>5517</v>
      </c>
      <c r="O261" s="42"/>
      <c r="P261" s="42" t="s">
        <v>5518</v>
      </c>
      <c r="Q261" s="42"/>
      <c r="R261" s="42" t="s">
        <v>129</v>
      </c>
      <c r="S261" s="42" t="s">
        <v>665</v>
      </c>
      <c r="T261" s="42" t="s">
        <v>5268</v>
      </c>
      <c r="U261" s="42" t="s">
        <v>498</v>
      </c>
      <c r="V261" s="44" t="s">
        <v>3892</v>
      </c>
      <c r="W261" s="42" t="s">
        <v>3892</v>
      </c>
    </row>
    <row r="262" spans="1:23">
      <c r="A262" s="40">
        <v>260</v>
      </c>
      <c r="B262" s="41">
        <v>2154077809</v>
      </c>
      <c r="C262" s="42" t="s">
        <v>5519</v>
      </c>
      <c r="D262" s="42" t="s">
        <v>765</v>
      </c>
      <c r="E262" s="43" t="s">
        <v>7215</v>
      </c>
      <c r="F262" s="42" t="s">
        <v>844</v>
      </c>
      <c r="G262" s="42" t="s">
        <v>5520</v>
      </c>
      <c r="H262" s="43"/>
      <c r="I262" s="42"/>
      <c r="J262" s="42" t="s">
        <v>5521</v>
      </c>
      <c r="K262" s="42" t="s">
        <v>1895</v>
      </c>
      <c r="L262" s="42" t="s">
        <v>5522</v>
      </c>
      <c r="M262" s="42" t="s">
        <v>5523</v>
      </c>
      <c r="N262" s="42" t="s">
        <v>5524</v>
      </c>
      <c r="O262" s="42"/>
      <c r="P262" s="42" t="s">
        <v>5525</v>
      </c>
      <c r="Q262" s="42"/>
      <c r="R262" s="42" t="s">
        <v>129</v>
      </c>
      <c r="S262" s="42" t="s">
        <v>665</v>
      </c>
      <c r="T262" s="42" t="s">
        <v>5268</v>
      </c>
      <c r="U262" s="42" t="s">
        <v>498</v>
      </c>
      <c r="V262" s="44" t="s">
        <v>3892</v>
      </c>
      <c r="W262" s="42" t="s">
        <v>3892</v>
      </c>
    </row>
    <row r="263" spans="1:23">
      <c r="A263" s="40">
        <v>261</v>
      </c>
      <c r="B263" s="41">
        <v>2154077823</v>
      </c>
      <c r="C263" s="42" t="s">
        <v>131</v>
      </c>
      <c r="D263" s="42" t="s">
        <v>765</v>
      </c>
      <c r="E263" s="43" t="s">
        <v>7237</v>
      </c>
      <c r="F263" s="42" t="s">
        <v>828</v>
      </c>
      <c r="G263" s="42" t="s">
        <v>5526</v>
      </c>
      <c r="H263" s="43"/>
      <c r="I263" s="42"/>
      <c r="J263" s="42" t="s">
        <v>5527</v>
      </c>
      <c r="K263" s="42" t="s">
        <v>1895</v>
      </c>
      <c r="L263" s="42" t="s">
        <v>5528</v>
      </c>
      <c r="M263" s="42" t="s">
        <v>5529</v>
      </c>
      <c r="N263" s="42" t="s">
        <v>5530</v>
      </c>
      <c r="O263" s="42"/>
      <c r="P263" s="42" t="s">
        <v>5531</v>
      </c>
      <c r="Q263" s="42"/>
      <c r="R263" s="42" t="s">
        <v>129</v>
      </c>
      <c r="S263" s="42" t="s">
        <v>665</v>
      </c>
      <c r="T263" s="42" t="s">
        <v>5268</v>
      </c>
      <c r="U263" s="42" t="s">
        <v>498</v>
      </c>
      <c r="V263" s="44" t="s">
        <v>3892</v>
      </c>
      <c r="W263" s="42" t="s">
        <v>3892</v>
      </c>
    </row>
    <row r="264" spans="1:23" ht="60">
      <c r="A264" s="40">
        <v>262</v>
      </c>
      <c r="B264" s="41">
        <v>2154077883</v>
      </c>
      <c r="C264" s="42" t="s">
        <v>5532</v>
      </c>
      <c r="D264" s="42" t="s">
        <v>760</v>
      </c>
      <c r="E264" s="43" t="s">
        <v>1590</v>
      </c>
      <c r="F264" s="42" t="s">
        <v>3900</v>
      </c>
      <c r="G264" s="42" t="s">
        <v>5533</v>
      </c>
      <c r="H264" s="43"/>
      <c r="I264" s="42"/>
      <c r="J264" s="42" t="s">
        <v>5534</v>
      </c>
      <c r="K264" s="42" t="s">
        <v>1895</v>
      </c>
      <c r="L264" s="42" t="s">
        <v>5535</v>
      </c>
      <c r="M264" s="42" t="s">
        <v>5536</v>
      </c>
      <c r="N264" s="42" t="s">
        <v>5537</v>
      </c>
      <c r="O264" s="42"/>
      <c r="P264" s="42" t="s">
        <v>4338</v>
      </c>
      <c r="Q264" s="42"/>
      <c r="R264" s="42" t="s">
        <v>129</v>
      </c>
      <c r="S264" s="42" t="s">
        <v>665</v>
      </c>
      <c r="T264" s="42" t="s">
        <v>5268</v>
      </c>
      <c r="U264" s="42" t="s">
        <v>498</v>
      </c>
      <c r="V264" s="44" t="s">
        <v>5538</v>
      </c>
      <c r="W264" s="42" t="s">
        <v>3905</v>
      </c>
    </row>
    <row r="265" spans="1:23">
      <c r="A265" s="40">
        <v>263</v>
      </c>
      <c r="B265" s="41">
        <v>2154077865</v>
      </c>
      <c r="C265" s="42" t="s">
        <v>5539</v>
      </c>
      <c r="D265" s="42" t="s">
        <v>760</v>
      </c>
      <c r="E265" s="43" t="s">
        <v>1364</v>
      </c>
      <c r="F265" s="42" t="s">
        <v>4352</v>
      </c>
      <c r="G265" s="42" t="s">
        <v>5540</v>
      </c>
      <c r="H265" s="43"/>
      <c r="I265" s="42"/>
      <c r="J265" s="42" t="s">
        <v>5541</v>
      </c>
      <c r="K265" s="42" t="s">
        <v>1895</v>
      </c>
      <c r="L265" s="42" t="s">
        <v>5542</v>
      </c>
      <c r="M265" s="42" t="s">
        <v>5543</v>
      </c>
      <c r="N265" s="42" t="s">
        <v>5544</v>
      </c>
      <c r="O265" s="42"/>
      <c r="P265" s="42" t="s">
        <v>5545</v>
      </c>
      <c r="Q265" s="42"/>
      <c r="R265" s="42" t="s">
        <v>129</v>
      </c>
      <c r="S265" s="42" t="s">
        <v>665</v>
      </c>
      <c r="T265" s="42" t="s">
        <v>5268</v>
      </c>
      <c r="U265" s="42" t="s">
        <v>498</v>
      </c>
      <c r="V265" s="44" t="s">
        <v>3892</v>
      </c>
      <c r="W265" s="42" t="s">
        <v>3892</v>
      </c>
    </row>
    <row r="266" spans="1:23">
      <c r="A266" s="40">
        <v>264</v>
      </c>
      <c r="B266" s="41">
        <v>2154077840</v>
      </c>
      <c r="C266" s="42" t="s">
        <v>5546</v>
      </c>
      <c r="D266" s="42" t="s">
        <v>760</v>
      </c>
      <c r="E266" s="43" t="s">
        <v>3082</v>
      </c>
      <c r="F266" s="42" t="s">
        <v>780</v>
      </c>
      <c r="G266" s="42" t="s">
        <v>5547</v>
      </c>
      <c r="H266" s="43"/>
      <c r="I266" s="42"/>
      <c r="J266" s="42" t="s">
        <v>5548</v>
      </c>
      <c r="K266" s="42" t="s">
        <v>1895</v>
      </c>
      <c r="L266" s="42" t="s">
        <v>5549</v>
      </c>
      <c r="M266" s="42" t="s">
        <v>5550</v>
      </c>
      <c r="N266" s="42" t="s">
        <v>5551</v>
      </c>
      <c r="O266" s="42"/>
      <c r="P266" s="42" t="s">
        <v>5552</v>
      </c>
      <c r="Q266" s="42"/>
      <c r="R266" s="42" t="s">
        <v>129</v>
      </c>
      <c r="S266" s="42" t="s">
        <v>665</v>
      </c>
      <c r="T266" s="42" t="s">
        <v>5268</v>
      </c>
      <c r="U266" s="42" t="s">
        <v>498</v>
      </c>
      <c r="V266" s="44" t="s">
        <v>3892</v>
      </c>
      <c r="W266" s="42" t="s">
        <v>3892</v>
      </c>
    </row>
    <row r="267" spans="1:23">
      <c r="A267" s="40">
        <v>265</v>
      </c>
      <c r="B267" s="41">
        <v>2154077834</v>
      </c>
      <c r="C267" s="42" t="s">
        <v>5553</v>
      </c>
      <c r="D267" s="42" t="s">
        <v>765</v>
      </c>
      <c r="E267" s="43" t="s">
        <v>1572</v>
      </c>
      <c r="F267" s="42" t="s">
        <v>861</v>
      </c>
      <c r="G267" s="42" t="s">
        <v>5554</v>
      </c>
      <c r="H267" s="43"/>
      <c r="I267" s="42"/>
      <c r="J267" s="42" t="s">
        <v>5555</v>
      </c>
      <c r="K267" s="42" t="s">
        <v>1895</v>
      </c>
      <c r="L267" s="42" t="s">
        <v>5556</v>
      </c>
      <c r="M267" s="42" t="s">
        <v>5557</v>
      </c>
      <c r="N267" s="42" t="s">
        <v>3972</v>
      </c>
      <c r="O267" s="42"/>
      <c r="P267" s="42" t="s">
        <v>5558</v>
      </c>
      <c r="Q267" s="42"/>
      <c r="R267" s="42" t="s">
        <v>129</v>
      </c>
      <c r="S267" s="42" t="s">
        <v>665</v>
      </c>
      <c r="T267" s="42" t="s">
        <v>5268</v>
      </c>
      <c r="U267" s="42" t="s">
        <v>498</v>
      </c>
      <c r="V267" s="44" t="s">
        <v>3892</v>
      </c>
      <c r="W267" s="42" t="s">
        <v>3892</v>
      </c>
    </row>
    <row r="268" spans="1:23">
      <c r="A268" s="40">
        <v>266</v>
      </c>
      <c r="B268" s="41">
        <v>2154027265</v>
      </c>
      <c r="C268" s="42" t="s">
        <v>4558</v>
      </c>
      <c r="D268" s="42" t="s">
        <v>765</v>
      </c>
      <c r="E268" s="43" t="s">
        <v>7238</v>
      </c>
      <c r="F268" s="42" t="s">
        <v>804</v>
      </c>
      <c r="G268" s="42" t="s">
        <v>5559</v>
      </c>
      <c r="H268" s="43"/>
      <c r="I268" s="42"/>
      <c r="J268" s="42" t="s">
        <v>5560</v>
      </c>
      <c r="K268" s="42" t="s">
        <v>1895</v>
      </c>
      <c r="L268" s="42" t="s">
        <v>5561</v>
      </c>
      <c r="M268" s="42" t="s">
        <v>5562</v>
      </c>
      <c r="N268" s="42" t="s">
        <v>5563</v>
      </c>
      <c r="O268" s="42"/>
      <c r="P268" s="42" t="s">
        <v>5564</v>
      </c>
      <c r="Q268" s="42"/>
      <c r="R268" s="42" t="s">
        <v>129</v>
      </c>
      <c r="S268" s="42" t="s">
        <v>665</v>
      </c>
      <c r="T268" s="42" t="s">
        <v>5268</v>
      </c>
      <c r="U268" s="42" t="s">
        <v>498</v>
      </c>
      <c r="V268" s="44" t="s">
        <v>3892</v>
      </c>
      <c r="W268" s="42" t="s">
        <v>3892</v>
      </c>
    </row>
    <row r="269" spans="1:23">
      <c r="A269" s="40">
        <v>267</v>
      </c>
      <c r="B269" s="41">
        <v>2154077386</v>
      </c>
      <c r="C269" s="42" t="s">
        <v>144</v>
      </c>
      <c r="D269" s="42" t="s">
        <v>765</v>
      </c>
      <c r="E269" s="43" t="s">
        <v>3863</v>
      </c>
      <c r="F269" s="42" t="s">
        <v>3938</v>
      </c>
      <c r="G269" s="42" t="s">
        <v>5565</v>
      </c>
      <c r="H269" s="43"/>
      <c r="I269" s="42"/>
      <c r="J269" s="42" t="s">
        <v>5566</v>
      </c>
      <c r="K269" s="42" t="s">
        <v>1895</v>
      </c>
      <c r="L269" s="42" t="s">
        <v>568</v>
      </c>
      <c r="M269" s="42" t="s">
        <v>5567</v>
      </c>
      <c r="N269" s="42" t="s">
        <v>5568</v>
      </c>
      <c r="O269" s="42"/>
      <c r="P269" s="42" t="s">
        <v>5569</v>
      </c>
      <c r="Q269" s="42"/>
      <c r="R269" s="42" t="s">
        <v>129</v>
      </c>
      <c r="S269" s="42" t="s">
        <v>665</v>
      </c>
      <c r="T269" s="42" t="s">
        <v>5268</v>
      </c>
      <c r="U269" s="42" t="s">
        <v>498</v>
      </c>
      <c r="V269" s="44" t="s">
        <v>3892</v>
      </c>
      <c r="W269" s="42" t="s">
        <v>3892</v>
      </c>
    </row>
    <row r="270" spans="1:23">
      <c r="A270" s="40">
        <v>268</v>
      </c>
      <c r="B270" s="41">
        <v>2154077863</v>
      </c>
      <c r="C270" s="42" t="s">
        <v>5570</v>
      </c>
      <c r="D270" s="42" t="s">
        <v>760</v>
      </c>
      <c r="E270" s="43" t="s">
        <v>3805</v>
      </c>
      <c r="F270" s="42" t="s">
        <v>835</v>
      </c>
      <c r="G270" s="42" t="s">
        <v>5571</v>
      </c>
      <c r="H270" s="43">
        <v>44329</v>
      </c>
      <c r="I270" s="42"/>
      <c r="J270" s="42" t="s">
        <v>5572</v>
      </c>
      <c r="K270" s="42" t="s">
        <v>1895</v>
      </c>
      <c r="L270" s="42" t="s">
        <v>5573</v>
      </c>
      <c r="M270" s="42" t="s">
        <v>5574</v>
      </c>
      <c r="N270" s="42" t="s">
        <v>5575</v>
      </c>
      <c r="O270" s="42"/>
      <c r="P270" s="42" t="s">
        <v>5576</v>
      </c>
      <c r="Q270" s="42"/>
      <c r="R270" s="42" t="s">
        <v>129</v>
      </c>
      <c r="S270" s="42" t="s">
        <v>665</v>
      </c>
      <c r="T270" s="42" t="s">
        <v>5268</v>
      </c>
      <c r="U270" s="42" t="s">
        <v>498</v>
      </c>
      <c r="V270" s="44" t="s">
        <v>3892</v>
      </c>
      <c r="W270" s="42" t="s">
        <v>3892</v>
      </c>
    </row>
    <row r="271" spans="1:23">
      <c r="A271" s="40">
        <v>269</v>
      </c>
      <c r="B271" s="41">
        <v>2154077387</v>
      </c>
      <c r="C271" s="42" t="s">
        <v>137</v>
      </c>
      <c r="D271" s="42" t="s">
        <v>765</v>
      </c>
      <c r="E271" s="43" t="s">
        <v>7239</v>
      </c>
      <c r="F271" s="42" t="s">
        <v>5319</v>
      </c>
      <c r="G271" s="42" t="s">
        <v>5577</v>
      </c>
      <c r="H271" s="43"/>
      <c r="I271" s="42"/>
      <c r="J271" s="42" t="s">
        <v>5578</v>
      </c>
      <c r="K271" s="42" t="s">
        <v>1895</v>
      </c>
      <c r="L271" s="42" t="s">
        <v>569</v>
      </c>
      <c r="M271" s="42" t="s">
        <v>5579</v>
      </c>
      <c r="N271" s="42" t="s">
        <v>4233</v>
      </c>
      <c r="O271" s="42"/>
      <c r="P271" s="42" t="s">
        <v>5580</v>
      </c>
      <c r="Q271" s="42"/>
      <c r="R271" s="42" t="s">
        <v>129</v>
      </c>
      <c r="S271" s="42" t="s">
        <v>665</v>
      </c>
      <c r="T271" s="42" t="s">
        <v>5268</v>
      </c>
      <c r="U271" s="42" t="s">
        <v>498</v>
      </c>
      <c r="V271" s="44" t="s">
        <v>3892</v>
      </c>
      <c r="W271" s="42" t="s">
        <v>3892</v>
      </c>
    </row>
    <row r="272" spans="1:23">
      <c r="A272" s="40">
        <v>270</v>
      </c>
      <c r="B272" s="41">
        <v>2154077182</v>
      </c>
      <c r="C272" s="42" t="s">
        <v>5581</v>
      </c>
      <c r="D272" s="42" t="s">
        <v>765</v>
      </c>
      <c r="E272" s="43" t="s">
        <v>7240</v>
      </c>
      <c r="F272" s="42" t="s">
        <v>861</v>
      </c>
      <c r="G272" s="42" t="s">
        <v>5582</v>
      </c>
      <c r="H272" s="43"/>
      <c r="I272" s="42"/>
      <c r="J272" s="42" t="s">
        <v>5583</v>
      </c>
      <c r="K272" s="42" t="s">
        <v>1895</v>
      </c>
      <c r="L272" s="42" t="s">
        <v>5584</v>
      </c>
      <c r="M272" s="42" t="s">
        <v>5585</v>
      </c>
      <c r="N272" s="42" t="s">
        <v>1589</v>
      </c>
      <c r="O272" s="42"/>
      <c r="P272" s="42" t="s">
        <v>5586</v>
      </c>
      <c r="Q272" s="42"/>
      <c r="R272" s="42" t="s">
        <v>129</v>
      </c>
      <c r="S272" s="42" t="s">
        <v>665</v>
      </c>
      <c r="T272" s="42" t="s">
        <v>5268</v>
      </c>
      <c r="U272" s="42" t="s">
        <v>498</v>
      </c>
      <c r="V272" s="44" t="s">
        <v>3892</v>
      </c>
      <c r="W272" s="42" t="s">
        <v>3892</v>
      </c>
    </row>
    <row r="273" spans="1:23">
      <c r="A273" s="40">
        <v>271</v>
      </c>
      <c r="B273" s="41">
        <v>2154077861</v>
      </c>
      <c r="C273" s="42" t="s">
        <v>5587</v>
      </c>
      <c r="D273" s="42" t="s">
        <v>760</v>
      </c>
      <c r="E273" s="43" t="s">
        <v>7146</v>
      </c>
      <c r="F273" s="42" t="s">
        <v>4435</v>
      </c>
      <c r="G273" s="42" t="s">
        <v>5588</v>
      </c>
      <c r="H273" s="43"/>
      <c r="I273" s="42"/>
      <c r="J273" s="42" t="s">
        <v>5589</v>
      </c>
      <c r="K273" s="42" t="s">
        <v>1895</v>
      </c>
      <c r="L273" s="42" t="s">
        <v>5590</v>
      </c>
      <c r="M273" s="42" t="s">
        <v>5591</v>
      </c>
      <c r="N273" s="42"/>
      <c r="O273" s="42"/>
      <c r="P273" s="42" t="s">
        <v>1592</v>
      </c>
      <c r="Q273" s="42"/>
      <c r="R273" s="42" t="s">
        <v>129</v>
      </c>
      <c r="S273" s="42" t="s">
        <v>665</v>
      </c>
      <c r="T273" s="42" t="s">
        <v>5268</v>
      </c>
      <c r="U273" s="42" t="s">
        <v>498</v>
      </c>
      <c r="V273" s="44" t="s">
        <v>3892</v>
      </c>
      <c r="W273" s="42" t="s">
        <v>3892</v>
      </c>
    </row>
    <row r="274" spans="1:23">
      <c r="A274" s="40">
        <v>272</v>
      </c>
      <c r="B274" s="41">
        <v>2154037301</v>
      </c>
      <c r="C274" s="42" t="s">
        <v>128</v>
      </c>
      <c r="D274" s="42" t="s">
        <v>765</v>
      </c>
      <c r="E274" s="43" t="s">
        <v>3120</v>
      </c>
      <c r="F274" s="42" t="s">
        <v>892</v>
      </c>
      <c r="G274" s="42" t="s">
        <v>5592</v>
      </c>
      <c r="H274" s="43">
        <v>44288.583333333336</v>
      </c>
      <c r="I274" s="42" t="s">
        <v>5593</v>
      </c>
      <c r="J274" s="42" t="s">
        <v>5594</v>
      </c>
      <c r="K274" s="42" t="s">
        <v>1895</v>
      </c>
      <c r="L274" s="42" t="s">
        <v>5595</v>
      </c>
      <c r="M274" s="42" t="s">
        <v>5596</v>
      </c>
      <c r="N274" s="42" t="s">
        <v>5597</v>
      </c>
      <c r="O274" s="42"/>
      <c r="P274" s="42" t="s">
        <v>5598</v>
      </c>
      <c r="Q274" s="42"/>
      <c r="R274" s="42" t="s">
        <v>129</v>
      </c>
      <c r="S274" s="42" t="s">
        <v>665</v>
      </c>
      <c r="T274" s="42" t="s">
        <v>5268</v>
      </c>
      <c r="U274" s="42" t="s">
        <v>498</v>
      </c>
      <c r="V274" s="44" t="s">
        <v>3892</v>
      </c>
      <c r="W274" s="42" t="s">
        <v>3892</v>
      </c>
    </row>
    <row r="275" spans="1:23">
      <c r="A275" s="40">
        <v>273</v>
      </c>
      <c r="B275" s="41">
        <v>2154027120</v>
      </c>
      <c r="C275" s="42" t="s">
        <v>5599</v>
      </c>
      <c r="D275" s="42" t="s">
        <v>765</v>
      </c>
      <c r="E275" s="43" t="s">
        <v>7225</v>
      </c>
      <c r="F275" s="42" t="s">
        <v>804</v>
      </c>
      <c r="G275" s="42" t="s">
        <v>5600</v>
      </c>
      <c r="H275" s="43"/>
      <c r="I275" s="42"/>
      <c r="J275" s="42" t="s">
        <v>5601</v>
      </c>
      <c r="K275" s="42" t="s">
        <v>1895</v>
      </c>
      <c r="L275" s="42" t="s">
        <v>5602</v>
      </c>
      <c r="M275" s="42" t="s">
        <v>5603</v>
      </c>
      <c r="N275" s="42" t="s">
        <v>4439</v>
      </c>
      <c r="O275" s="42"/>
      <c r="P275" s="42" t="s">
        <v>5604</v>
      </c>
      <c r="Q275" s="42"/>
      <c r="R275" s="42" t="s">
        <v>129</v>
      </c>
      <c r="S275" s="42" t="s">
        <v>665</v>
      </c>
      <c r="T275" s="42" t="s">
        <v>5268</v>
      </c>
      <c r="U275" s="42" t="s">
        <v>498</v>
      </c>
      <c r="V275" s="44" t="s">
        <v>3892</v>
      </c>
      <c r="W275" s="42" t="s">
        <v>3892</v>
      </c>
    </row>
    <row r="276" spans="1:23">
      <c r="A276" s="40">
        <v>274</v>
      </c>
      <c r="B276" s="41">
        <v>2154077827</v>
      </c>
      <c r="C276" s="42" t="s">
        <v>5605</v>
      </c>
      <c r="D276" s="42" t="s">
        <v>765</v>
      </c>
      <c r="E276" s="43" t="s">
        <v>7241</v>
      </c>
      <c r="F276" s="42" t="s">
        <v>5606</v>
      </c>
      <c r="G276" s="42" t="s">
        <v>5607</v>
      </c>
      <c r="H276" s="43"/>
      <c r="I276" s="42"/>
      <c r="J276" s="42" t="s">
        <v>5608</v>
      </c>
      <c r="K276" s="42" t="s">
        <v>1895</v>
      </c>
      <c r="L276" s="42" t="s">
        <v>5609</v>
      </c>
      <c r="M276" s="42" t="s">
        <v>5610</v>
      </c>
      <c r="N276" s="42" t="s">
        <v>5611</v>
      </c>
      <c r="O276" s="42"/>
      <c r="P276" s="42" t="s">
        <v>4440</v>
      </c>
      <c r="Q276" s="42"/>
      <c r="R276" s="42" t="s">
        <v>129</v>
      </c>
      <c r="S276" s="42" t="s">
        <v>665</v>
      </c>
      <c r="T276" s="42" t="s">
        <v>5268</v>
      </c>
      <c r="U276" s="42" t="s">
        <v>498</v>
      </c>
      <c r="V276" s="44" t="s">
        <v>3892</v>
      </c>
      <c r="W276" s="42" t="s">
        <v>3892</v>
      </c>
    </row>
    <row r="277" spans="1:23">
      <c r="A277" s="40">
        <v>275</v>
      </c>
      <c r="B277" s="41">
        <v>2154077901</v>
      </c>
      <c r="C277" s="42" t="s">
        <v>140</v>
      </c>
      <c r="D277" s="42" t="s">
        <v>765</v>
      </c>
      <c r="E277" s="43" t="s">
        <v>7242</v>
      </c>
      <c r="F277" s="42" t="s">
        <v>5612</v>
      </c>
      <c r="G277" s="42" t="s">
        <v>5613</v>
      </c>
      <c r="H277" s="43"/>
      <c r="I277" s="42"/>
      <c r="J277" s="42" t="s">
        <v>5614</v>
      </c>
      <c r="K277" s="42" t="s">
        <v>1895</v>
      </c>
      <c r="L277" s="42" t="s">
        <v>5615</v>
      </c>
      <c r="M277" s="42" t="s">
        <v>5616</v>
      </c>
      <c r="N277" s="42"/>
      <c r="O277" s="42"/>
      <c r="P277" s="42" t="s">
        <v>5617</v>
      </c>
      <c r="Q277" s="42"/>
      <c r="R277" s="42" t="s">
        <v>129</v>
      </c>
      <c r="S277" s="42" t="s">
        <v>665</v>
      </c>
      <c r="T277" s="42" t="s">
        <v>5268</v>
      </c>
      <c r="U277" s="42" t="s">
        <v>498</v>
      </c>
      <c r="V277" s="44" t="s">
        <v>3892</v>
      </c>
      <c r="W277" s="42" t="s">
        <v>3892</v>
      </c>
    </row>
    <row r="278" spans="1:23">
      <c r="A278" s="40">
        <v>276</v>
      </c>
      <c r="B278" s="41">
        <v>2154077312</v>
      </c>
      <c r="C278" s="42" t="s">
        <v>5618</v>
      </c>
      <c r="D278" s="42" t="s">
        <v>760</v>
      </c>
      <c r="E278" s="43" t="s">
        <v>7212</v>
      </c>
      <c r="F278" s="42" t="s">
        <v>3900</v>
      </c>
      <c r="G278" s="42" t="s">
        <v>5619</v>
      </c>
      <c r="H278" s="43"/>
      <c r="I278" s="42"/>
      <c r="J278" s="42" t="s">
        <v>5620</v>
      </c>
      <c r="K278" s="42" t="s">
        <v>1895</v>
      </c>
      <c r="L278" s="42" t="s">
        <v>5621</v>
      </c>
      <c r="M278" s="42" t="s">
        <v>5622</v>
      </c>
      <c r="N278" s="42" t="s">
        <v>5623</v>
      </c>
      <c r="O278" s="42"/>
      <c r="P278" s="42" t="s">
        <v>5624</v>
      </c>
      <c r="Q278" s="42"/>
      <c r="R278" s="42" t="s">
        <v>129</v>
      </c>
      <c r="S278" s="42" t="s">
        <v>665</v>
      </c>
      <c r="T278" s="42" t="s">
        <v>5268</v>
      </c>
      <c r="U278" s="42" t="s">
        <v>498</v>
      </c>
      <c r="V278" s="44" t="s">
        <v>3892</v>
      </c>
      <c r="W278" s="42" t="s">
        <v>3892</v>
      </c>
    </row>
    <row r="279" spans="1:23">
      <c r="A279" s="40">
        <v>277</v>
      </c>
      <c r="B279" s="41">
        <v>2154077893</v>
      </c>
      <c r="C279" s="42" t="s">
        <v>139</v>
      </c>
      <c r="D279" s="42" t="s">
        <v>765</v>
      </c>
      <c r="E279" s="43" t="s">
        <v>7243</v>
      </c>
      <c r="F279" s="42" t="s">
        <v>804</v>
      </c>
      <c r="G279" s="42" t="s">
        <v>5625</v>
      </c>
      <c r="H279" s="43"/>
      <c r="I279" s="42"/>
      <c r="J279" s="42" t="s">
        <v>5626</v>
      </c>
      <c r="K279" s="42" t="s">
        <v>1895</v>
      </c>
      <c r="L279" s="42" t="s">
        <v>5627</v>
      </c>
      <c r="M279" s="42" t="s">
        <v>5628</v>
      </c>
      <c r="N279" s="42" t="s">
        <v>5629</v>
      </c>
      <c r="O279" s="42"/>
      <c r="P279" s="42" t="s">
        <v>5630</v>
      </c>
      <c r="Q279" s="42"/>
      <c r="R279" s="42" t="s">
        <v>129</v>
      </c>
      <c r="S279" s="42" t="s">
        <v>665</v>
      </c>
      <c r="T279" s="42" t="s">
        <v>5268</v>
      </c>
      <c r="U279" s="42" t="s">
        <v>498</v>
      </c>
      <c r="V279" s="44" t="s">
        <v>3892</v>
      </c>
      <c r="W279" s="42" t="s">
        <v>3892</v>
      </c>
    </row>
    <row r="280" spans="1:23">
      <c r="A280" s="40">
        <v>278</v>
      </c>
      <c r="B280" s="41">
        <v>2154077869</v>
      </c>
      <c r="C280" s="42" t="s">
        <v>5631</v>
      </c>
      <c r="D280" s="42" t="s">
        <v>765</v>
      </c>
      <c r="E280" s="43" t="s">
        <v>3791</v>
      </c>
      <c r="F280" s="42" t="s">
        <v>4435</v>
      </c>
      <c r="G280" s="42" t="s">
        <v>5632</v>
      </c>
      <c r="H280" s="43"/>
      <c r="I280" s="42"/>
      <c r="J280" s="42" t="s">
        <v>5633</v>
      </c>
      <c r="K280" s="42" t="s">
        <v>1895</v>
      </c>
      <c r="L280" s="42" t="s">
        <v>5634</v>
      </c>
      <c r="M280" s="42" t="s">
        <v>5635</v>
      </c>
      <c r="N280" s="42" t="s">
        <v>5636</v>
      </c>
      <c r="O280" s="42"/>
      <c r="P280" s="42" t="s">
        <v>5637</v>
      </c>
      <c r="Q280" s="42"/>
      <c r="R280" s="42" t="s">
        <v>129</v>
      </c>
      <c r="S280" s="42" t="s">
        <v>665</v>
      </c>
      <c r="T280" s="42" t="s">
        <v>5268</v>
      </c>
      <c r="U280" s="42" t="s">
        <v>498</v>
      </c>
      <c r="V280" s="44" t="s">
        <v>3892</v>
      </c>
      <c r="W280" s="42" t="s">
        <v>3892</v>
      </c>
    </row>
    <row r="281" spans="1:23">
      <c r="A281" s="40">
        <v>279</v>
      </c>
      <c r="B281" s="41">
        <v>2154077197</v>
      </c>
      <c r="C281" s="42" t="s">
        <v>5638</v>
      </c>
      <c r="D281" s="42" t="s">
        <v>760</v>
      </c>
      <c r="E281" s="43" t="s">
        <v>7244</v>
      </c>
      <c r="F281" s="42" t="s">
        <v>5639</v>
      </c>
      <c r="G281" s="42" t="s">
        <v>5640</v>
      </c>
      <c r="H281" s="43"/>
      <c r="I281" s="42"/>
      <c r="J281" s="42" t="s">
        <v>5641</v>
      </c>
      <c r="K281" s="42" t="s">
        <v>1895</v>
      </c>
      <c r="L281" s="42" t="s">
        <v>5642</v>
      </c>
      <c r="M281" s="42" t="s">
        <v>5643</v>
      </c>
      <c r="N281" s="42" t="s">
        <v>5644</v>
      </c>
      <c r="O281" s="42"/>
      <c r="P281" s="42" t="s">
        <v>5645</v>
      </c>
      <c r="Q281" s="42"/>
      <c r="R281" s="42" t="s">
        <v>129</v>
      </c>
      <c r="S281" s="42" t="s">
        <v>665</v>
      </c>
      <c r="T281" s="42" t="s">
        <v>5268</v>
      </c>
      <c r="U281" s="42" t="s">
        <v>498</v>
      </c>
      <c r="V281" s="44" t="s">
        <v>3892</v>
      </c>
      <c r="W281" s="42" t="s">
        <v>3892</v>
      </c>
    </row>
    <row r="282" spans="1:23">
      <c r="A282" s="40">
        <v>280</v>
      </c>
      <c r="B282" s="41">
        <v>2154077895</v>
      </c>
      <c r="C282" s="42" t="s">
        <v>5646</v>
      </c>
      <c r="D282" s="42" t="s">
        <v>760</v>
      </c>
      <c r="E282" s="43" t="s">
        <v>7154</v>
      </c>
      <c r="F282" s="42" t="s">
        <v>804</v>
      </c>
      <c r="G282" s="42" t="s">
        <v>5647</v>
      </c>
      <c r="H282" s="43"/>
      <c r="I282" s="42"/>
      <c r="J282" s="42" t="s">
        <v>5648</v>
      </c>
      <c r="K282" s="42" t="s">
        <v>1895</v>
      </c>
      <c r="L282" s="42" t="s">
        <v>5649</v>
      </c>
      <c r="M282" s="42" t="s">
        <v>5650</v>
      </c>
      <c r="N282" s="42" t="s">
        <v>5651</v>
      </c>
      <c r="O282" s="42"/>
      <c r="P282" s="42" t="s">
        <v>5652</v>
      </c>
      <c r="Q282" s="42"/>
      <c r="R282" s="42" t="s">
        <v>129</v>
      </c>
      <c r="S282" s="42" t="s">
        <v>665</v>
      </c>
      <c r="T282" s="42" t="s">
        <v>5268</v>
      </c>
      <c r="U282" s="42" t="s">
        <v>498</v>
      </c>
      <c r="V282" s="44" t="s">
        <v>3892</v>
      </c>
      <c r="W282" s="42" t="s">
        <v>3892</v>
      </c>
    </row>
    <row r="283" spans="1:23">
      <c r="A283" s="40">
        <v>281</v>
      </c>
      <c r="B283" s="41">
        <v>2154077891</v>
      </c>
      <c r="C283" s="42" t="s">
        <v>5653</v>
      </c>
      <c r="D283" s="42" t="s">
        <v>760</v>
      </c>
      <c r="E283" s="43" t="s">
        <v>7245</v>
      </c>
      <c r="F283" s="42" t="s">
        <v>4435</v>
      </c>
      <c r="G283" s="42" t="s">
        <v>5654</v>
      </c>
      <c r="H283" s="43"/>
      <c r="I283" s="42"/>
      <c r="J283" s="42" t="s">
        <v>5655</v>
      </c>
      <c r="K283" s="42" t="s">
        <v>1895</v>
      </c>
      <c r="L283" s="42" t="s">
        <v>5656</v>
      </c>
      <c r="M283" s="42" t="s">
        <v>5657</v>
      </c>
      <c r="N283" s="42" t="s">
        <v>5658</v>
      </c>
      <c r="O283" s="42"/>
      <c r="P283" s="42" t="s">
        <v>5659</v>
      </c>
      <c r="Q283" s="42"/>
      <c r="R283" s="42" t="s">
        <v>129</v>
      </c>
      <c r="S283" s="42" t="s">
        <v>665</v>
      </c>
      <c r="T283" s="42" t="s">
        <v>5268</v>
      </c>
      <c r="U283" s="42" t="s">
        <v>498</v>
      </c>
      <c r="V283" s="44" t="s">
        <v>3892</v>
      </c>
      <c r="W283" s="42" t="s">
        <v>3892</v>
      </c>
    </row>
    <row r="284" spans="1:23" ht="60">
      <c r="A284" s="40">
        <v>282</v>
      </c>
      <c r="B284" s="41">
        <v>2154077199</v>
      </c>
      <c r="C284" s="42" t="s">
        <v>5660</v>
      </c>
      <c r="D284" s="42" t="s">
        <v>760</v>
      </c>
      <c r="E284" s="43" t="s">
        <v>7119</v>
      </c>
      <c r="F284" s="42" t="s">
        <v>857</v>
      </c>
      <c r="G284" s="42" t="s">
        <v>5661</v>
      </c>
      <c r="H284" s="43"/>
      <c r="I284" s="42"/>
      <c r="J284" s="42" t="s">
        <v>5662</v>
      </c>
      <c r="K284" s="42" t="s">
        <v>1895</v>
      </c>
      <c r="L284" s="42" t="s">
        <v>5663</v>
      </c>
      <c r="M284" s="42" t="s">
        <v>5664</v>
      </c>
      <c r="N284" s="42" t="s">
        <v>5665</v>
      </c>
      <c r="O284" s="42"/>
      <c r="P284" s="42" t="s">
        <v>5666</v>
      </c>
      <c r="Q284" s="42"/>
      <c r="R284" s="42" t="s">
        <v>129</v>
      </c>
      <c r="S284" s="42" t="s">
        <v>665</v>
      </c>
      <c r="T284" s="42" t="s">
        <v>5268</v>
      </c>
      <c r="U284" s="42" t="s">
        <v>498</v>
      </c>
      <c r="V284" s="44" t="s">
        <v>5667</v>
      </c>
      <c r="W284" s="42" t="s">
        <v>3905</v>
      </c>
    </row>
    <row r="285" spans="1:23">
      <c r="A285" s="40">
        <v>283</v>
      </c>
      <c r="B285" s="41">
        <v>2154077889</v>
      </c>
      <c r="C285" s="42" t="s">
        <v>133</v>
      </c>
      <c r="D285" s="42" t="s">
        <v>760</v>
      </c>
      <c r="E285" s="43" t="s">
        <v>7212</v>
      </c>
      <c r="F285" s="42" t="s">
        <v>3900</v>
      </c>
      <c r="G285" s="42" t="s">
        <v>5668</v>
      </c>
      <c r="H285" s="43"/>
      <c r="I285" s="42"/>
      <c r="J285" s="42" t="s">
        <v>5669</v>
      </c>
      <c r="K285" s="42" t="s">
        <v>1895</v>
      </c>
      <c r="L285" s="42" t="s">
        <v>5670</v>
      </c>
      <c r="M285" s="42" t="s">
        <v>5671</v>
      </c>
      <c r="N285" s="42" t="s">
        <v>5672</v>
      </c>
      <c r="O285" s="42"/>
      <c r="P285" s="42" t="s">
        <v>5673</v>
      </c>
      <c r="Q285" s="42"/>
      <c r="R285" s="42" t="s">
        <v>129</v>
      </c>
      <c r="S285" s="42" t="s">
        <v>665</v>
      </c>
      <c r="T285" s="42" t="s">
        <v>5268</v>
      </c>
      <c r="U285" s="42" t="s">
        <v>498</v>
      </c>
      <c r="V285" s="44" t="s">
        <v>3892</v>
      </c>
      <c r="W285" s="42" t="s">
        <v>3892</v>
      </c>
    </row>
    <row r="286" spans="1:23">
      <c r="A286" s="40">
        <v>284</v>
      </c>
      <c r="B286" s="41">
        <v>2154077857</v>
      </c>
      <c r="C286" s="42" t="s">
        <v>142</v>
      </c>
      <c r="D286" s="42" t="s">
        <v>765</v>
      </c>
      <c r="E286" s="43" t="s">
        <v>1410</v>
      </c>
      <c r="F286" s="42" t="s">
        <v>853</v>
      </c>
      <c r="G286" s="42" t="s">
        <v>5674</v>
      </c>
      <c r="H286" s="43"/>
      <c r="I286" s="42"/>
      <c r="J286" s="42" t="s">
        <v>5675</v>
      </c>
      <c r="K286" s="42" t="s">
        <v>1895</v>
      </c>
      <c r="L286" s="42" t="s">
        <v>1896</v>
      </c>
      <c r="M286" s="42" t="s">
        <v>5676</v>
      </c>
      <c r="N286" s="42" t="s">
        <v>5677</v>
      </c>
      <c r="O286" s="42"/>
      <c r="P286" s="42" t="s">
        <v>5678</v>
      </c>
      <c r="Q286" s="42"/>
      <c r="R286" s="42" t="s">
        <v>129</v>
      </c>
      <c r="S286" s="42" t="s">
        <v>665</v>
      </c>
      <c r="T286" s="42" t="s">
        <v>5268</v>
      </c>
      <c r="U286" s="42" t="s">
        <v>498</v>
      </c>
      <c r="V286" s="44" t="s">
        <v>3892</v>
      </c>
      <c r="W286" s="42" t="s">
        <v>3892</v>
      </c>
    </row>
    <row r="287" spans="1:23" ht="30">
      <c r="A287" s="40">
        <v>285</v>
      </c>
      <c r="B287" s="41">
        <v>2151017343</v>
      </c>
      <c r="C287" s="42" t="s">
        <v>300</v>
      </c>
      <c r="D287" s="42" t="s">
        <v>765</v>
      </c>
      <c r="E287" s="43" t="s">
        <v>3771</v>
      </c>
      <c r="F287" s="42" t="s">
        <v>5679</v>
      </c>
      <c r="G287" s="42" t="s">
        <v>3770</v>
      </c>
      <c r="H287" s="43"/>
      <c r="I287" s="42"/>
      <c r="J287" s="42" t="s">
        <v>5680</v>
      </c>
      <c r="K287" s="42" t="s">
        <v>1895</v>
      </c>
      <c r="L287" s="42" t="s">
        <v>516</v>
      </c>
      <c r="M287" s="42" t="s">
        <v>5681</v>
      </c>
      <c r="N287" s="42" t="s">
        <v>5682</v>
      </c>
      <c r="O287" s="42"/>
      <c r="P287" s="42" t="s">
        <v>3297</v>
      </c>
      <c r="Q287" s="42"/>
      <c r="R287" s="42" t="s">
        <v>293</v>
      </c>
      <c r="S287" s="42" t="s">
        <v>294</v>
      </c>
      <c r="T287" s="42" t="s">
        <v>4574</v>
      </c>
      <c r="U287" s="42" t="s">
        <v>498</v>
      </c>
      <c r="V287" s="44" t="s">
        <v>4527</v>
      </c>
      <c r="W287" s="42" t="s">
        <v>3892</v>
      </c>
    </row>
    <row r="288" spans="1:23" ht="30">
      <c r="A288" s="40">
        <v>286</v>
      </c>
      <c r="B288" s="41">
        <v>2151017353</v>
      </c>
      <c r="C288" s="42" t="s">
        <v>292</v>
      </c>
      <c r="D288" s="42" t="s">
        <v>760</v>
      </c>
      <c r="E288" s="43" t="s">
        <v>3790</v>
      </c>
      <c r="F288" s="42" t="s">
        <v>761</v>
      </c>
      <c r="G288" s="42" t="s">
        <v>5683</v>
      </c>
      <c r="H288" s="43">
        <v>44816</v>
      </c>
      <c r="I288" s="42" t="s">
        <v>5183</v>
      </c>
      <c r="J288" s="42" t="s">
        <v>5684</v>
      </c>
      <c r="K288" s="42" t="s">
        <v>1895</v>
      </c>
      <c r="L288" s="42" t="s">
        <v>530</v>
      </c>
      <c r="M288" s="42" t="s">
        <v>5685</v>
      </c>
      <c r="N288" s="42" t="s">
        <v>5686</v>
      </c>
      <c r="O288" s="42"/>
      <c r="P288" s="42" t="s">
        <v>5687</v>
      </c>
      <c r="Q288" s="42"/>
      <c r="R288" s="42" t="s">
        <v>293</v>
      </c>
      <c r="S288" s="42" t="s">
        <v>294</v>
      </c>
      <c r="T288" s="42" t="s">
        <v>4574</v>
      </c>
      <c r="U288" s="42" t="s">
        <v>498</v>
      </c>
      <c r="V288" s="44" t="s">
        <v>4527</v>
      </c>
      <c r="W288" s="42" t="s">
        <v>3892</v>
      </c>
    </row>
    <row r="289" spans="1:23" ht="90">
      <c r="A289" s="40">
        <v>287</v>
      </c>
      <c r="B289" s="41">
        <v>2151021347</v>
      </c>
      <c r="C289" s="42" t="s">
        <v>5688</v>
      </c>
      <c r="D289" s="42" t="s">
        <v>765</v>
      </c>
      <c r="E289" s="43" t="s">
        <v>7246</v>
      </c>
      <c r="F289" s="42" t="s">
        <v>5689</v>
      </c>
      <c r="G289" s="42" t="s">
        <v>5690</v>
      </c>
      <c r="H289" s="43">
        <v>43556</v>
      </c>
      <c r="I289" s="42" t="s">
        <v>5691</v>
      </c>
      <c r="J289" s="42" t="s">
        <v>5692</v>
      </c>
      <c r="K289" s="42" t="s">
        <v>1895</v>
      </c>
      <c r="L289" s="42" t="s">
        <v>1901</v>
      </c>
      <c r="M289" s="42" t="s">
        <v>5693</v>
      </c>
      <c r="N289" s="42" t="s">
        <v>5694</v>
      </c>
      <c r="O289" s="42" t="s">
        <v>5695</v>
      </c>
      <c r="P289" s="42" t="s">
        <v>5696</v>
      </c>
      <c r="Q289" s="42" t="s">
        <v>5697</v>
      </c>
      <c r="R289" s="42" t="s">
        <v>293</v>
      </c>
      <c r="S289" s="42" t="s">
        <v>294</v>
      </c>
      <c r="T289" s="42" t="s">
        <v>4574</v>
      </c>
      <c r="U289" s="42" t="s">
        <v>498</v>
      </c>
      <c r="V289" s="44" t="s">
        <v>5698</v>
      </c>
      <c r="W289" s="42" t="s">
        <v>3905</v>
      </c>
    </row>
    <row r="290" spans="1:23" ht="30">
      <c r="A290" s="40">
        <v>288</v>
      </c>
      <c r="B290" s="41">
        <v>2151017510</v>
      </c>
      <c r="C290" s="42" t="s">
        <v>5699</v>
      </c>
      <c r="D290" s="42" t="s">
        <v>760</v>
      </c>
      <c r="E290" s="43" t="s">
        <v>7247</v>
      </c>
      <c r="F290" s="42" t="s">
        <v>5700</v>
      </c>
      <c r="G290" s="42" t="s">
        <v>5701</v>
      </c>
      <c r="H290" s="43"/>
      <c r="I290" s="42"/>
      <c r="J290" s="42" t="s">
        <v>5702</v>
      </c>
      <c r="K290" s="42" t="s">
        <v>1895</v>
      </c>
      <c r="L290" s="42" t="s">
        <v>525</v>
      </c>
      <c r="M290" s="42" t="s">
        <v>5703</v>
      </c>
      <c r="N290" s="42" t="s">
        <v>5704</v>
      </c>
      <c r="O290" s="42"/>
      <c r="P290" s="42" t="s">
        <v>5705</v>
      </c>
      <c r="Q290" s="42"/>
      <c r="R290" s="42" t="s">
        <v>293</v>
      </c>
      <c r="S290" s="42" t="s">
        <v>294</v>
      </c>
      <c r="T290" s="42" t="s">
        <v>4574</v>
      </c>
      <c r="U290" s="42" t="s">
        <v>498</v>
      </c>
      <c r="V290" s="44" t="s">
        <v>4527</v>
      </c>
      <c r="W290" s="42" t="s">
        <v>3892</v>
      </c>
    </row>
    <row r="291" spans="1:23" ht="30">
      <c r="A291" s="40">
        <v>289</v>
      </c>
      <c r="B291" s="41">
        <v>2151017342</v>
      </c>
      <c r="C291" s="42" t="s">
        <v>298</v>
      </c>
      <c r="D291" s="42" t="s">
        <v>765</v>
      </c>
      <c r="E291" s="43" t="s">
        <v>3769</v>
      </c>
      <c r="F291" s="42" t="s">
        <v>3900</v>
      </c>
      <c r="G291" s="42" t="s">
        <v>3768</v>
      </c>
      <c r="H291" s="43"/>
      <c r="I291" s="42"/>
      <c r="J291" s="42" t="s">
        <v>5706</v>
      </c>
      <c r="K291" s="42" t="s">
        <v>2135</v>
      </c>
      <c r="L291" s="42" t="s">
        <v>515</v>
      </c>
      <c r="M291" s="42" t="s">
        <v>5707</v>
      </c>
      <c r="N291" s="42" t="s">
        <v>5708</v>
      </c>
      <c r="O291" s="42"/>
      <c r="P291" s="42" t="s">
        <v>5709</v>
      </c>
      <c r="Q291" s="42"/>
      <c r="R291" s="42" t="s">
        <v>293</v>
      </c>
      <c r="S291" s="42" t="s">
        <v>294</v>
      </c>
      <c r="T291" s="42" t="s">
        <v>4574</v>
      </c>
      <c r="U291" s="42" t="s">
        <v>498</v>
      </c>
      <c r="V291" s="44" t="s">
        <v>4527</v>
      </c>
      <c r="W291" s="42" t="s">
        <v>3892</v>
      </c>
    </row>
    <row r="292" spans="1:23" ht="30">
      <c r="A292" s="40">
        <v>290</v>
      </c>
      <c r="B292" s="41">
        <v>2154027740</v>
      </c>
      <c r="C292" s="42" t="s">
        <v>5710</v>
      </c>
      <c r="D292" s="42" t="s">
        <v>765</v>
      </c>
      <c r="E292" s="43" t="s">
        <v>7137</v>
      </c>
      <c r="F292" s="42" t="s">
        <v>3900</v>
      </c>
      <c r="G292" s="42" t="s">
        <v>5711</v>
      </c>
      <c r="H292" s="43"/>
      <c r="I292" s="42"/>
      <c r="J292" s="42" t="s">
        <v>5712</v>
      </c>
      <c r="K292" s="42" t="s">
        <v>1895</v>
      </c>
      <c r="L292" s="42" t="s">
        <v>5713</v>
      </c>
      <c r="M292" s="42" t="s">
        <v>5714</v>
      </c>
      <c r="N292" s="42" t="s">
        <v>1447</v>
      </c>
      <c r="O292" s="42"/>
      <c r="P292" s="42" t="s">
        <v>5715</v>
      </c>
      <c r="Q292" s="42"/>
      <c r="R292" s="42" t="s">
        <v>62</v>
      </c>
      <c r="S292" s="42" t="s">
        <v>55</v>
      </c>
      <c r="T292" s="42" t="s">
        <v>4968</v>
      </c>
      <c r="U292" s="42" t="s">
        <v>498</v>
      </c>
      <c r="V292" s="44" t="s">
        <v>5716</v>
      </c>
      <c r="W292" s="42" t="s">
        <v>3892</v>
      </c>
    </row>
    <row r="293" spans="1:23" ht="90">
      <c r="A293" s="40">
        <v>291</v>
      </c>
      <c r="B293" s="41">
        <v>2154027741</v>
      </c>
      <c r="C293" s="42" t="s">
        <v>5717</v>
      </c>
      <c r="D293" s="42" t="s">
        <v>765</v>
      </c>
      <c r="E293" s="43" t="s">
        <v>7248</v>
      </c>
      <c r="F293" s="42" t="s">
        <v>3900</v>
      </c>
      <c r="G293" s="42" t="s">
        <v>5718</v>
      </c>
      <c r="H293" s="43"/>
      <c r="I293" s="42"/>
      <c r="J293" s="42" t="s">
        <v>5719</v>
      </c>
      <c r="K293" s="42" t="s">
        <v>1895</v>
      </c>
      <c r="L293" s="42" t="s">
        <v>5720</v>
      </c>
      <c r="M293" s="42" t="s">
        <v>5721</v>
      </c>
      <c r="N293" s="42" t="s">
        <v>5722</v>
      </c>
      <c r="O293" s="42"/>
      <c r="P293" s="42" t="s">
        <v>5723</v>
      </c>
      <c r="Q293" s="42"/>
      <c r="R293" s="42" t="s">
        <v>62</v>
      </c>
      <c r="S293" s="42" t="s">
        <v>55</v>
      </c>
      <c r="T293" s="42" t="s">
        <v>4968</v>
      </c>
      <c r="U293" s="42" t="s">
        <v>498</v>
      </c>
      <c r="V293" s="44" t="s">
        <v>5724</v>
      </c>
      <c r="W293" s="42" t="s">
        <v>3905</v>
      </c>
    </row>
    <row r="294" spans="1:23" ht="90">
      <c r="A294" s="40">
        <v>292</v>
      </c>
      <c r="B294" s="41">
        <v>2154027254</v>
      </c>
      <c r="C294" s="42" t="s">
        <v>5725</v>
      </c>
      <c r="D294" s="42" t="s">
        <v>760</v>
      </c>
      <c r="E294" s="43" t="s">
        <v>3793</v>
      </c>
      <c r="F294" s="42" t="s">
        <v>3900</v>
      </c>
      <c r="G294" s="42" t="s">
        <v>5726</v>
      </c>
      <c r="H294" s="43"/>
      <c r="I294" s="42"/>
      <c r="J294" s="42" t="s">
        <v>5727</v>
      </c>
      <c r="K294" s="42" t="s">
        <v>1895</v>
      </c>
      <c r="L294" s="42" t="s">
        <v>5728</v>
      </c>
      <c r="M294" s="42" t="s">
        <v>5729</v>
      </c>
      <c r="N294" s="42" t="s">
        <v>5730</v>
      </c>
      <c r="O294" s="42"/>
      <c r="P294" s="42" t="s">
        <v>5731</v>
      </c>
      <c r="Q294" s="42"/>
      <c r="R294" s="42" t="s">
        <v>62</v>
      </c>
      <c r="S294" s="42" t="s">
        <v>55</v>
      </c>
      <c r="T294" s="42" t="s">
        <v>4968</v>
      </c>
      <c r="U294" s="42" t="s">
        <v>498</v>
      </c>
      <c r="V294" s="44" t="s">
        <v>5732</v>
      </c>
      <c r="W294" s="42" t="s">
        <v>3905</v>
      </c>
    </row>
    <row r="295" spans="1:23" ht="30">
      <c r="A295" s="40">
        <v>293</v>
      </c>
      <c r="B295" s="41">
        <v>2154027662</v>
      </c>
      <c r="C295" s="42" t="s">
        <v>5733</v>
      </c>
      <c r="D295" s="42" t="s">
        <v>760</v>
      </c>
      <c r="E295" s="43" t="s">
        <v>7249</v>
      </c>
      <c r="F295" s="42" t="s">
        <v>3900</v>
      </c>
      <c r="G295" s="42" t="s">
        <v>5734</v>
      </c>
      <c r="H295" s="43"/>
      <c r="I295" s="42"/>
      <c r="J295" s="42" t="s">
        <v>5735</v>
      </c>
      <c r="K295" s="42" t="s">
        <v>1895</v>
      </c>
      <c r="L295" s="42" t="s">
        <v>687</v>
      </c>
      <c r="M295" s="42" t="s">
        <v>5736</v>
      </c>
      <c r="N295" s="42" t="s">
        <v>5737</v>
      </c>
      <c r="O295" s="42"/>
      <c r="P295" s="42" t="s">
        <v>5738</v>
      </c>
      <c r="Q295" s="42"/>
      <c r="R295" s="42" t="s">
        <v>62</v>
      </c>
      <c r="S295" s="42" t="s">
        <v>55</v>
      </c>
      <c r="T295" s="42" t="s">
        <v>4968</v>
      </c>
      <c r="U295" s="42" t="s">
        <v>498</v>
      </c>
      <c r="V295" s="44" t="s">
        <v>5716</v>
      </c>
      <c r="W295" s="42" t="s">
        <v>3892</v>
      </c>
    </row>
    <row r="296" spans="1:23" ht="30">
      <c r="A296" s="40">
        <v>294</v>
      </c>
      <c r="B296" s="41">
        <v>2154027661</v>
      </c>
      <c r="C296" s="42" t="s">
        <v>101</v>
      </c>
      <c r="D296" s="42" t="s">
        <v>765</v>
      </c>
      <c r="E296" s="43" t="s">
        <v>7133</v>
      </c>
      <c r="F296" s="42" t="s">
        <v>5255</v>
      </c>
      <c r="G296" s="42" t="s">
        <v>5739</v>
      </c>
      <c r="H296" s="43">
        <v>43300</v>
      </c>
      <c r="I296" s="42" t="s">
        <v>5740</v>
      </c>
      <c r="J296" s="42" t="s">
        <v>5741</v>
      </c>
      <c r="K296" s="42" t="s">
        <v>1895</v>
      </c>
      <c r="L296" s="42" t="s">
        <v>1901</v>
      </c>
      <c r="M296" s="42" t="s">
        <v>5742</v>
      </c>
      <c r="N296" s="42" t="s">
        <v>5743</v>
      </c>
      <c r="O296" s="42" t="s">
        <v>5744</v>
      </c>
      <c r="P296" s="42" t="s">
        <v>5745</v>
      </c>
      <c r="Q296" s="42" t="s">
        <v>5741</v>
      </c>
      <c r="R296" s="42" t="s">
        <v>62</v>
      </c>
      <c r="S296" s="42" t="s">
        <v>55</v>
      </c>
      <c r="T296" s="42" t="s">
        <v>4968</v>
      </c>
      <c r="U296" s="42" t="s">
        <v>498</v>
      </c>
      <c r="V296" s="44" t="s">
        <v>5716</v>
      </c>
      <c r="W296" s="42" t="s">
        <v>3892</v>
      </c>
    </row>
    <row r="297" spans="1:23" ht="30">
      <c r="A297" s="40">
        <v>295</v>
      </c>
      <c r="B297" s="41">
        <v>2154027100</v>
      </c>
      <c r="C297" s="42" t="s">
        <v>5746</v>
      </c>
      <c r="D297" s="42" t="s">
        <v>760</v>
      </c>
      <c r="E297" s="43" t="s">
        <v>775</v>
      </c>
      <c r="F297" s="42" t="s">
        <v>3900</v>
      </c>
      <c r="G297" s="42" t="s">
        <v>5747</v>
      </c>
      <c r="H297" s="43"/>
      <c r="I297" s="42"/>
      <c r="J297" s="42" t="s">
        <v>5748</v>
      </c>
      <c r="K297" s="42" t="s">
        <v>1895</v>
      </c>
      <c r="L297" s="42" t="s">
        <v>5749</v>
      </c>
      <c r="M297" s="42" t="s">
        <v>5750</v>
      </c>
      <c r="N297" s="42" t="s">
        <v>5751</v>
      </c>
      <c r="O297" s="42"/>
      <c r="P297" s="42" t="s">
        <v>5752</v>
      </c>
      <c r="Q297" s="42"/>
      <c r="R297" s="42" t="s">
        <v>62</v>
      </c>
      <c r="S297" s="42" t="s">
        <v>55</v>
      </c>
      <c r="T297" s="42" t="s">
        <v>4968</v>
      </c>
      <c r="U297" s="42" t="s">
        <v>498</v>
      </c>
      <c r="V297" s="44" t="s">
        <v>5716</v>
      </c>
      <c r="W297" s="42" t="s">
        <v>3892</v>
      </c>
    </row>
    <row r="298" spans="1:23" ht="30">
      <c r="A298" s="40">
        <v>296</v>
      </c>
      <c r="B298" s="41">
        <v>2154027101</v>
      </c>
      <c r="C298" s="42" t="s">
        <v>5753</v>
      </c>
      <c r="D298" s="42" t="s">
        <v>760</v>
      </c>
      <c r="E298" s="43" t="s">
        <v>7212</v>
      </c>
      <c r="F298" s="42" t="s">
        <v>3900</v>
      </c>
      <c r="G298" s="42" t="s">
        <v>5754</v>
      </c>
      <c r="H298" s="43"/>
      <c r="I298" s="42"/>
      <c r="J298" s="42" t="s">
        <v>5755</v>
      </c>
      <c r="K298" s="42" t="s">
        <v>1895</v>
      </c>
      <c r="L298" s="42" t="s">
        <v>5756</v>
      </c>
      <c r="M298" s="42" t="s">
        <v>5757</v>
      </c>
      <c r="N298" s="42" t="s">
        <v>5758</v>
      </c>
      <c r="O298" s="42"/>
      <c r="P298" s="42" t="s">
        <v>4626</v>
      </c>
      <c r="Q298" s="42"/>
      <c r="R298" s="42" t="s">
        <v>62</v>
      </c>
      <c r="S298" s="42" t="s">
        <v>55</v>
      </c>
      <c r="T298" s="42" t="s">
        <v>4968</v>
      </c>
      <c r="U298" s="42" t="s">
        <v>498</v>
      </c>
      <c r="V298" s="44" t="s">
        <v>5716</v>
      </c>
      <c r="W298" s="42" t="s">
        <v>3892</v>
      </c>
    </row>
    <row r="299" spans="1:23" ht="30">
      <c r="A299" s="40">
        <v>297</v>
      </c>
      <c r="B299" s="41">
        <v>2154027684</v>
      </c>
      <c r="C299" s="42" t="s">
        <v>5759</v>
      </c>
      <c r="D299" s="42" t="s">
        <v>760</v>
      </c>
      <c r="E299" s="43" t="s">
        <v>7130</v>
      </c>
      <c r="F299" s="42" t="s">
        <v>5072</v>
      </c>
      <c r="G299" s="42" t="s">
        <v>5760</v>
      </c>
      <c r="H299" s="43"/>
      <c r="I299" s="42"/>
      <c r="J299" s="42" t="s">
        <v>5761</v>
      </c>
      <c r="K299" s="42" t="s">
        <v>1895</v>
      </c>
      <c r="L299" s="42" t="s">
        <v>709</v>
      </c>
      <c r="M299" s="42" t="s">
        <v>5762</v>
      </c>
      <c r="N299" s="42" t="s">
        <v>5763</v>
      </c>
      <c r="O299" s="42"/>
      <c r="P299" s="42" t="s">
        <v>4484</v>
      </c>
      <c r="Q299" s="42"/>
      <c r="R299" s="42" t="s">
        <v>62</v>
      </c>
      <c r="S299" s="42" t="s">
        <v>55</v>
      </c>
      <c r="T299" s="42" t="s">
        <v>4968</v>
      </c>
      <c r="U299" s="42" t="s">
        <v>498</v>
      </c>
      <c r="V299" s="44" t="s">
        <v>5716</v>
      </c>
      <c r="W299" s="42" t="s">
        <v>3892</v>
      </c>
    </row>
    <row r="300" spans="1:23" ht="30">
      <c r="A300" s="40">
        <v>298</v>
      </c>
      <c r="B300" s="41">
        <v>2154027263</v>
      </c>
      <c r="C300" s="42" t="s">
        <v>105</v>
      </c>
      <c r="D300" s="42" t="s">
        <v>765</v>
      </c>
      <c r="E300" s="43" t="s">
        <v>7250</v>
      </c>
      <c r="F300" s="42" t="s">
        <v>828</v>
      </c>
      <c r="G300" s="42" t="s">
        <v>5764</v>
      </c>
      <c r="H300" s="43"/>
      <c r="I300" s="42"/>
      <c r="J300" s="42" t="s">
        <v>5765</v>
      </c>
      <c r="K300" s="42" t="s">
        <v>1895</v>
      </c>
      <c r="L300" s="42" t="s">
        <v>5766</v>
      </c>
      <c r="M300" s="42" t="s">
        <v>5767</v>
      </c>
      <c r="N300" s="42" t="s">
        <v>5768</v>
      </c>
      <c r="O300" s="42"/>
      <c r="P300" s="42" t="s">
        <v>5769</v>
      </c>
      <c r="Q300" s="42"/>
      <c r="R300" s="42" t="s">
        <v>62</v>
      </c>
      <c r="S300" s="42" t="s">
        <v>55</v>
      </c>
      <c r="T300" s="42" t="s">
        <v>4968</v>
      </c>
      <c r="U300" s="42" t="s">
        <v>498</v>
      </c>
      <c r="V300" s="44" t="s">
        <v>5716</v>
      </c>
      <c r="W300" s="42" t="s">
        <v>3892</v>
      </c>
    </row>
    <row r="301" spans="1:23" ht="30">
      <c r="A301" s="40">
        <v>299</v>
      </c>
      <c r="B301" s="41">
        <v>2154027269</v>
      </c>
      <c r="C301" s="42" t="s">
        <v>5770</v>
      </c>
      <c r="D301" s="42" t="s">
        <v>765</v>
      </c>
      <c r="E301" s="43" t="s">
        <v>3793</v>
      </c>
      <c r="F301" s="42" t="s">
        <v>3900</v>
      </c>
      <c r="G301" s="42" t="s">
        <v>5771</v>
      </c>
      <c r="H301" s="43"/>
      <c r="I301" s="42"/>
      <c r="J301" s="42" t="s">
        <v>5772</v>
      </c>
      <c r="K301" s="42" t="s">
        <v>1895</v>
      </c>
      <c r="L301" s="42" t="s">
        <v>5773</v>
      </c>
      <c r="M301" s="42" t="s">
        <v>5774</v>
      </c>
      <c r="N301" s="42" t="s">
        <v>5775</v>
      </c>
      <c r="O301" s="42"/>
      <c r="P301" s="42" t="s">
        <v>5776</v>
      </c>
      <c r="Q301" s="42"/>
      <c r="R301" s="42" t="s">
        <v>62</v>
      </c>
      <c r="S301" s="42" t="s">
        <v>55</v>
      </c>
      <c r="T301" s="42" t="s">
        <v>4968</v>
      </c>
      <c r="U301" s="42" t="s">
        <v>498</v>
      </c>
      <c r="V301" s="44" t="s">
        <v>5716</v>
      </c>
      <c r="W301" s="42" t="s">
        <v>3892</v>
      </c>
    </row>
    <row r="302" spans="1:23" ht="30">
      <c r="A302" s="40">
        <v>300</v>
      </c>
      <c r="B302" s="41">
        <v>2154027681</v>
      </c>
      <c r="C302" s="42" t="s">
        <v>5777</v>
      </c>
      <c r="D302" s="42" t="s">
        <v>765</v>
      </c>
      <c r="E302" s="43" t="s">
        <v>7112</v>
      </c>
      <c r="F302" s="42" t="s">
        <v>958</v>
      </c>
      <c r="G302" s="42" t="s">
        <v>5778</v>
      </c>
      <c r="H302" s="43"/>
      <c r="I302" s="42"/>
      <c r="J302" s="42" t="s">
        <v>5779</v>
      </c>
      <c r="K302" s="42" t="s">
        <v>2316</v>
      </c>
      <c r="L302" s="42" t="s">
        <v>706</v>
      </c>
      <c r="M302" s="42" t="s">
        <v>5780</v>
      </c>
      <c r="N302" s="42" t="s">
        <v>5781</v>
      </c>
      <c r="O302" s="42"/>
      <c r="P302" s="42" t="s">
        <v>5782</v>
      </c>
      <c r="Q302" s="42"/>
      <c r="R302" s="42" t="s">
        <v>62</v>
      </c>
      <c r="S302" s="42" t="s">
        <v>55</v>
      </c>
      <c r="T302" s="42" t="s">
        <v>4968</v>
      </c>
      <c r="U302" s="42" t="s">
        <v>498</v>
      </c>
      <c r="V302" s="44" t="s">
        <v>5716</v>
      </c>
      <c r="W302" s="42" t="s">
        <v>3892</v>
      </c>
    </row>
    <row r="303" spans="1:23" ht="30">
      <c r="A303" s="40">
        <v>301</v>
      </c>
      <c r="B303" s="41">
        <v>2154027271</v>
      </c>
      <c r="C303" s="42" t="s">
        <v>65</v>
      </c>
      <c r="D303" s="42" t="s">
        <v>765</v>
      </c>
      <c r="E303" s="43" t="s">
        <v>7108</v>
      </c>
      <c r="F303" s="42" t="s">
        <v>828</v>
      </c>
      <c r="G303" s="42" t="s">
        <v>5783</v>
      </c>
      <c r="H303" s="43"/>
      <c r="I303" s="42"/>
      <c r="J303" s="42" t="s">
        <v>5784</v>
      </c>
      <c r="K303" s="42" t="s">
        <v>1895</v>
      </c>
      <c r="L303" s="42" t="s">
        <v>5785</v>
      </c>
      <c r="M303" s="42" t="s">
        <v>5786</v>
      </c>
      <c r="N303" s="42" t="s">
        <v>5787</v>
      </c>
      <c r="O303" s="42"/>
      <c r="P303" s="42" t="s">
        <v>5788</v>
      </c>
      <c r="Q303" s="42"/>
      <c r="R303" s="42" t="s">
        <v>62</v>
      </c>
      <c r="S303" s="42" t="s">
        <v>55</v>
      </c>
      <c r="T303" s="42" t="s">
        <v>4968</v>
      </c>
      <c r="U303" s="42" t="s">
        <v>498</v>
      </c>
      <c r="V303" s="44" t="s">
        <v>5716</v>
      </c>
      <c r="W303" s="42" t="s">
        <v>3892</v>
      </c>
    </row>
    <row r="304" spans="1:23" ht="90">
      <c r="A304" s="40">
        <v>302</v>
      </c>
      <c r="B304" s="41">
        <v>2154027276</v>
      </c>
      <c r="C304" s="42" t="s">
        <v>5789</v>
      </c>
      <c r="D304" s="42" t="s">
        <v>765</v>
      </c>
      <c r="E304" s="43" t="s">
        <v>7251</v>
      </c>
      <c r="F304" s="42" t="s">
        <v>5790</v>
      </c>
      <c r="G304" s="42" t="s">
        <v>5791</v>
      </c>
      <c r="H304" s="43"/>
      <c r="I304" s="42"/>
      <c r="J304" s="42" t="s">
        <v>5792</v>
      </c>
      <c r="K304" s="42" t="s">
        <v>1895</v>
      </c>
      <c r="L304" s="42" t="s">
        <v>5793</v>
      </c>
      <c r="M304" s="42" t="s">
        <v>5794</v>
      </c>
      <c r="N304" s="42" t="s">
        <v>5795</v>
      </c>
      <c r="O304" s="42"/>
      <c r="P304" s="42" t="s">
        <v>5796</v>
      </c>
      <c r="Q304" s="42"/>
      <c r="R304" s="42" t="s">
        <v>62</v>
      </c>
      <c r="S304" s="42" t="s">
        <v>55</v>
      </c>
      <c r="T304" s="42" t="s">
        <v>4968</v>
      </c>
      <c r="U304" s="42" t="s">
        <v>498</v>
      </c>
      <c r="V304" s="44" t="s">
        <v>5797</v>
      </c>
      <c r="W304" s="42" t="s">
        <v>3905</v>
      </c>
    </row>
    <row r="305" spans="1:23" ht="30">
      <c r="A305" s="40">
        <v>303</v>
      </c>
      <c r="B305" s="41">
        <v>2154027278</v>
      </c>
      <c r="C305" s="42" t="s">
        <v>61</v>
      </c>
      <c r="D305" s="42" t="s">
        <v>760</v>
      </c>
      <c r="E305" s="43" t="s">
        <v>7252</v>
      </c>
      <c r="F305" s="42" t="s">
        <v>5798</v>
      </c>
      <c r="G305" s="42" t="s">
        <v>5799</v>
      </c>
      <c r="H305" s="43">
        <v>45338</v>
      </c>
      <c r="I305" s="42"/>
      <c r="J305" s="42" t="s">
        <v>5800</v>
      </c>
      <c r="K305" s="42" t="s">
        <v>2135</v>
      </c>
      <c r="L305" s="42" t="s">
        <v>5801</v>
      </c>
      <c r="M305" s="42" t="s">
        <v>5802</v>
      </c>
      <c r="N305" s="42" t="s">
        <v>5803</v>
      </c>
      <c r="O305" s="42"/>
      <c r="P305" s="42" t="s">
        <v>5804</v>
      </c>
      <c r="Q305" s="42"/>
      <c r="R305" s="42" t="s">
        <v>62</v>
      </c>
      <c r="S305" s="42" t="s">
        <v>55</v>
      </c>
      <c r="T305" s="42" t="s">
        <v>4968</v>
      </c>
      <c r="U305" s="42" t="s">
        <v>498</v>
      </c>
      <c r="V305" s="44" t="s">
        <v>5716</v>
      </c>
      <c r="W305" s="42" t="s">
        <v>3892</v>
      </c>
    </row>
    <row r="306" spans="1:23" ht="30">
      <c r="A306" s="40">
        <v>304</v>
      </c>
      <c r="B306" s="41">
        <v>2154027699</v>
      </c>
      <c r="C306" s="42" t="s">
        <v>5805</v>
      </c>
      <c r="D306" s="42" t="s">
        <v>760</v>
      </c>
      <c r="E306" s="43" t="s">
        <v>7102</v>
      </c>
      <c r="F306" s="42" t="s">
        <v>3900</v>
      </c>
      <c r="G306" s="42" t="s">
        <v>5806</v>
      </c>
      <c r="H306" s="43">
        <v>44467</v>
      </c>
      <c r="I306" s="42"/>
      <c r="J306" s="42" t="s">
        <v>5807</v>
      </c>
      <c r="K306" s="42" t="s">
        <v>1895</v>
      </c>
      <c r="L306" s="42" t="s">
        <v>5808</v>
      </c>
      <c r="M306" s="42" t="s">
        <v>5809</v>
      </c>
      <c r="N306" s="42" t="s">
        <v>5810</v>
      </c>
      <c r="O306" s="42"/>
      <c r="P306" s="42" t="s">
        <v>5811</v>
      </c>
      <c r="Q306" s="42"/>
      <c r="R306" s="42" t="s">
        <v>62</v>
      </c>
      <c r="S306" s="42" t="s">
        <v>55</v>
      </c>
      <c r="T306" s="42" t="s">
        <v>4968</v>
      </c>
      <c r="U306" s="42" t="s">
        <v>498</v>
      </c>
      <c r="V306" s="44" t="s">
        <v>5716</v>
      </c>
      <c r="W306" s="42" t="s">
        <v>3892</v>
      </c>
    </row>
    <row r="307" spans="1:23" ht="30">
      <c r="A307" s="40">
        <v>305</v>
      </c>
      <c r="B307" s="41">
        <v>2154027723</v>
      </c>
      <c r="C307" s="42" t="s">
        <v>97</v>
      </c>
      <c r="D307" s="42" t="s">
        <v>760</v>
      </c>
      <c r="E307" s="43" t="s">
        <v>7163</v>
      </c>
      <c r="F307" s="42" t="s">
        <v>3938</v>
      </c>
      <c r="G307" s="42" t="s">
        <v>5812</v>
      </c>
      <c r="H307" s="43"/>
      <c r="I307" s="42"/>
      <c r="J307" s="42" t="s">
        <v>5813</v>
      </c>
      <c r="K307" s="42" t="s">
        <v>1895</v>
      </c>
      <c r="L307" s="42" t="s">
        <v>5814</v>
      </c>
      <c r="M307" s="42" t="s">
        <v>5815</v>
      </c>
      <c r="N307" s="42" t="s">
        <v>5816</v>
      </c>
      <c r="O307" s="42"/>
      <c r="P307" s="42" t="s">
        <v>5346</v>
      </c>
      <c r="Q307" s="42"/>
      <c r="R307" s="42" t="s">
        <v>62</v>
      </c>
      <c r="S307" s="42" t="s">
        <v>55</v>
      </c>
      <c r="T307" s="42" t="s">
        <v>4968</v>
      </c>
      <c r="U307" s="42" t="s">
        <v>498</v>
      </c>
      <c r="V307" s="44" t="s">
        <v>5716</v>
      </c>
      <c r="W307" s="42" t="s">
        <v>3892</v>
      </c>
    </row>
    <row r="308" spans="1:23" ht="30">
      <c r="A308" s="40">
        <v>306</v>
      </c>
      <c r="B308" s="41">
        <v>2154027676</v>
      </c>
      <c r="C308" s="42" t="s">
        <v>5817</v>
      </c>
      <c r="D308" s="42" t="s">
        <v>765</v>
      </c>
      <c r="E308" s="43" t="s">
        <v>7164</v>
      </c>
      <c r="F308" s="42" t="s">
        <v>804</v>
      </c>
      <c r="G308" s="42" t="s">
        <v>5818</v>
      </c>
      <c r="H308" s="43"/>
      <c r="I308" s="42"/>
      <c r="J308" s="42" t="s">
        <v>5819</v>
      </c>
      <c r="K308" s="42" t="s">
        <v>701</v>
      </c>
      <c r="L308" s="42" t="s">
        <v>701</v>
      </c>
      <c r="M308" s="42" t="s">
        <v>5820</v>
      </c>
      <c r="N308" s="42"/>
      <c r="O308" s="42"/>
      <c r="P308" s="42" t="s">
        <v>5821</v>
      </c>
      <c r="Q308" s="42"/>
      <c r="R308" s="42" t="s">
        <v>62</v>
      </c>
      <c r="S308" s="42" t="s">
        <v>55</v>
      </c>
      <c r="T308" s="42" t="s">
        <v>4968</v>
      </c>
      <c r="U308" s="42" t="s">
        <v>498</v>
      </c>
      <c r="V308" s="44" t="s">
        <v>5716</v>
      </c>
      <c r="W308" s="42" t="s">
        <v>3892</v>
      </c>
    </row>
    <row r="309" spans="1:23" ht="90">
      <c r="A309" s="40">
        <v>307</v>
      </c>
      <c r="B309" s="41">
        <v>2154027733</v>
      </c>
      <c r="C309" s="42" t="s">
        <v>5822</v>
      </c>
      <c r="D309" s="42" t="s">
        <v>760</v>
      </c>
      <c r="E309" s="43" t="s">
        <v>7146</v>
      </c>
      <c r="F309" s="42" t="s">
        <v>3900</v>
      </c>
      <c r="G309" s="42" t="s">
        <v>5823</v>
      </c>
      <c r="H309" s="43"/>
      <c r="I309" s="42"/>
      <c r="J309" s="42" t="s">
        <v>5824</v>
      </c>
      <c r="K309" s="42" t="s">
        <v>1895</v>
      </c>
      <c r="L309" s="42" t="s">
        <v>5825</v>
      </c>
      <c r="M309" s="42" t="s">
        <v>5826</v>
      </c>
      <c r="N309" s="42" t="s">
        <v>5827</v>
      </c>
      <c r="O309" s="42"/>
      <c r="P309" s="42" t="s">
        <v>5828</v>
      </c>
      <c r="Q309" s="42"/>
      <c r="R309" s="42" t="s">
        <v>62</v>
      </c>
      <c r="S309" s="42" t="s">
        <v>55</v>
      </c>
      <c r="T309" s="42" t="s">
        <v>4968</v>
      </c>
      <c r="U309" s="42" t="s">
        <v>498</v>
      </c>
      <c r="V309" s="44" t="s">
        <v>5829</v>
      </c>
      <c r="W309" s="42" t="s">
        <v>3905</v>
      </c>
    </row>
    <row r="310" spans="1:23" ht="30">
      <c r="A310" s="40">
        <v>308</v>
      </c>
      <c r="B310" s="41">
        <v>2154027130</v>
      </c>
      <c r="C310" s="42" t="s">
        <v>5830</v>
      </c>
      <c r="D310" s="42" t="s">
        <v>765</v>
      </c>
      <c r="E310" s="43" t="s">
        <v>3337</v>
      </c>
      <c r="F310" s="42" t="s">
        <v>3938</v>
      </c>
      <c r="G310" s="42" t="s">
        <v>5831</v>
      </c>
      <c r="H310" s="43"/>
      <c r="I310" s="42"/>
      <c r="J310" s="42" t="s">
        <v>5832</v>
      </c>
      <c r="K310" s="42" t="s">
        <v>1895</v>
      </c>
      <c r="L310" s="42" t="s">
        <v>5833</v>
      </c>
      <c r="M310" s="42" t="s">
        <v>5834</v>
      </c>
      <c r="N310" s="42" t="s">
        <v>5835</v>
      </c>
      <c r="O310" s="42"/>
      <c r="P310" s="42" t="s">
        <v>5836</v>
      </c>
      <c r="Q310" s="42"/>
      <c r="R310" s="42" t="s">
        <v>62</v>
      </c>
      <c r="S310" s="42" t="s">
        <v>55</v>
      </c>
      <c r="T310" s="42" t="s">
        <v>4968</v>
      </c>
      <c r="U310" s="42" t="s">
        <v>498</v>
      </c>
      <c r="V310" s="44" t="s">
        <v>5716</v>
      </c>
      <c r="W310" s="42" t="s">
        <v>3892</v>
      </c>
    </row>
    <row r="311" spans="1:23" ht="135">
      <c r="A311" s="40">
        <v>309</v>
      </c>
      <c r="B311" s="41">
        <v>2154027131</v>
      </c>
      <c r="C311" s="42" t="s">
        <v>5837</v>
      </c>
      <c r="D311" s="42" t="s">
        <v>765</v>
      </c>
      <c r="E311" s="43" t="s">
        <v>7173</v>
      </c>
      <c r="F311" s="42"/>
      <c r="G311" s="42" t="s">
        <v>5838</v>
      </c>
      <c r="H311" s="43"/>
      <c r="I311" s="42"/>
      <c r="J311" s="42" t="s">
        <v>5839</v>
      </c>
      <c r="K311" s="42" t="s">
        <v>5840</v>
      </c>
      <c r="L311" s="42" t="s">
        <v>5840</v>
      </c>
      <c r="M311" s="42" t="s">
        <v>5841</v>
      </c>
      <c r="N311" s="42"/>
      <c r="O311" s="42"/>
      <c r="P311" s="42"/>
      <c r="Q311" s="42"/>
      <c r="R311" s="42" t="s">
        <v>62</v>
      </c>
      <c r="S311" s="42" t="s">
        <v>55</v>
      </c>
      <c r="T311" s="42" t="s">
        <v>4968</v>
      </c>
      <c r="U311" s="42" t="s">
        <v>498</v>
      </c>
      <c r="V311" s="44" t="s">
        <v>5842</v>
      </c>
      <c r="W311" s="42" t="s">
        <v>3905</v>
      </c>
    </row>
    <row r="312" spans="1:23" ht="30">
      <c r="A312" s="40">
        <v>310</v>
      </c>
      <c r="B312" s="41">
        <v>2154037327</v>
      </c>
      <c r="C312" s="42" t="s">
        <v>5843</v>
      </c>
      <c r="D312" s="42" t="s">
        <v>765</v>
      </c>
      <c r="E312" s="43" t="s">
        <v>7132</v>
      </c>
      <c r="F312" s="42" t="s">
        <v>3900</v>
      </c>
      <c r="G312" s="42" t="s">
        <v>5844</v>
      </c>
      <c r="H312" s="43"/>
      <c r="I312" s="42"/>
      <c r="J312" s="42" t="s">
        <v>5845</v>
      </c>
      <c r="K312" s="42" t="s">
        <v>1895</v>
      </c>
      <c r="L312" s="42" t="s">
        <v>642</v>
      </c>
      <c r="M312" s="42" t="s">
        <v>5846</v>
      </c>
      <c r="N312" s="42" t="s">
        <v>5847</v>
      </c>
      <c r="O312" s="42"/>
      <c r="P312" s="42" t="s">
        <v>5848</v>
      </c>
      <c r="Q312" s="42"/>
      <c r="R312" s="42" t="s">
        <v>62</v>
      </c>
      <c r="S312" s="42" t="s">
        <v>55</v>
      </c>
      <c r="T312" s="42" t="s">
        <v>4968</v>
      </c>
      <c r="U312" s="42" t="s">
        <v>498</v>
      </c>
      <c r="V312" s="44" t="s">
        <v>5716</v>
      </c>
      <c r="W312" s="42" t="s">
        <v>3892</v>
      </c>
    </row>
    <row r="313" spans="1:23" ht="30">
      <c r="A313" s="40">
        <v>311</v>
      </c>
      <c r="B313" s="41">
        <v>2154027290</v>
      </c>
      <c r="C313" s="42" t="s">
        <v>280</v>
      </c>
      <c r="D313" s="42" t="s">
        <v>760</v>
      </c>
      <c r="E313" s="43" t="s">
        <v>3848</v>
      </c>
      <c r="F313" s="42"/>
      <c r="G313" s="42" t="s">
        <v>5849</v>
      </c>
      <c r="H313" s="43"/>
      <c r="I313" s="42"/>
      <c r="J313" s="42" t="s">
        <v>5850</v>
      </c>
      <c r="K313" s="42" t="s">
        <v>5851</v>
      </c>
      <c r="L313" s="42" t="s">
        <v>5851</v>
      </c>
      <c r="M313" s="42" t="s">
        <v>5852</v>
      </c>
      <c r="N313" s="42"/>
      <c r="O313" s="42"/>
      <c r="P313" s="42"/>
      <c r="Q313" s="42"/>
      <c r="R313" s="42" t="s">
        <v>62</v>
      </c>
      <c r="S313" s="42" t="s">
        <v>55</v>
      </c>
      <c r="T313" s="42" t="s">
        <v>4968</v>
      </c>
      <c r="U313" s="42" t="s">
        <v>498</v>
      </c>
      <c r="V313" s="44" t="s">
        <v>5716</v>
      </c>
      <c r="W313" s="42" t="s">
        <v>3892</v>
      </c>
    </row>
    <row r="314" spans="1:23" ht="90">
      <c r="A314" s="40">
        <v>312</v>
      </c>
      <c r="B314" s="41">
        <v>2154027712</v>
      </c>
      <c r="C314" s="42" t="s">
        <v>5853</v>
      </c>
      <c r="D314" s="42" t="s">
        <v>765</v>
      </c>
      <c r="E314" s="43" t="s">
        <v>7146</v>
      </c>
      <c r="F314" s="42" t="s">
        <v>5072</v>
      </c>
      <c r="G314" s="42" t="s">
        <v>5854</v>
      </c>
      <c r="H314" s="43"/>
      <c r="I314" s="42"/>
      <c r="J314" s="42" t="s">
        <v>5855</v>
      </c>
      <c r="K314" s="42" t="s">
        <v>1895</v>
      </c>
      <c r="L314" s="42" t="s">
        <v>5856</v>
      </c>
      <c r="M314" s="42" t="s">
        <v>5857</v>
      </c>
      <c r="N314" s="42" t="s">
        <v>5858</v>
      </c>
      <c r="O314" s="42"/>
      <c r="P314" s="42" t="s">
        <v>5859</v>
      </c>
      <c r="Q314" s="42"/>
      <c r="R314" s="42" t="s">
        <v>62</v>
      </c>
      <c r="S314" s="42" t="s">
        <v>55</v>
      </c>
      <c r="T314" s="42" t="s">
        <v>4968</v>
      </c>
      <c r="U314" s="42" t="s">
        <v>498</v>
      </c>
      <c r="V314" s="44" t="s">
        <v>5860</v>
      </c>
      <c r="W314" s="42" t="s">
        <v>3905</v>
      </c>
    </row>
    <row r="315" spans="1:23" ht="30">
      <c r="A315" s="40">
        <v>313</v>
      </c>
      <c r="B315" s="41">
        <v>2154027139</v>
      </c>
      <c r="C315" s="42" t="s">
        <v>5861</v>
      </c>
      <c r="D315" s="42" t="s">
        <v>760</v>
      </c>
      <c r="E315" s="43" t="s">
        <v>2084</v>
      </c>
      <c r="F315" s="42" t="s">
        <v>4948</v>
      </c>
      <c r="G315" s="42" t="s">
        <v>5862</v>
      </c>
      <c r="H315" s="43"/>
      <c r="I315" s="42"/>
      <c r="J315" s="42" t="s">
        <v>5863</v>
      </c>
      <c r="K315" s="42" t="s">
        <v>1895</v>
      </c>
      <c r="L315" s="42" t="s">
        <v>5864</v>
      </c>
      <c r="M315" s="42" t="s">
        <v>5865</v>
      </c>
      <c r="N315" s="42" t="s">
        <v>5866</v>
      </c>
      <c r="O315" s="42"/>
      <c r="P315" s="42" t="s">
        <v>5836</v>
      </c>
      <c r="Q315" s="42"/>
      <c r="R315" s="42" t="s">
        <v>62</v>
      </c>
      <c r="S315" s="42" t="s">
        <v>55</v>
      </c>
      <c r="T315" s="42" t="s">
        <v>4968</v>
      </c>
      <c r="U315" s="42" t="s">
        <v>498</v>
      </c>
      <c r="V315" s="44" t="s">
        <v>5716</v>
      </c>
      <c r="W315" s="42" t="s">
        <v>3892</v>
      </c>
    </row>
    <row r="316" spans="1:23" ht="30">
      <c r="A316" s="40">
        <v>314</v>
      </c>
      <c r="B316" s="41">
        <v>2154027142</v>
      </c>
      <c r="C316" s="42" t="s">
        <v>5867</v>
      </c>
      <c r="D316" s="42" t="s">
        <v>765</v>
      </c>
      <c r="E316" s="43" t="s">
        <v>7191</v>
      </c>
      <c r="F316" s="42" t="s">
        <v>3938</v>
      </c>
      <c r="G316" s="42" t="s">
        <v>5868</v>
      </c>
      <c r="H316" s="43"/>
      <c r="I316" s="42"/>
      <c r="J316" s="42" t="s">
        <v>5869</v>
      </c>
      <c r="K316" s="42" t="s">
        <v>1895</v>
      </c>
      <c r="L316" s="42" t="s">
        <v>5870</v>
      </c>
      <c r="M316" s="42" t="s">
        <v>5871</v>
      </c>
      <c r="N316" s="42" t="s">
        <v>5872</v>
      </c>
      <c r="O316" s="42"/>
      <c r="P316" s="42" t="s">
        <v>5873</v>
      </c>
      <c r="Q316" s="42"/>
      <c r="R316" s="42" t="s">
        <v>62</v>
      </c>
      <c r="S316" s="42" t="s">
        <v>55</v>
      </c>
      <c r="T316" s="42" t="s">
        <v>4968</v>
      </c>
      <c r="U316" s="42" t="s">
        <v>498</v>
      </c>
      <c r="V316" s="44" t="s">
        <v>5716</v>
      </c>
      <c r="W316" s="42" t="s">
        <v>3892</v>
      </c>
    </row>
    <row r="317" spans="1:23" ht="60">
      <c r="A317" s="40">
        <v>315</v>
      </c>
      <c r="B317" s="41">
        <v>2154025165</v>
      </c>
      <c r="C317" s="42" t="s">
        <v>103</v>
      </c>
      <c r="D317" s="42" t="s">
        <v>765</v>
      </c>
      <c r="E317" s="43" t="s">
        <v>7163</v>
      </c>
      <c r="F317" s="42" t="s">
        <v>5874</v>
      </c>
      <c r="G317" s="42" t="s">
        <v>5875</v>
      </c>
      <c r="H317" s="43">
        <v>44218</v>
      </c>
      <c r="I317" s="42" t="s">
        <v>5876</v>
      </c>
      <c r="J317" s="42" t="s">
        <v>5877</v>
      </c>
      <c r="K317" s="42" t="s">
        <v>1895</v>
      </c>
      <c r="L317" s="42" t="s">
        <v>1901</v>
      </c>
      <c r="M317" s="42" t="s">
        <v>5878</v>
      </c>
      <c r="N317" s="42" t="s">
        <v>5847</v>
      </c>
      <c r="O317" s="42"/>
      <c r="P317" s="42" t="s">
        <v>5879</v>
      </c>
      <c r="Q317" s="42" t="s">
        <v>5880</v>
      </c>
      <c r="R317" s="42" t="s">
        <v>62</v>
      </c>
      <c r="S317" s="42" t="s">
        <v>55</v>
      </c>
      <c r="T317" s="42" t="s">
        <v>4968</v>
      </c>
      <c r="U317" s="42" t="s">
        <v>498</v>
      </c>
      <c r="V317" s="44" t="s">
        <v>5881</v>
      </c>
      <c r="W317" s="42" t="s">
        <v>3892</v>
      </c>
    </row>
    <row r="318" spans="1:23" ht="30">
      <c r="A318" s="40">
        <v>316</v>
      </c>
      <c r="B318" s="41">
        <v>2154027904</v>
      </c>
      <c r="C318" s="42" t="s">
        <v>90</v>
      </c>
      <c r="D318" s="42" t="s">
        <v>765</v>
      </c>
      <c r="E318" s="43" t="s">
        <v>7237</v>
      </c>
      <c r="F318" s="42" t="s">
        <v>3900</v>
      </c>
      <c r="G318" s="42" t="s">
        <v>5882</v>
      </c>
      <c r="H318" s="43"/>
      <c r="I318" s="42"/>
      <c r="J318" s="42" t="s">
        <v>5883</v>
      </c>
      <c r="K318" s="42" t="s">
        <v>1895</v>
      </c>
      <c r="L318" s="42" t="s">
        <v>571</v>
      </c>
      <c r="M318" s="42" t="s">
        <v>5884</v>
      </c>
      <c r="N318" s="42" t="s">
        <v>5885</v>
      </c>
      <c r="O318" s="42"/>
      <c r="P318" s="42" t="s">
        <v>5886</v>
      </c>
      <c r="Q318" s="42"/>
      <c r="R318" s="42" t="s">
        <v>91</v>
      </c>
      <c r="S318" s="42" t="s">
        <v>29</v>
      </c>
      <c r="T318" s="42" t="s">
        <v>4968</v>
      </c>
      <c r="U318" s="42" t="s">
        <v>498</v>
      </c>
      <c r="V318" s="44" t="s">
        <v>5716</v>
      </c>
      <c r="W318" s="42" t="s">
        <v>3892</v>
      </c>
    </row>
    <row r="319" spans="1:23" ht="30">
      <c r="A319" s="40">
        <v>317</v>
      </c>
      <c r="B319" s="41">
        <v>2154027655</v>
      </c>
      <c r="C319" s="42" t="s">
        <v>5887</v>
      </c>
      <c r="D319" s="42" t="s">
        <v>765</v>
      </c>
      <c r="E319" s="43" t="s">
        <v>7101</v>
      </c>
      <c r="F319" s="42" t="s">
        <v>835</v>
      </c>
      <c r="G319" s="42" t="s">
        <v>5888</v>
      </c>
      <c r="H319" s="43"/>
      <c r="I319" s="42"/>
      <c r="J319" s="42" t="s">
        <v>5889</v>
      </c>
      <c r="K319" s="42" t="s">
        <v>1895</v>
      </c>
      <c r="L319" s="42" t="s">
        <v>680</v>
      </c>
      <c r="M319" s="42" t="s">
        <v>5890</v>
      </c>
      <c r="N319" s="42" t="s">
        <v>5891</v>
      </c>
      <c r="O319" s="42"/>
      <c r="P319" s="42" t="s">
        <v>5892</v>
      </c>
      <c r="Q319" s="42"/>
      <c r="R319" s="42" t="s">
        <v>91</v>
      </c>
      <c r="S319" s="42" t="s">
        <v>29</v>
      </c>
      <c r="T319" s="42" t="s">
        <v>4968</v>
      </c>
      <c r="U319" s="42" t="s">
        <v>498</v>
      </c>
      <c r="V319" s="44" t="s">
        <v>5716</v>
      </c>
      <c r="W319" s="42" t="s">
        <v>3892</v>
      </c>
    </row>
    <row r="320" spans="1:23" ht="30">
      <c r="A320" s="40">
        <v>318</v>
      </c>
      <c r="B320" s="41">
        <v>2154027252</v>
      </c>
      <c r="C320" s="42" t="s">
        <v>5893</v>
      </c>
      <c r="D320" s="42" t="s">
        <v>760</v>
      </c>
      <c r="E320" s="43" t="s">
        <v>1536</v>
      </c>
      <c r="F320" s="42" t="s">
        <v>3900</v>
      </c>
      <c r="G320" s="42" t="s">
        <v>5894</v>
      </c>
      <c r="H320" s="43"/>
      <c r="I320" s="42"/>
      <c r="J320" s="42" t="s">
        <v>5895</v>
      </c>
      <c r="K320" s="42" t="s">
        <v>5896</v>
      </c>
      <c r="L320" s="42" t="s">
        <v>5896</v>
      </c>
      <c r="M320" s="42" t="s">
        <v>5897</v>
      </c>
      <c r="N320" s="42" t="s">
        <v>5898</v>
      </c>
      <c r="O320" s="42"/>
      <c r="P320" s="42" t="s">
        <v>5899</v>
      </c>
      <c r="Q320" s="42"/>
      <c r="R320" s="42" t="s">
        <v>91</v>
      </c>
      <c r="S320" s="42" t="s">
        <v>29</v>
      </c>
      <c r="T320" s="42" t="s">
        <v>4968</v>
      </c>
      <c r="U320" s="42" t="s">
        <v>498</v>
      </c>
      <c r="V320" s="44" t="s">
        <v>5716</v>
      </c>
      <c r="W320" s="42" t="s">
        <v>3892</v>
      </c>
    </row>
    <row r="321" spans="1:23" ht="30">
      <c r="A321" s="40">
        <v>319</v>
      </c>
      <c r="B321" s="41">
        <v>2154027692</v>
      </c>
      <c r="C321" s="42" t="s">
        <v>5900</v>
      </c>
      <c r="D321" s="42" t="s">
        <v>760</v>
      </c>
      <c r="E321" s="43" t="s">
        <v>7107</v>
      </c>
      <c r="F321" s="42" t="s">
        <v>3900</v>
      </c>
      <c r="G321" s="42" t="s">
        <v>5901</v>
      </c>
      <c r="H321" s="43"/>
      <c r="I321" s="42"/>
      <c r="J321" s="42" t="s">
        <v>5902</v>
      </c>
      <c r="K321" s="42" t="s">
        <v>1895</v>
      </c>
      <c r="L321" s="42" t="s">
        <v>720</v>
      </c>
      <c r="M321" s="42" t="s">
        <v>5903</v>
      </c>
      <c r="N321" s="42" t="s">
        <v>5904</v>
      </c>
      <c r="O321" s="42"/>
      <c r="P321" s="42" t="s">
        <v>5905</v>
      </c>
      <c r="Q321" s="42"/>
      <c r="R321" s="42" t="s">
        <v>91</v>
      </c>
      <c r="S321" s="42" t="s">
        <v>29</v>
      </c>
      <c r="T321" s="42" t="s">
        <v>4968</v>
      </c>
      <c r="U321" s="42" t="s">
        <v>498</v>
      </c>
      <c r="V321" s="44" t="s">
        <v>5716</v>
      </c>
      <c r="W321" s="42" t="s">
        <v>3892</v>
      </c>
    </row>
    <row r="322" spans="1:23" ht="30">
      <c r="A322" s="40">
        <v>320</v>
      </c>
      <c r="B322" s="41">
        <v>2154027083</v>
      </c>
      <c r="C322" s="42" t="s">
        <v>5906</v>
      </c>
      <c r="D322" s="42" t="s">
        <v>765</v>
      </c>
      <c r="E322" s="43" t="s">
        <v>7253</v>
      </c>
      <c r="F322" s="42" t="s">
        <v>817</v>
      </c>
      <c r="G322" s="42" t="s">
        <v>5907</v>
      </c>
      <c r="H322" s="43"/>
      <c r="I322" s="42"/>
      <c r="J322" s="42" t="s">
        <v>5908</v>
      </c>
      <c r="K322" s="42" t="s">
        <v>1895</v>
      </c>
      <c r="L322" s="42" t="s">
        <v>5909</v>
      </c>
      <c r="M322" s="42" t="s">
        <v>5910</v>
      </c>
      <c r="N322" s="42" t="s">
        <v>5911</v>
      </c>
      <c r="O322" s="42"/>
      <c r="P322" s="42" t="s">
        <v>5912</v>
      </c>
      <c r="Q322" s="42"/>
      <c r="R322" s="42" t="s">
        <v>91</v>
      </c>
      <c r="S322" s="42" t="s">
        <v>29</v>
      </c>
      <c r="T322" s="42" t="s">
        <v>4968</v>
      </c>
      <c r="U322" s="42" t="s">
        <v>498</v>
      </c>
      <c r="V322" s="44" t="s">
        <v>5716</v>
      </c>
      <c r="W322" s="42" t="s">
        <v>3892</v>
      </c>
    </row>
    <row r="323" spans="1:23" ht="30">
      <c r="A323" s="40">
        <v>321</v>
      </c>
      <c r="B323" s="41">
        <v>2154027653</v>
      </c>
      <c r="C323" s="42" t="s">
        <v>69</v>
      </c>
      <c r="D323" s="42" t="s">
        <v>765</v>
      </c>
      <c r="E323" s="43" t="s">
        <v>2786</v>
      </c>
      <c r="F323" s="42" t="s">
        <v>5913</v>
      </c>
      <c r="G323" s="42" t="s">
        <v>5914</v>
      </c>
      <c r="H323" s="43"/>
      <c r="I323" s="42"/>
      <c r="J323" s="42" t="s">
        <v>5915</v>
      </c>
      <c r="K323" s="42" t="s">
        <v>1895</v>
      </c>
      <c r="L323" s="42" t="s">
        <v>678</v>
      </c>
      <c r="M323" s="42" t="s">
        <v>5916</v>
      </c>
      <c r="N323" s="42" t="s">
        <v>5917</v>
      </c>
      <c r="O323" s="42"/>
      <c r="P323" s="42" t="s">
        <v>5233</v>
      </c>
      <c r="Q323" s="42"/>
      <c r="R323" s="42" t="s">
        <v>91</v>
      </c>
      <c r="S323" s="42" t="s">
        <v>29</v>
      </c>
      <c r="T323" s="42" t="s">
        <v>4968</v>
      </c>
      <c r="U323" s="42" t="s">
        <v>498</v>
      </c>
      <c r="V323" s="44" t="s">
        <v>5716</v>
      </c>
      <c r="W323" s="42" t="s">
        <v>3892</v>
      </c>
    </row>
    <row r="324" spans="1:23" ht="30">
      <c r="A324" s="40">
        <v>322</v>
      </c>
      <c r="B324" s="41">
        <v>2154027086</v>
      </c>
      <c r="C324" s="42" t="s">
        <v>5918</v>
      </c>
      <c r="D324" s="42" t="s">
        <v>760</v>
      </c>
      <c r="E324" s="43" t="s">
        <v>2183</v>
      </c>
      <c r="F324" s="42" t="s">
        <v>821</v>
      </c>
      <c r="G324" s="42" t="s">
        <v>5919</v>
      </c>
      <c r="H324" s="43"/>
      <c r="I324" s="42"/>
      <c r="J324" s="42" t="s">
        <v>5920</v>
      </c>
      <c r="K324" s="42" t="s">
        <v>1895</v>
      </c>
      <c r="L324" s="42" t="s">
        <v>5921</v>
      </c>
      <c r="M324" s="42" t="s">
        <v>5922</v>
      </c>
      <c r="N324" s="42" t="s">
        <v>5923</v>
      </c>
      <c r="O324" s="42"/>
      <c r="P324" s="42" t="s">
        <v>5924</v>
      </c>
      <c r="Q324" s="42"/>
      <c r="R324" s="42" t="s">
        <v>91</v>
      </c>
      <c r="S324" s="42" t="s">
        <v>29</v>
      </c>
      <c r="T324" s="42" t="s">
        <v>4968</v>
      </c>
      <c r="U324" s="42" t="s">
        <v>498</v>
      </c>
      <c r="V324" s="44" t="s">
        <v>5716</v>
      </c>
      <c r="W324" s="42" t="s">
        <v>3892</v>
      </c>
    </row>
    <row r="325" spans="1:23" ht="30">
      <c r="A325" s="40">
        <v>323</v>
      </c>
      <c r="B325" s="41">
        <v>2154027319</v>
      </c>
      <c r="C325" s="42" t="s">
        <v>40</v>
      </c>
      <c r="D325" s="42" t="s">
        <v>765</v>
      </c>
      <c r="E325" s="43" t="s">
        <v>7254</v>
      </c>
      <c r="F325" s="42" t="s">
        <v>3967</v>
      </c>
      <c r="G325" s="42" t="s">
        <v>5925</v>
      </c>
      <c r="H325" s="43"/>
      <c r="I325" s="42"/>
      <c r="J325" s="42" t="s">
        <v>5926</v>
      </c>
      <c r="K325" s="42" t="s">
        <v>1895</v>
      </c>
      <c r="L325" s="42" t="s">
        <v>634</v>
      </c>
      <c r="M325" s="42" t="s">
        <v>5927</v>
      </c>
      <c r="N325" s="42" t="s">
        <v>1542</v>
      </c>
      <c r="O325" s="42"/>
      <c r="P325" s="42" t="s">
        <v>5928</v>
      </c>
      <c r="Q325" s="42"/>
      <c r="R325" s="42" t="s">
        <v>91</v>
      </c>
      <c r="S325" s="42" t="s">
        <v>29</v>
      </c>
      <c r="T325" s="42" t="s">
        <v>4968</v>
      </c>
      <c r="U325" s="42" t="s">
        <v>498</v>
      </c>
      <c r="V325" s="44" t="s">
        <v>5716</v>
      </c>
      <c r="W325" s="42" t="s">
        <v>3892</v>
      </c>
    </row>
    <row r="326" spans="1:23" ht="30">
      <c r="A326" s="40">
        <v>324</v>
      </c>
      <c r="B326" s="41">
        <v>2154027663</v>
      </c>
      <c r="C326" s="42" t="s">
        <v>5929</v>
      </c>
      <c r="D326" s="42" t="s">
        <v>760</v>
      </c>
      <c r="E326" s="43" t="s">
        <v>7103</v>
      </c>
      <c r="F326" s="42" t="s">
        <v>780</v>
      </c>
      <c r="G326" s="42" t="s">
        <v>5930</v>
      </c>
      <c r="H326" s="43"/>
      <c r="I326" s="42"/>
      <c r="J326" s="42" t="s">
        <v>5931</v>
      </c>
      <c r="K326" s="42" t="s">
        <v>1895</v>
      </c>
      <c r="L326" s="42" t="s">
        <v>688</v>
      </c>
      <c r="M326" s="42" t="s">
        <v>5932</v>
      </c>
      <c r="N326" s="42" t="s">
        <v>5933</v>
      </c>
      <c r="O326" s="42"/>
      <c r="P326" s="42" t="s">
        <v>5934</v>
      </c>
      <c r="Q326" s="42"/>
      <c r="R326" s="42" t="s">
        <v>91</v>
      </c>
      <c r="S326" s="42" t="s">
        <v>29</v>
      </c>
      <c r="T326" s="42" t="s">
        <v>4968</v>
      </c>
      <c r="U326" s="42" t="s">
        <v>498</v>
      </c>
      <c r="V326" s="44" t="s">
        <v>5716</v>
      </c>
      <c r="W326" s="42" t="s">
        <v>3892</v>
      </c>
    </row>
    <row r="327" spans="1:23" ht="30">
      <c r="A327" s="40">
        <v>325</v>
      </c>
      <c r="B327" s="41">
        <v>2154027672</v>
      </c>
      <c r="C327" s="42" t="s">
        <v>31</v>
      </c>
      <c r="D327" s="42" t="s">
        <v>765</v>
      </c>
      <c r="E327" s="43" t="s">
        <v>7155</v>
      </c>
      <c r="F327" s="42" t="s">
        <v>5935</v>
      </c>
      <c r="G327" s="42" t="s">
        <v>5936</v>
      </c>
      <c r="H327" s="43"/>
      <c r="I327" s="42"/>
      <c r="J327" s="42" t="s">
        <v>5937</v>
      </c>
      <c r="K327" s="42" t="s">
        <v>1895</v>
      </c>
      <c r="L327" s="42" t="s">
        <v>697</v>
      </c>
      <c r="M327" s="42" t="s">
        <v>5938</v>
      </c>
      <c r="N327" s="42" t="s">
        <v>5939</v>
      </c>
      <c r="O327" s="42"/>
      <c r="P327" s="42" t="s">
        <v>5940</v>
      </c>
      <c r="Q327" s="42"/>
      <c r="R327" s="42" t="s">
        <v>91</v>
      </c>
      <c r="S327" s="42" t="s">
        <v>29</v>
      </c>
      <c r="T327" s="42" t="s">
        <v>4968</v>
      </c>
      <c r="U327" s="42" t="s">
        <v>498</v>
      </c>
      <c r="V327" s="44" t="s">
        <v>5716</v>
      </c>
      <c r="W327" s="42" t="s">
        <v>3892</v>
      </c>
    </row>
    <row r="328" spans="1:23" ht="30">
      <c r="A328" s="40">
        <v>326</v>
      </c>
      <c r="B328" s="41">
        <v>2154027714</v>
      </c>
      <c r="C328" s="42" t="s">
        <v>5941</v>
      </c>
      <c r="D328" s="42" t="s">
        <v>760</v>
      </c>
      <c r="E328" s="43" t="s">
        <v>7255</v>
      </c>
      <c r="F328" s="42" t="s">
        <v>3967</v>
      </c>
      <c r="G328" s="42" t="s">
        <v>5942</v>
      </c>
      <c r="H328" s="43"/>
      <c r="I328" s="42"/>
      <c r="J328" s="42" t="s">
        <v>5943</v>
      </c>
      <c r="K328" s="42" t="s">
        <v>1895</v>
      </c>
      <c r="L328" s="42" t="s">
        <v>5944</v>
      </c>
      <c r="M328" s="42" t="s">
        <v>5945</v>
      </c>
      <c r="N328" s="42" t="s">
        <v>5946</v>
      </c>
      <c r="O328" s="42"/>
      <c r="P328" s="42" t="s">
        <v>5947</v>
      </c>
      <c r="Q328" s="42"/>
      <c r="R328" s="42" t="s">
        <v>91</v>
      </c>
      <c r="S328" s="42" t="s">
        <v>29</v>
      </c>
      <c r="T328" s="42" t="s">
        <v>4968</v>
      </c>
      <c r="U328" s="42" t="s">
        <v>498</v>
      </c>
      <c r="V328" s="44" t="s">
        <v>5716</v>
      </c>
      <c r="W328" s="42" t="s">
        <v>3892</v>
      </c>
    </row>
    <row r="329" spans="1:23" ht="30">
      <c r="A329" s="40">
        <v>327</v>
      </c>
      <c r="B329" s="41">
        <v>2154027088</v>
      </c>
      <c r="C329" s="42" t="s">
        <v>5948</v>
      </c>
      <c r="D329" s="42" t="s">
        <v>765</v>
      </c>
      <c r="E329" s="43" t="s">
        <v>7194</v>
      </c>
      <c r="F329" s="42" t="s">
        <v>899</v>
      </c>
      <c r="G329" s="42" t="s">
        <v>5949</v>
      </c>
      <c r="H329" s="43"/>
      <c r="I329" s="42"/>
      <c r="J329" s="42" t="s">
        <v>5950</v>
      </c>
      <c r="K329" s="42" t="s">
        <v>1895</v>
      </c>
      <c r="L329" s="42" t="s">
        <v>5951</v>
      </c>
      <c r="M329" s="42" t="s">
        <v>5952</v>
      </c>
      <c r="N329" s="42" t="s">
        <v>5953</v>
      </c>
      <c r="O329" s="42"/>
      <c r="P329" s="42" t="s">
        <v>5954</v>
      </c>
      <c r="Q329" s="42"/>
      <c r="R329" s="42" t="s">
        <v>91</v>
      </c>
      <c r="S329" s="42" t="s">
        <v>29</v>
      </c>
      <c r="T329" s="42" t="s">
        <v>4968</v>
      </c>
      <c r="U329" s="42" t="s">
        <v>498</v>
      </c>
      <c r="V329" s="44" t="s">
        <v>5716</v>
      </c>
      <c r="W329" s="42" t="s">
        <v>3892</v>
      </c>
    </row>
    <row r="330" spans="1:23" ht="30">
      <c r="A330" s="40">
        <v>328</v>
      </c>
      <c r="B330" s="41">
        <v>2154027736</v>
      </c>
      <c r="C330" s="42" t="s">
        <v>86</v>
      </c>
      <c r="D330" s="42" t="s">
        <v>765</v>
      </c>
      <c r="E330" s="43" t="s">
        <v>7167</v>
      </c>
      <c r="F330" s="42" t="s">
        <v>3938</v>
      </c>
      <c r="G330" s="42" t="s">
        <v>5955</v>
      </c>
      <c r="H330" s="43"/>
      <c r="I330" s="42"/>
      <c r="J330" s="42" t="s">
        <v>5956</v>
      </c>
      <c r="K330" s="42" t="s">
        <v>1895</v>
      </c>
      <c r="L330" s="42" t="s">
        <v>5957</v>
      </c>
      <c r="M330" s="42" t="s">
        <v>5958</v>
      </c>
      <c r="N330" s="42" t="s">
        <v>5959</v>
      </c>
      <c r="O330" s="42"/>
      <c r="P330" s="42" t="s">
        <v>4105</v>
      </c>
      <c r="Q330" s="42"/>
      <c r="R330" s="42" t="s">
        <v>91</v>
      </c>
      <c r="S330" s="42" t="s">
        <v>29</v>
      </c>
      <c r="T330" s="42" t="s">
        <v>4968</v>
      </c>
      <c r="U330" s="42" t="s">
        <v>498</v>
      </c>
      <c r="V330" s="44" t="s">
        <v>5716</v>
      </c>
      <c r="W330" s="42" t="s">
        <v>3892</v>
      </c>
    </row>
    <row r="331" spans="1:23" ht="90">
      <c r="A331" s="40">
        <v>329</v>
      </c>
      <c r="B331" s="41">
        <v>2154027090</v>
      </c>
      <c r="C331" s="42" t="s">
        <v>5960</v>
      </c>
      <c r="D331" s="42" t="s">
        <v>760</v>
      </c>
      <c r="E331" s="43" t="s">
        <v>7133</v>
      </c>
      <c r="F331" s="42" t="s">
        <v>804</v>
      </c>
      <c r="G331" s="42" t="s">
        <v>5961</v>
      </c>
      <c r="H331" s="43">
        <v>43521</v>
      </c>
      <c r="I331" s="42" t="s">
        <v>804</v>
      </c>
      <c r="J331" s="42" t="s">
        <v>5962</v>
      </c>
      <c r="K331" s="42" t="s">
        <v>1895</v>
      </c>
      <c r="L331" s="42" t="s">
        <v>1901</v>
      </c>
      <c r="M331" s="42" t="s">
        <v>5963</v>
      </c>
      <c r="N331" s="42" t="s">
        <v>5964</v>
      </c>
      <c r="O331" s="42" t="s">
        <v>5965</v>
      </c>
      <c r="P331" s="42" t="s">
        <v>5966</v>
      </c>
      <c r="Q331" s="42" t="s">
        <v>5962</v>
      </c>
      <c r="R331" s="42" t="s">
        <v>91</v>
      </c>
      <c r="S331" s="42" t="s">
        <v>29</v>
      </c>
      <c r="T331" s="42" t="s">
        <v>4968</v>
      </c>
      <c r="U331" s="42" t="s">
        <v>498</v>
      </c>
      <c r="V331" s="44" t="s">
        <v>5967</v>
      </c>
      <c r="W331" s="42" t="s">
        <v>3905</v>
      </c>
    </row>
    <row r="332" spans="1:23" ht="30">
      <c r="A332" s="40">
        <v>330</v>
      </c>
      <c r="B332" s="41">
        <v>2154027659</v>
      </c>
      <c r="C332" s="42" t="s">
        <v>1910</v>
      </c>
      <c r="D332" s="42" t="s">
        <v>765</v>
      </c>
      <c r="E332" s="43" t="s">
        <v>7194</v>
      </c>
      <c r="F332" s="42" t="s">
        <v>4845</v>
      </c>
      <c r="G332" s="42" t="s">
        <v>5968</v>
      </c>
      <c r="H332" s="43"/>
      <c r="I332" s="42"/>
      <c r="J332" s="42" t="s">
        <v>5969</v>
      </c>
      <c r="K332" s="42" t="s">
        <v>1895</v>
      </c>
      <c r="L332" s="42" t="s">
        <v>684</v>
      </c>
      <c r="M332" s="42" t="s">
        <v>5970</v>
      </c>
      <c r="N332" s="42" t="s">
        <v>5971</v>
      </c>
      <c r="O332" s="42"/>
      <c r="P332" s="42" t="s">
        <v>5972</v>
      </c>
      <c r="Q332" s="42"/>
      <c r="R332" s="42" t="s">
        <v>91</v>
      </c>
      <c r="S332" s="42" t="s">
        <v>29</v>
      </c>
      <c r="T332" s="42" t="s">
        <v>4968</v>
      </c>
      <c r="U332" s="42" t="s">
        <v>498</v>
      </c>
      <c r="V332" s="44" t="s">
        <v>5716</v>
      </c>
      <c r="W332" s="42" t="s">
        <v>3892</v>
      </c>
    </row>
    <row r="333" spans="1:23" ht="30">
      <c r="A333" s="40">
        <v>331</v>
      </c>
      <c r="B333" s="41">
        <v>2154027093</v>
      </c>
      <c r="C333" s="42" t="s">
        <v>5973</v>
      </c>
      <c r="D333" s="42" t="s">
        <v>765</v>
      </c>
      <c r="E333" s="43" t="s">
        <v>7256</v>
      </c>
      <c r="F333" s="42" t="s">
        <v>5974</v>
      </c>
      <c r="G333" s="42" t="s">
        <v>5975</v>
      </c>
      <c r="H333" s="43"/>
      <c r="I333" s="42"/>
      <c r="J333" s="42" t="s">
        <v>5976</v>
      </c>
      <c r="K333" s="42" t="s">
        <v>1895</v>
      </c>
      <c r="L333" s="42" t="s">
        <v>5977</v>
      </c>
      <c r="M333" s="42" t="s">
        <v>5978</v>
      </c>
      <c r="N333" s="42" t="s">
        <v>5979</v>
      </c>
      <c r="O333" s="42"/>
      <c r="P333" s="42" t="s">
        <v>5980</v>
      </c>
      <c r="Q333" s="42"/>
      <c r="R333" s="42" t="s">
        <v>91</v>
      </c>
      <c r="S333" s="42" t="s">
        <v>29</v>
      </c>
      <c r="T333" s="42" t="s">
        <v>4968</v>
      </c>
      <c r="U333" s="42" t="s">
        <v>498</v>
      </c>
      <c r="V333" s="44" t="s">
        <v>5716</v>
      </c>
      <c r="W333" s="42" t="s">
        <v>3892</v>
      </c>
    </row>
    <row r="334" spans="1:23" ht="30">
      <c r="A334" s="40">
        <v>332</v>
      </c>
      <c r="B334" s="41">
        <v>2154027094</v>
      </c>
      <c r="C334" s="42" t="s">
        <v>75</v>
      </c>
      <c r="D334" s="42" t="s">
        <v>765</v>
      </c>
      <c r="E334" s="43" t="s">
        <v>7108</v>
      </c>
      <c r="F334" s="42" t="s">
        <v>3900</v>
      </c>
      <c r="G334" s="42" t="s">
        <v>5981</v>
      </c>
      <c r="H334" s="43"/>
      <c r="I334" s="42"/>
      <c r="J334" s="42" t="s">
        <v>5982</v>
      </c>
      <c r="K334" s="42" t="s">
        <v>1895</v>
      </c>
      <c r="L334" s="42" t="s">
        <v>5983</v>
      </c>
      <c r="M334" s="42" t="s">
        <v>5984</v>
      </c>
      <c r="N334" s="42" t="s">
        <v>5985</v>
      </c>
      <c r="O334" s="42"/>
      <c r="P334" s="42" t="s">
        <v>5986</v>
      </c>
      <c r="Q334" s="42"/>
      <c r="R334" s="42" t="s">
        <v>91</v>
      </c>
      <c r="S334" s="42" t="s">
        <v>29</v>
      </c>
      <c r="T334" s="42" t="s">
        <v>4968</v>
      </c>
      <c r="U334" s="42" t="s">
        <v>498</v>
      </c>
      <c r="V334" s="44" t="s">
        <v>5716</v>
      </c>
      <c r="W334" s="42" t="s">
        <v>3892</v>
      </c>
    </row>
    <row r="335" spans="1:23" ht="30">
      <c r="A335" s="40">
        <v>333</v>
      </c>
      <c r="B335" s="41">
        <v>2154027096</v>
      </c>
      <c r="C335" s="42" t="s">
        <v>5987</v>
      </c>
      <c r="D335" s="42" t="s">
        <v>765</v>
      </c>
      <c r="E335" s="43" t="s">
        <v>7164</v>
      </c>
      <c r="F335" s="42" t="s">
        <v>3900</v>
      </c>
      <c r="G335" s="42" t="s">
        <v>5988</v>
      </c>
      <c r="H335" s="43"/>
      <c r="I335" s="42"/>
      <c r="J335" s="42" t="s">
        <v>5989</v>
      </c>
      <c r="K335" s="42" t="s">
        <v>1895</v>
      </c>
      <c r="L335" s="42" t="s">
        <v>5990</v>
      </c>
      <c r="M335" s="42" t="s">
        <v>5991</v>
      </c>
      <c r="N335" s="42" t="s">
        <v>5992</v>
      </c>
      <c r="O335" s="42"/>
      <c r="P335" s="42" t="s">
        <v>5993</v>
      </c>
      <c r="Q335" s="42"/>
      <c r="R335" s="42" t="s">
        <v>91</v>
      </c>
      <c r="S335" s="42" t="s">
        <v>29</v>
      </c>
      <c r="T335" s="42" t="s">
        <v>4968</v>
      </c>
      <c r="U335" s="42" t="s">
        <v>498</v>
      </c>
      <c r="V335" s="44" t="s">
        <v>5716</v>
      </c>
      <c r="W335" s="42" t="s">
        <v>3892</v>
      </c>
    </row>
    <row r="336" spans="1:23" ht="135">
      <c r="A336" s="40">
        <v>334</v>
      </c>
      <c r="B336" s="41">
        <v>2154027737</v>
      </c>
      <c r="C336" s="42" t="s">
        <v>5994</v>
      </c>
      <c r="D336" s="42" t="s">
        <v>760</v>
      </c>
      <c r="E336" s="43" t="s">
        <v>3623</v>
      </c>
      <c r="F336" s="42" t="s">
        <v>828</v>
      </c>
      <c r="G336" s="42" t="s">
        <v>5995</v>
      </c>
      <c r="H336" s="43"/>
      <c r="I336" s="42"/>
      <c r="J336" s="42" t="s">
        <v>5996</v>
      </c>
      <c r="K336" s="42" t="s">
        <v>1895</v>
      </c>
      <c r="L336" s="42" t="s">
        <v>5997</v>
      </c>
      <c r="M336" s="42" t="s">
        <v>5998</v>
      </c>
      <c r="N336" s="42" t="s">
        <v>920</v>
      </c>
      <c r="O336" s="42"/>
      <c r="P336" s="42" t="s">
        <v>5999</v>
      </c>
      <c r="Q336" s="42"/>
      <c r="R336" s="42" t="s">
        <v>91</v>
      </c>
      <c r="S336" s="42" t="s">
        <v>29</v>
      </c>
      <c r="T336" s="42" t="s">
        <v>4968</v>
      </c>
      <c r="U336" s="42" t="s">
        <v>498</v>
      </c>
      <c r="V336" s="44" t="s">
        <v>6000</v>
      </c>
      <c r="W336" s="42" t="s">
        <v>3905</v>
      </c>
    </row>
    <row r="337" spans="1:23" ht="30">
      <c r="A337" s="40">
        <v>335</v>
      </c>
      <c r="B337" s="41">
        <v>2154027259</v>
      </c>
      <c r="C337" s="42" t="s">
        <v>4425</v>
      </c>
      <c r="D337" s="42" t="s">
        <v>765</v>
      </c>
      <c r="E337" s="43" t="s">
        <v>7198</v>
      </c>
      <c r="F337" s="42" t="s">
        <v>6001</v>
      </c>
      <c r="G337" s="42" t="s">
        <v>6002</v>
      </c>
      <c r="H337" s="43"/>
      <c r="I337" s="42"/>
      <c r="J337" s="42" t="s">
        <v>6003</v>
      </c>
      <c r="K337" s="42" t="s">
        <v>1895</v>
      </c>
      <c r="L337" s="42" t="s">
        <v>6004</v>
      </c>
      <c r="M337" s="42" t="s">
        <v>6005</v>
      </c>
      <c r="N337" s="42" t="s">
        <v>6006</v>
      </c>
      <c r="O337" s="42"/>
      <c r="P337" s="42" t="s">
        <v>6007</v>
      </c>
      <c r="Q337" s="42"/>
      <c r="R337" s="42" t="s">
        <v>91</v>
      </c>
      <c r="S337" s="42" t="s">
        <v>29</v>
      </c>
      <c r="T337" s="42" t="s">
        <v>4968</v>
      </c>
      <c r="U337" s="42" t="s">
        <v>498</v>
      </c>
      <c r="V337" s="44" t="s">
        <v>5716</v>
      </c>
      <c r="W337" s="42" t="s">
        <v>3892</v>
      </c>
    </row>
    <row r="338" spans="1:23" ht="30">
      <c r="A338" s="40">
        <v>336</v>
      </c>
      <c r="B338" s="41">
        <v>2154027325</v>
      </c>
      <c r="C338" s="42" t="s">
        <v>6008</v>
      </c>
      <c r="D338" s="42" t="s">
        <v>760</v>
      </c>
      <c r="E338" s="43" t="s">
        <v>7093</v>
      </c>
      <c r="F338" s="42" t="s">
        <v>828</v>
      </c>
      <c r="G338" s="42" t="s">
        <v>6009</v>
      </c>
      <c r="H338" s="43">
        <v>44329</v>
      </c>
      <c r="I338" s="42"/>
      <c r="J338" s="42" t="s">
        <v>6010</v>
      </c>
      <c r="K338" s="42" t="s">
        <v>1895</v>
      </c>
      <c r="L338" s="42" t="s">
        <v>640</v>
      </c>
      <c r="M338" s="42" t="s">
        <v>6011</v>
      </c>
      <c r="N338" s="42" t="s">
        <v>6012</v>
      </c>
      <c r="O338" s="42"/>
      <c r="P338" s="42" t="s">
        <v>6013</v>
      </c>
      <c r="Q338" s="42"/>
      <c r="R338" s="42" t="s">
        <v>91</v>
      </c>
      <c r="S338" s="42" t="s">
        <v>29</v>
      </c>
      <c r="T338" s="42" t="s">
        <v>4968</v>
      </c>
      <c r="U338" s="42" t="s">
        <v>498</v>
      </c>
      <c r="V338" s="44" t="s">
        <v>5716</v>
      </c>
      <c r="W338" s="42" t="s">
        <v>3892</v>
      </c>
    </row>
    <row r="339" spans="1:23" ht="30">
      <c r="A339" s="40">
        <v>337</v>
      </c>
      <c r="B339" s="41">
        <v>2154027374</v>
      </c>
      <c r="C339" s="42" t="s">
        <v>3837</v>
      </c>
      <c r="D339" s="42" t="s">
        <v>760</v>
      </c>
      <c r="E339" s="43" t="s">
        <v>3838</v>
      </c>
      <c r="F339" s="42" t="s">
        <v>861</v>
      </c>
      <c r="G339" s="42" t="s">
        <v>6014</v>
      </c>
      <c r="H339" s="43"/>
      <c r="I339" s="42"/>
      <c r="J339" s="42" t="s">
        <v>6015</v>
      </c>
      <c r="K339" s="42" t="s">
        <v>1895</v>
      </c>
      <c r="L339" s="42" t="s">
        <v>554</v>
      </c>
      <c r="M339" s="42" t="s">
        <v>6016</v>
      </c>
      <c r="N339" s="42" t="s">
        <v>6017</v>
      </c>
      <c r="O339" s="42"/>
      <c r="P339" s="42" t="s">
        <v>6018</v>
      </c>
      <c r="Q339" s="42"/>
      <c r="R339" s="42" t="s">
        <v>91</v>
      </c>
      <c r="S339" s="42" t="s">
        <v>29</v>
      </c>
      <c r="T339" s="42" t="s">
        <v>4968</v>
      </c>
      <c r="U339" s="42" t="s">
        <v>498</v>
      </c>
      <c r="V339" s="44" t="s">
        <v>5716</v>
      </c>
      <c r="W339" s="42" t="s">
        <v>3892</v>
      </c>
    </row>
    <row r="340" spans="1:23" ht="30">
      <c r="A340" s="40">
        <v>338</v>
      </c>
      <c r="B340" s="41">
        <v>2154027261</v>
      </c>
      <c r="C340" s="42" t="s">
        <v>6019</v>
      </c>
      <c r="D340" s="42" t="s">
        <v>760</v>
      </c>
      <c r="E340" s="43" t="s">
        <v>1270</v>
      </c>
      <c r="F340" s="42" t="s">
        <v>817</v>
      </c>
      <c r="G340" s="42" t="s">
        <v>6020</v>
      </c>
      <c r="H340" s="43"/>
      <c r="I340" s="42"/>
      <c r="J340" s="42" t="s">
        <v>6021</v>
      </c>
      <c r="K340" s="42" t="s">
        <v>1895</v>
      </c>
      <c r="L340" s="42" t="s">
        <v>6022</v>
      </c>
      <c r="M340" s="42" t="s">
        <v>6023</v>
      </c>
      <c r="N340" s="42" t="s">
        <v>6024</v>
      </c>
      <c r="O340" s="42"/>
      <c r="P340" s="42" t="s">
        <v>6025</v>
      </c>
      <c r="Q340" s="42"/>
      <c r="R340" s="42" t="s">
        <v>91</v>
      </c>
      <c r="S340" s="42" t="s">
        <v>29</v>
      </c>
      <c r="T340" s="42" t="s">
        <v>4968</v>
      </c>
      <c r="U340" s="42" t="s">
        <v>498</v>
      </c>
      <c r="V340" s="44" t="s">
        <v>5716</v>
      </c>
      <c r="W340" s="42" t="s">
        <v>3892</v>
      </c>
    </row>
    <row r="341" spans="1:23" ht="30">
      <c r="A341" s="40">
        <v>339</v>
      </c>
      <c r="B341" s="41">
        <v>2154027262</v>
      </c>
      <c r="C341" s="42" t="s">
        <v>77</v>
      </c>
      <c r="D341" s="42" t="s">
        <v>765</v>
      </c>
      <c r="E341" s="43" t="s">
        <v>1656</v>
      </c>
      <c r="F341" s="42"/>
      <c r="G341" s="42" t="s">
        <v>6026</v>
      </c>
      <c r="H341" s="43"/>
      <c r="I341" s="42"/>
      <c r="J341" s="42" t="s">
        <v>6027</v>
      </c>
      <c r="K341" s="42" t="s">
        <v>6028</v>
      </c>
      <c r="L341" s="42" t="s">
        <v>6028</v>
      </c>
      <c r="M341" s="42" t="s">
        <v>6029</v>
      </c>
      <c r="N341" s="42"/>
      <c r="O341" s="42"/>
      <c r="P341" s="42"/>
      <c r="Q341" s="42"/>
      <c r="R341" s="42" t="s">
        <v>91</v>
      </c>
      <c r="S341" s="42" t="s">
        <v>29</v>
      </c>
      <c r="T341" s="42" t="s">
        <v>4968</v>
      </c>
      <c r="U341" s="42" t="s">
        <v>498</v>
      </c>
      <c r="V341" s="44" t="s">
        <v>5716</v>
      </c>
      <c r="W341" s="42" t="s">
        <v>3892</v>
      </c>
    </row>
    <row r="342" spans="1:23" ht="30">
      <c r="A342" s="40">
        <v>340</v>
      </c>
      <c r="B342" s="41">
        <v>2154027264</v>
      </c>
      <c r="C342" s="42" t="s">
        <v>6030</v>
      </c>
      <c r="D342" s="42" t="s">
        <v>765</v>
      </c>
      <c r="E342" s="43" t="s">
        <v>3019</v>
      </c>
      <c r="F342" s="42" t="s">
        <v>958</v>
      </c>
      <c r="G342" s="42" t="s">
        <v>6031</v>
      </c>
      <c r="H342" s="43"/>
      <c r="I342" s="42"/>
      <c r="J342" s="42" t="s">
        <v>6032</v>
      </c>
      <c r="K342" s="42" t="s">
        <v>1895</v>
      </c>
      <c r="L342" s="42" t="s">
        <v>6033</v>
      </c>
      <c r="M342" s="42" t="s">
        <v>6034</v>
      </c>
      <c r="N342" s="42" t="s">
        <v>6035</v>
      </c>
      <c r="O342" s="42"/>
      <c r="P342" s="42" t="s">
        <v>6036</v>
      </c>
      <c r="Q342" s="42"/>
      <c r="R342" s="42" t="s">
        <v>91</v>
      </c>
      <c r="S342" s="42" t="s">
        <v>29</v>
      </c>
      <c r="T342" s="42" t="s">
        <v>4968</v>
      </c>
      <c r="U342" s="42" t="s">
        <v>498</v>
      </c>
      <c r="V342" s="44" t="s">
        <v>5716</v>
      </c>
      <c r="W342" s="42" t="s">
        <v>3892</v>
      </c>
    </row>
    <row r="343" spans="1:23" ht="30">
      <c r="A343" s="40">
        <v>341</v>
      </c>
      <c r="B343" s="41">
        <v>2154027689</v>
      </c>
      <c r="C343" s="42" t="s">
        <v>67</v>
      </c>
      <c r="D343" s="42" t="s">
        <v>760</v>
      </c>
      <c r="E343" s="43" t="s">
        <v>2770</v>
      </c>
      <c r="F343" s="42" t="s">
        <v>1022</v>
      </c>
      <c r="G343" s="42" t="s">
        <v>6037</v>
      </c>
      <c r="H343" s="43"/>
      <c r="I343" s="42"/>
      <c r="J343" s="42" t="s">
        <v>6038</v>
      </c>
      <c r="K343" s="42" t="s">
        <v>1895</v>
      </c>
      <c r="L343" s="42" t="s">
        <v>714</v>
      </c>
      <c r="M343" s="42" t="s">
        <v>6039</v>
      </c>
      <c r="N343" s="42" t="s">
        <v>6040</v>
      </c>
      <c r="O343" s="42"/>
      <c r="P343" s="42" t="s">
        <v>6041</v>
      </c>
      <c r="Q343" s="42"/>
      <c r="R343" s="42" t="s">
        <v>91</v>
      </c>
      <c r="S343" s="42" t="s">
        <v>29</v>
      </c>
      <c r="T343" s="42" t="s">
        <v>4968</v>
      </c>
      <c r="U343" s="42" t="s">
        <v>498</v>
      </c>
      <c r="V343" s="44" t="s">
        <v>5716</v>
      </c>
      <c r="W343" s="42" t="s">
        <v>3892</v>
      </c>
    </row>
    <row r="344" spans="1:23" ht="30">
      <c r="A344" s="40">
        <v>342</v>
      </c>
      <c r="B344" s="41">
        <v>2154027738</v>
      </c>
      <c r="C344" s="42" t="s">
        <v>6042</v>
      </c>
      <c r="D344" s="42" t="s">
        <v>765</v>
      </c>
      <c r="E344" s="43" t="s">
        <v>7257</v>
      </c>
      <c r="F344" s="42" t="s">
        <v>6043</v>
      </c>
      <c r="G344" s="42" t="s">
        <v>6044</v>
      </c>
      <c r="H344" s="43"/>
      <c r="I344" s="42"/>
      <c r="J344" s="42" t="s">
        <v>6045</v>
      </c>
      <c r="K344" s="42" t="s">
        <v>1895</v>
      </c>
      <c r="L344" s="42" t="s">
        <v>6046</v>
      </c>
      <c r="M344" s="42" t="s">
        <v>5403</v>
      </c>
      <c r="N344" s="42" t="s">
        <v>6047</v>
      </c>
      <c r="O344" s="42"/>
      <c r="P344" s="42" t="s">
        <v>6048</v>
      </c>
      <c r="Q344" s="42"/>
      <c r="R344" s="42" t="s">
        <v>91</v>
      </c>
      <c r="S344" s="42" t="s">
        <v>29</v>
      </c>
      <c r="T344" s="42" t="s">
        <v>4968</v>
      </c>
      <c r="U344" s="42" t="s">
        <v>498</v>
      </c>
      <c r="V344" s="44" t="s">
        <v>5716</v>
      </c>
      <c r="W344" s="42" t="s">
        <v>3892</v>
      </c>
    </row>
    <row r="345" spans="1:23" ht="30">
      <c r="A345" s="40">
        <v>343</v>
      </c>
      <c r="B345" s="41">
        <v>2154027107</v>
      </c>
      <c r="C345" s="42" t="s">
        <v>6049</v>
      </c>
      <c r="D345" s="42" t="s">
        <v>765</v>
      </c>
      <c r="E345" s="43" t="s">
        <v>3712</v>
      </c>
      <c r="F345" s="42" t="s">
        <v>3900</v>
      </c>
      <c r="G345" s="42" t="s">
        <v>6050</v>
      </c>
      <c r="H345" s="43"/>
      <c r="I345" s="42"/>
      <c r="J345" s="42" t="s">
        <v>6051</v>
      </c>
      <c r="K345" s="42" t="s">
        <v>1895</v>
      </c>
      <c r="L345" s="42" t="s">
        <v>6052</v>
      </c>
      <c r="M345" s="42" t="s">
        <v>6053</v>
      </c>
      <c r="N345" s="42" t="s">
        <v>6054</v>
      </c>
      <c r="O345" s="42"/>
      <c r="P345" s="42" t="s">
        <v>6055</v>
      </c>
      <c r="Q345" s="42"/>
      <c r="R345" s="42" t="s">
        <v>91</v>
      </c>
      <c r="S345" s="42" t="s">
        <v>29</v>
      </c>
      <c r="T345" s="42" t="s">
        <v>4968</v>
      </c>
      <c r="U345" s="42" t="s">
        <v>498</v>
      </c>
      <c r="V345" s="44" t="s">
        <v>5716</v>
      </c>
      <c r="W345" s="42" t="s">
        <v>3892</v>
      </c>
    </row>
    <row r="346" spans="1:23" ht="60">
      <c r="A346" s="40">
        <v>344</v>
      </c>
      <c r="B346" s="41">
        <v>2154025061</v>
      </c>
      <c r="C346" s="42" t="s">
        <v>6056</v>
      </c>
      <c r="D346" s="42" t="s">
        <v>765</v>
      </c>
      <c r="E346" s="43" t="s">
        <v>7203</v>
      </c>
      <c r="F346" s="42" t="s">
        <v>6057</v>
      </c>
      <c r="G346" s="42" t="s">
        <v>6058</v>
      </c>
      <c r="H346" s="43">
        <v>44071</v>
      </c>
      <c r="I346" s="42" t="s">
        <v>6059</v>
      </c>
      <c r="J346" s="42" t="s">
        <v>6060</v>
      </c>
      <c r="K346" s="42" t="s">
        <v>1895</v>
      </c>
      <c r="L346" s="42" t="s">
        <v>1901</v>
      </c>
      <c r="M346" s="42" t="s">
        <v>6057</v>
      </c>
      <c r="N346" s="42" t="s">
        <v>6061</v>
      </c>
      <c r="O346" s="42" t="s">
        <v>6062</v>
      </c>
      <c r="P346" s="42" t="s">
        <v>5260</v>
      </c>
      <c r="Q346" s="42" t="s">
        <v>6063</v>
      </c>
      <c r="R346" s="42" t="s">
        <v>91</v>
      </c>
      <c r="S346" s="42" t="s">
        <v>29</v>
      </c>
      <c r="T346" s="42" t="s">
        <v>4968</v>
      </c>
      <c r="U346" s="42" t="s">
        <v>498</v>
      </c>
      <c r="V346" s="44" t="s">
        <v>6064</v>
      </c>
      <c r="W346" s="42" t="s">
        <v>3892</v>
      </c>
    </row>
    <row r="347" spans="1:23" ht="30">
      <c r="A347" s="40">
        <v>345</v>
      </c>
      <c r="B347" s="41">
        <v>2154027109</v>
      </c>
      <c r="C347" s="42" t="s">
        <v>6065</v>
      </c>
      <c r="D347" s="42" t="s">
        <v>760</v>
      </c>
      <c r="E347" s="43" t="s">
        <v>7258</v>
      </c>
      <c r="F347" s="42" t="s">
        <v>821</v>
      </c>
      <c r="G347" s="42" t="s">
        <v>6066</v>
      </c>
      <c r="H347" s="43">
        <v>44512</v>
      </c>
      <c r="I347" s="42" t="s">
        <v>6067</v>
      </c>
      <c r="J347" s="42" t="s">
        <v>6068</v>
      </c>
      <c r="K347" s="42" t="s">
        <v>1895</v>
      </c>
      <c r="L347" s="42" t="s">
        <v>1901</v>
      </c>
      <c r="M347" s="42" t="s">
        <v>6069</v>
      </c>
      <c r="N347" s="42" t="s">
        <v>6070</v>
      </c>
      <c r="O347" s="42"/>
      <c r="P347" s="42" t="s">
        <v>6071</v>
      </c>
      <c r="Q347" s="42"/>
      <c r="R347" s="42" t="s">
        <v>91</v>
      </c>
      <c r="S347" s="42" t="s">
        <v>29</v>
      </c>
      <c r="T347" s="42" t="s">
        <v>4968</v>
      </c>
      <c r="U347" s="42" t="s">
        <v>498</v>
      </c>
      <c r="V347" s="44" t="s">
        <v>5716</v>
      </c>
      <c r="W347" s="42" t="s">
        <v>3892</v>
      </c>
    </row>
    <row r="348" spans="1:23" ht="30">
      <c r="A348" s="40">
        <v>346</v>
      </c>
      <c r="B348" s="41">
        <v>2154027266</v>
      </c>
      <c r="C348" s="42" t="s">
        <v>6072</v>
      </c>
      <c r="D348" s="42" t="s">
        <v>760</v>
      </c>
      <c r="E348" s="43" t="s">
        <v>7176</v>
      </c>
      <c r="F348" s="42" t="s">
        <v>828</v>
      </c>
      <c r="G348" s="42" t="s">
        <v>6073</v>
      </c>
      <c r="H348" s="43">
        <v>44535</v>
      </c>
      <c r="I348" s="42"/>
      <c r="J348" s="42" t="s">
        <v>6074</v>
      </c>
      <c r="K348" s="42" t="s">
        <v>6075</v>
      </c>
      <c r="L348" s="42" t="s">
        <v>6075</v>
      </c>
      <c r="M348" s="42" t="s">
        <v>6076</v>
      </c>
      <c r="N348" s="42" t="s">
        <v>3822</v>
      </c>
      <c r="O348" s="42"/>
      <c r="P348" s="42" t="s">
        <v>6077</v>
      </c>
      <c r="Q348" s="42"/>
      <c r="R348" s="42" t="s">
        <v>91</v>
      </c>
      <c r="S348" s="42" t="s">
        <v>29</v>
      </c>
      <c r="T348" s="42" t="s">
        <v>4968</v>
      </c>
      <c r="U348" s="42" t="s">
        <v>498</v>
      </c>
      <c r="V348" s="44" t="s">
        <v>5716</v>
      </c>
      <c r="W348" s="42" t="s">
        <v>3892</v>
      </c>
    </row>
    <row r="349" spans="1:23" ht="30">
      <c r="A349" s="40">
        <v>347</v>
      </c>
      <c r="B349" s="41">
        <v>2154027668</v>
      </c>
      <c r="C349" s="42" t="s">
        <v>6078</v>
      </c>
      <c r="D349" s="42" t="s">
        <v>765</v>
      </c>
      <c r="E349" s="43" t="s">
        <v>3778</v>
      </c>
      <c r="F349" s="42" t="s">
        <v>776</v>
      </c>
      <c r="G349" s="42" t="s">
        <v>6079</v>
      </c>
      <c r="H349" s="43"/>
      <c r="I349" s="42"/>
      <c r="J349" s="42" t="s">
        <v>6080</v>
      </c>
      <c r="K349" s="42" t="s">
        <v>1895</v>
      </c>
      <c r="L349" s="42" t="s">
        <v>693</v>
      </c>
      <c r="M349" s="42" t="s">
        <v>6081</v>
      </c>
      <c r="N349" s="42" t="s">
        <v>6082</v>
      </c>
      <c r="O349" s="42"/>
      <c r="P349" s="42" t="s">
        <v>6083</v>
      </c>
      <c r="Q349" s="42"/>
      <c r="R349" s="42" t="s">
        <v>91</v>
      </c>
      <c r="S349" s="42" t="s">
        <v>29</v>
      </c>
      <c r="T349" s="42" t="s">
        <v>4968</v>
      </c>
      <c r="U349" s="42" t="s">
        <v>498</v>
      </c>
      <c r="V349" s="44" t="s">
        <v>5716</v>
      </c>
      <c r="W349" s="42" t="s">
        <v>3892</v>
      </c>
    </row>
    <row r="350" spans="1:23" ht="30">
      <c r="A350" s="40">
        <v>348</v>
      </c>
      <c r="B350" s="41">
        <v>2154027650</v>
      </c>
      <c r="C350" s="42" t="s">
        <v>84</v>
      </c>
      <c r="D350" s="42" t="s">
        <v>765</v>
      </c>
      <c r="E350" s="43" t="s">
        <v>7213</v>
      </c>
      <c r="F350" s="42" t="s">
        <v>6084</v>
      </c>
      <c r="G350" s="42" t="s">
        <v>6085</v>
      </c>
      <c r="H350" s="43"/>
      <c r="I350" s="42"/>
      <c r="J350" s="42" t="s">
        <v>6086</v>
      </c>
      <c r="K350" s="42" t="s">
        <v>675</v>
      </c>
      <c r="L350" s="42" t="s">
        <v>675</v>
      </c>
      <c r="M350" s="42" t="s">
        <v>6087</v>
      </c>
      <c r="N350" s="42" t="s">
        <v>6088</v>
      </c>
      <c r="O350" s="42"/>
      <c r="P350" s="42" t="s">
        <v>6089</v>
      </c>
      <c r="Q350" s="42"/>
      <c r="R350" s="42" t="s">
        <v>91</v>
      </c>
      <c r="S350" s="42" t="s">
        <v>29</v>
      </c>
      <c r="T350" s="42" t="s">
        <v>4968</v>
      </c>
      <c r="U350" s="42" t="s">
        <v>498</v>
      </c>
      <c r="V350" s="44" t="s">
        <v>5716</v>
      </c>
      <c r="W350" s="42" t="s">
        <v>3892</v>
      </c>
    </row>
    <row r="351" spans="1:23" ht="30">
      <c r="A351" s="40">
        <v>349</v>
      </c>
      <c r="B351" s="41">
        <v>2154027114</v>
      </c>
      <c r="C351" s="42" t="s">
        <v>6090</v>
      </c>
      <c r="D351" s="42" t="s">
        <v>760</v>
      </c>
      <c r="E351" s="43" t="s">
        <v>7259</v>
      </c>
      <c r="F351" s="42" t="s">
        <v>828</v>
      </c>
      <c r="G351" s="42" t="s">
        <v>6091</v>
      </c>
      <c r="H351" s="43"/>
      <c r="I351" s="42"/>
      <c r="J351" s="42" t="s">
        <v>6092</v>
      </c>
      <c r="K351" s="42" t="s">
        <v>1895</v>
      </c>
      <c r="L351" s="42" t="s">
        <v>6093</v>
      </c>
      <c r="M351" s="42" t="s">
        <v>6094</v>
      </c>
      <c r="N351" s="42" t="s">
        <v>6095</v>
      </c>
      <c r="O351" s="42"/>
      <c r="P351" s="42" t="s">
        <v>6096</v>
      </c>
      <c r="Q351" s="42"/>
      <c r="R351" s="42" t="s">
        <v>91</v>
      </c>
      <c r="S351" s="42" t="s">
        <v>29</v>
      </c>
      <c r="T351" s="42" t="s">
        <v>4968</v>
      </c>
      <c r="U351" s="42" t="s">
        <v>498</v>
      </c>
      <c r="V351" s="44" t="s">
        <v>5716</v>
      </c>
      <c r="W351" s="42" t="s">
        <v>3892</v>
      </c>
    </row>
    <row r="352" spans="1:23" ht="30">
      <c r="A352" s="40">
        <v>350</v>
      </c>
      <c r="B352" s="41">
        <v>2154027115</v>
      </c>
      <c r="C352" s="42" t="s">
        <v>6097</v>
      </c>
      <c r="D352" s="42" t="s">
        <v>760</v>
      </c>
      <c r="E352" s="43" t="s">
        <v>1475</v>
      </c>
      <c r="F352" s="42" t="s">
        <v>761</v>
      </c>
      <c r="G352" s="42" t="s">
        <v>6098</v>
      </c>
      <c r="H352" s="43"/>
      <c r="I352" s="42"/>
      <c r="J352" s="42" t="s">
        <v>6099</v>
      </c>
      <c r="K352" s="42" t="s">
        <v>1895</v>
      </c>
      <c r="L352" s="42" t="s">
        <v>6100</v>
      </c>
      <c r="M352" s="42" t="s">
        <v>6101</v>
      </c>
      <c r="N352" s="42" t="s">
        <v>5495</v>
      </c>
      <c r="O352" s="42"/>
      <c r="P352" s="42" t="s">
        <v>6102</v>
      </c>
      <c r="Q352" s="42"/>
      <c r="R352" s="42" t="s">
        <v>91</v>
      </c>
      <c r="S352" s="42" t="s">
        <v>29</v>
      </c>
      <c r="T352" s="42" t="s">
        <v>4968</v>
      </c>
      <c r="U352" s="42" t="s">
        <v>498</v>
      </c>
      <c r="V352" s="44" t="s">
        <v>5716</v>
      </c>
      <c r="W352" s="42" t="s">
        <v>3892</v>
      </c>
    </row>
    <row r="353" spans="1:23" ht="30">
      <c r="A353" s="40">
        <v>351</v>
      </c>
      <c r="B353" s="41">
        <v>2154027273</v>
      </c>
      <c r="C353" s="42" t="s">
        <v>42</v>
      </c>
      <c r="D353" s="42" t="s">
        <v>765</v>
      </c>
      <c r="E353" s="43" t="s">
        <v>3862</v>
      </c>
      <c r="F353" s="42" t="s">
        <v>899</v>
      </c>
      <c r="G353" s="42" t="s">
        <v>6103</v>
      </c>
      <c r="H353" s="43">
        <v>44329.583333333336</v>
      </c>
      <c r="I353" s="42" t="s">
        <v>5445</v>
      </c>
      <c r="J353" s="42" t="s">
        <v>6104</v>
      </c>
      <c r="K353" s="42" t="s">
        <v>1895</v>
      </c>
      <c r="L353" s="42" t="s">
        <v>6105</v>
      </c>
      <c r="M353" s="42" t="s">
        <v>6106</v>
      </c>
      <c r="N353" s="42" t="s">
        <v>6107</v>
      </c>
      <c r="O353" s="42"/>
      <c r="P353" s="42" t="s">
        <v>6108</v>
      </c>
      <c r="Q353" s="42"/>
      <c r="R353" s="42" t="s">
        <v>91</v>
      </c>
      <c r="S353" s="42" t="s">
        <v>29</v>
      </c>
      <c r="T353" s="42" t="s">
        <v>4968</v>
      </c>
      <c r="U353" s="42" t="s">
        <v>498</v>
      </c>
      <c r="V353" s="44" t="s">
        <v>5716</v>
      </c>
      <c r="W353" s="42" t="s">
        <v>3892</v>
      </c>
    </row>
    <row r="354" spans="1:23" ht="30">
      <c r="A354" s="40">
        <v>352</v>
      </c>
      <c r="B354" s="41">
        <v>2154027728</v>
      </c>
      <c r="C354" s="42" t="s">
        <v>6109</v>
      </c>
      <c r="D354" s="42" t="s">
        <v>765</v>
      </c>
      <c r="E354" s="43" t="s">
        <v>7260</v>
      </c>
      <c r="F354" s="42" t="s">
        <v>3900</v>
      </c>
      <c r="G354" s="42" t="s">
        <v>6110</v>
      </c>
      <c r="H354" s="43"/>
      <c r="I354" s="42"/>
      <c r="J354" s="42" t="s">
        <v>6111</v>
      </c>
      <c r="K354" s="42" t="s">
        <v>1895</v>
      </c>
      <c r="L354" s="42" t="s">
        <v>6112</v>
      </c>
      <c r="M354" s="42" t="s">
        <v>6113</v>
      </c>
      <c r="N354" s="42" t="s">
        <v>6114</v>
      </c>
      <c r="O354" s="42"/>
      <c r="P354" s="42" t="s">
        <v>6115</v>
      </c>
      <c r="Q354" s="42"/>
      <c r="R354" s="42" t="s">
        <v>91</v>
      </c>
      <c r="S354" s="42" t="s">
        <v>29</v>
      </c>
      <c r="T354" s="42" t="s">
        <v>4968</v>
      </c>
      <c r="U354" s="42" t="s">
        <v>498</v>
      </c>
      <c r="V354" s="44" t="s">
        <v>5716</v>
      </c>
      <c r="W354" s="42" t="s">
        <v>3892</v>
      </c>
    </row>
    <row r="355" spans="1:23" ht="30">
      <c r="A355" s="40">
        <v>353</v>
      </c>
      <c r="B355" s="41">
        <v>2154027730</v>
      </c>
      <c r="C355" s="42" t="s">
        <v>6116</v>
      </c>
      <c r="D355" s="42" t="s">
        <v>765</v>
      </c>
      <c r="E355" s="43" t="s">
        <v>7128</v>
      </c>
      <c r="F355" s="42" t="s">
        <v>3938</v>
      </c>
      <c r="G355" s="42" t="s">
        <v>6117</v>
      </c>
      <c r="H355" s="43"/>
      <c r="I355" s="42"/>
      <c r="J355" s="42" t="s">
        <v>6118</v>
      </c>
      <c r="K355" s="42" t="s">
        <v>1895</v>
      </c>
      <c r="L355" s="42" t="s">
        <v>6119</v>
      </c>
      <c r="M355" s="42" t="s">
        <v>6120</v>
      </c>
      <c r="N355" s="42" t="s">
        <v>6121</v>
      </c>
      <c r="O355" s="42"/>
      <c r="P355" s="42" t="s">
        <v>6122</v>
      </c>
      <c r="Q355" s="42"/>
      <c r="R355" s="42" t="s">
        <v>91</v>
      </c>
      <c r="S355" s="42" t="s">
        <v>29</v>
      </c>
      <c r="T355" s="42" t="s">
        <v>4968</v>
      </c>
      <c r="U355" s="42" t="s">
        <v>498</v>
      </c>
      <c r="V355" s="44" t="s">
        <v>5716</v>
      </c>
      <c r="W355" s="42" t="s">
        <v>3892</v>
      </c>
    </row>
    <row r="356" spans="1:23" ht="30">
      <c r="A356" s="40">
        <v>354</v>
      </c>
      <c r="B356" s="41">
        <v>2154027666</v>
      </c>
      <c r="C356" s="42" t="s">
        <v>6123</v>
      </c>
      <c r="D356" s="42" t="s">
        <v>765</v>
      </c>
      <c r="E356" s="43" t="s">
        <v>7261</v>
      </c>
      <c r="F356" s="42" t="s">
        <v>892</v>
      </c>
      <c r="G356" s="42" t="s">
        <v>6124</v>
      </c>
      <c r="H356" s="43"/>
      <c r="I356" s="42"/>
      <c r="J356" s="42" t="s">
        <v>6125</v>
      </c>
      <c r="K356" s="42" t="s">
        <v>1895</v>
      </c>
      <c r="L356" s="42" t="s">
        <v>691</v>
      </c>
      <c r="M356" s="42" t="s">
        <v>6126</v>
      </c>
      <c r="N356" s="42" t="s">
        <v>6127</v>
      </c>
      <c r="O356" s="42"/>
      <c r="P356" s="42" t="s">
        <v>6128</v>
      </c>
      <c r="Q356" s="42"/>
      <c r="R356" s="42" t="s">
        <v>91</v>
      </c>
      <c r="S356" s="42" t="s">
        <v>29</v>
      </c>
      <c r="T356" s="42" t="s">
        <v>4968</v>
      </c>
      <c r="U356" s="42" t="s">
        <v>498</v>
      </c>
      <c r="V356" s="44" t="s">
        <v>5716</v>
      </c>
      <c r="W356" s="42" t="s">
        <v>3892</v>
      </c>
    </row>
    <row r="357" spans="1:23" ht="30">
      <c r="A357" s="40">
        <v>355</v>
      </c>
      <c r="B357" s="41">
        <v>2154027279</v>
      </c>
      <c r="C357" s="42" t="s">
        <v>71</v>
      </c>
      <c r="D357" s="42" t="s">
        <v>760</v>
      </c>
      <c r="E357" s="43" t="s">
        <v>7262</v>
      </c>
      <c r="F357" s="42" t="s">
        <v>5072</v>
      </c>
      <c r="G357" s="42" t="s">
        <v>6129</v>
      </c>
      <c r="H357" s="43"/>
      <c r="I357" s="42"/>
      <c r="J357" s="42" t="s">
        <v>6130</v>
      </c>
      <c r="K357" s="42" t="s">
        <v>6131</v>
      </c>
      <c r="L357" s="42" t="s">
        <v>6131</v>
      </c>
      <c r="M357" s="42" t="s">
        <v>6132</v>
      </c>
      <c r="N357" s="42"/>
      <c r="O357" s="42"/>
      <c r="P357" s="42"/>
      <c r="Q357" s="42"/>
      <c r="R357" s="42" t="s">
        <v>91</v>
      </c>
      <c r="S357" s="42" t="s">
        <v>29</v>
      </c>
      <c r="T357" s="42" t="s">
        <v>4968</v>
      </c>
      <c r="U357" s="42" t="s">
        <v>498</v>
      </c>
      <c r="V357" s="44" t="s">
        <v>5716</v>
      </c>
      <c r="W357" s="42" t="s">
        <v>3892</v>
      </c>
    </row>
    <row r="358" spans="1:23" ht="30">
      <c r="A358" s="40">
        <v>356</v>
      </c>
      <c r="B358" s="41">
        <v>2154027727</v>
      </c>
      <c r="C358" s="42" t="s">
        <v>6133</v>
      </c>
      <c r="D358" s="42" t="s">
        <v>765</v>
      </c>
      <c r="E358" s="43" t="s">
        <v>7112</v>
      </c>
      <c r="F358" s="42" t="s">
        <v>3938</v>
      </c>
      <c r="G358" s="42" t="s">
        <v>6134</v>
      </c>
      <c r="H358" s="43"/>
      <c r="I358" s="42"/>
      <c r="J358" s="42" t="s">
        <v>6135</v>
      </c>
      <c r="K358" s="42" t="s">
        <v>1895</v>
      </c>
      <c r="L358" s="42" t="s">
        <v>6136</v>
      </c>
      <c r="M358" s="42" t="s">
        <v>6137</v>
      </c>
      <c r="N358" s="42" t="s">
        <v>6138</v>
      </c>
      <c r="O358" s="42"/>
      <c r="P358" s="42" t="s">
        <v>6139</v>
      </c>
      <c r="Q358" s="42"/>
      <c r="R358" s="42" t="s">
        <v>91</v>
      </c>
      <c r="S358" s="42" t="s">
        <v>29</v>
      </c>
      <c r="T358" s="42" t="s">
        <v>4968</v>
      </c>
      <c r="U358" s="42" t="s">
        <v>498</v>
      </c>
      <c r="V358" s="44" t="s">
        <v>5716</v>
      </c>
      <c r="W358" s="42" t="s">
        <v>3892</v>
      </c>
    </row>
    <row r="359" spans="1:23" ht="30">
      <c r="A359" s="40">
        <v>357</v>
      </c>
      <c r="B359" s="41">
        <v>2154027123</v>
      </c>
      <c r="C359" s="42" t="s">
        <v>1111</v>
      </c>
      <c r="D359" s="42" t="s">
        <v>765</v>
      </c>
      <c r="E359" s="43" t="s">
        <v>7263</v>
      </c>
      <c r="F359" s="42" t="s">
        <v>828</v>
      </c>
      <c r="G359" s="42" t="s">
        <v>6140</v>
      </c>
      <c r="H359" s="43"/>
      <c r="I359" s="42"/>
      <c r="J359" s="42" t="s">
        <v>6141</v>
      </c>
      <c r="K359" s="42" t="s">
        <v>1895</v>
      </c>
      <c r="L359" s="42" t="s">
        <v>6142</v>
      </c>
      <c r="M359" s="42" t="s">
        <v>6143</v>
      </c>
      <c r="N359" s="42" t="s">
        <v>6144</v>
      </c>
      <c r="O359" s="42"/>
      <c r="P359" s="42" t="s">
        <v>6145</v>
      </c>
      <c r="Q359" s="42"/>
      <c r="R359" s="42" t="s">
        <v>91</v>
      </c>
      <c r="S359" s="42" t="s">
        <v>29</v>
      </c>
      <c r="T359" s="42" t="s">
        <v>4968</v>
      </c>
      <c r="U359" s="42" t="s">
        <v>498</v>
      </c>
      <c r="V359" s="44" t="s">
        <v>5716</v>
      </c>
      <c r="W359" s="42" t="s">
        <v>3892</v>
      </c>
    </row>
    <row r="360" spans="1:23" ht="30">
      <c r="A360" s="40">
        <v>358</v>
      </c>
      <c r="B360" s="41">
        <v>2154027125</v>
      </c>
      <c r="C360" s="42" t="s">
        <v>88</v>
      </c>
      <c r="D360" s="42" t="s">
        <v>760</v>
      </c>
      <c r="E360" s="43" t="s">
        <v>7096</v>
      </c>
      <c r="F360" s="42" t="s">
        <v>945</v>
      </c>
      <c r="G360" s="42" t="s">
        <v>6146</v>
      </c>
      <c r="H360" s="43"/>
      <c r="I360" s="42"/>
      <c r="J360" s="42" t="s">
        <v>6147</v>
      </c>
      <c r="K360" s="42" t="s">
        <v>1895</v>
      </c>
      <c r="L360" s="42" t="s">
        <v>6148</v>
      </c>
      <c r="M360" s="42" t="s">
        <v>6149</v>
      </c>
      <c r="N360" s="42" t="s">
        <v>6150</v>
      </c>
      <c r="O360" s="42"/>
      <c r="P360" s="42" t="s">
        <v>6151</v>
      </c>
      <c r="Q360" s="42"/>
      <c r="R360" s="42" t="s">
        <v>91</v>
      </c>
      <c r="S360" s="42" t="s">
        <v>29</v>
      </c>
      <c r="T360" s="42" t="s">
        <v>4968</v>
      </c>
      <c r="U360" s="42" t="s">
        <v>498</v>
      </c>
      <c r="V360" s="44" t="s">
        <v>5716</v>
      </c>
      <c r="W360" s="42" t="s">
        <v>3892</v>
      </c>
    </row>
    <row r="361" spans="1:23" ht="30">
      <c r="A361" s="40">
        <v>359</v>
      </c>
      <c r="B361" s="41">
        <v>2154027702</v>
      </c>
      <c r="C361" s="42" t="s">
        <v>6152</v>
      </c>
      <c r="D361" s="42" t="s">
        <v>760</v>
      </c>
      <c r="E361" s="43" t="s">
        <v>7165</v>
      </c>
      <c r="F361" s="42" t="s">
        <v>761</v>
      </c>
      <c r="G361" s="42" t="s">
        <v>6153</v>
      </c>
      <c r="H361" s="43"/>
      <c r="I361" s="42"/>
      <c r="J361" s="42" t="s">
        <v>6154</v>
      </c>
      <c r="K361" s="42" t="s">
        <v>1895</v>
      </c>
      <c r="L361" s="42" t="s">
        <v>6155</v>
      </c>
      <c r="M361" s="42" t="s">
        <v>4052</v>
      </c>
      <c r="N361" s="42" t="s">
        <v>6156</v>
      </c>
      <c r="O361" s="42"/>
      <c r="P361" s="42" t="s">
        <v>6157</v>
      </c>
      <c r="Q361" s="42"/>
      <c r="R361" s="42" t="s">
        <v>91</v>
      </c>
      <c r="S361" s="42" t="s">
        <v>29</v>
      </c>
      <c r="T361" s="42" t="s">
        <v>4968</v>
      </c>
      <c r="U361" s="42" t="s">
        <v>498</v>
      </c>
      <c r="V361" s="44" t="s">
        <v>5716</v>
      </c>
      <c r="W361" s="42" t="s">
        <v>3892</v>
      </c>
    </row>
    <row r="362" spans="1:23" ht="30">
      <c r="A362" s="40">
        <v>360</v>
      </c>
      <c r="B362" s="41">
        <v>2154027281</v>
      </c>
      <c r="C362" s="42" t="s">
        <v>6158</v>
      </c>
      <c r="D362" s="42" t="s">
        <v>760</v>
      </c>
      <c r="E362" s="43" t="s">
        <v>7264</v>
      </c>
      <c r="F362" s="42" t="s">
        <v>853</v>
      </c>
      <c r="G362" s="42" t="s">
        <v>6159</v>
      </c>
      <c r="H362" s="43"/>
      <c r="I362" s="42"/>
      <c r="J362" s="42" t="s">
        <v>6160</v>
      </c>
      <c r="K362" s="42" t="s">
        <v>1895</v>
      </c>
      <c r="L362" s="42" t="s">
        <v>6161</v>
      </c>
      <c r="M362" s="42" t="s">
        <v>6162</v>
      </c>
      <c r="N362" s="42" t="s">
        <v>6163</v>
      </c>
      <c r="O362" s="42"/>
      <c r="P362" s="42" t="s">
        <v>6164</v>
      </c>
      <c r="Q362" s="42"/>
      <c r="R362" s="42" t="s">
        <v>91</v>
      </c>
      <c r="S362" s="42" t="s">
        <v>29</v>
      </c>
      <c r="T362" s="42" t="s">
        <v>4968</v>
      </c>
      <c r="U362" s="42" t="s">
        <v>498</v>
      </c>
      <c r="V362" s="44" t="s">
        <v>5716</v>
      </c>
      <c r="W362" s="42" t="s">
        <v>3892</v>
      </c>
    </row>
    <row r="363" spans="1:23" ht="30">
      <c r="A363" s="40">
        <v>361</v>
      </c>
      <c r="B363" s="41">
        <v>2154027126</v>
      </c>
      <c r="C363" s="42" t="s">
        <v>6165</v>
      </c>
      <c r="D363" s="42" t="s">
        <v>765</v>
      </c>
      <c r="E363" s="43" t="s">
        <v>7210</v>
      </c>
      <c r="F363" s="42" t="s">
        <v>882</v>
      </c>
      <c r="G363" s="42" t="s">
        <v>6166</v>
      </c>
      <c r="H363" s="43"/>
      <c r="I363" s="42"/>
      <c r="J363" s="42" t="s">
        <v>6167</v>
      </c>
      <c r="K363" s="42" t="s">
        <v>1895</v>
      </c>
      <c r="L363" s="42" t="s">
        <v>6168</v>
      </c>
      <c r="M363" s="42" t="s">
        <v>6169</v>
      </c>
      <c r="N363" s="42" t="s">
        <v>6170</v>
      </c>
      <c r="O363" s="42"/>
      <c r="P363" s="42" t="s">
        <v>6171</v>
      </c>
      <c r="Q363" s="42"/>
      <c r="R363" s="42" t="s">
        <v>91</v>
      </c>
      <c r="S363" s="42" t="s">
        <v>29</v>
      </c>
      <c r="T363" s="42" t="s">
        <v>4968</v>
      </c>
      <c r="U363" s="42" t="s">
        <v>498</v>
      </c>
      <c r="V363" s="44" t="s">
        <v>5716</v>
      </c>
      <c r="W363" s="42" t="s">
        <v>3892</v>
      </c>
    </row>
    <row r="364" spans="1:23" ht="30">
      <c r="A364" s="40">
        <v>362</v>
      </c>
      <c r="B364" s="41">
        <v>2154027725</v>
      </c>
      <c r="C364" s="42" t="s">
        <v>6172</v>
      </c>
      <c r="D364" s="42" t="s">
        <v>765</v>
      </c>
      <c r="E364" s="43" t="s">
        <v>7265</v>
      </c>
      <c r="F364" s="42" t="s">
        <v>3900</v>
      </c>
      <c r="G364" s="42" t="s">
        <v>6173</v>
      </c>
      <c r="H364" s="43"/>
      <c r="I364" s="42"/>
      <c r="J364" s="42" t="s">
        <v>6174</v>
      </c>
      <c r="K364" s="42" t="s">
        <v>1895</v>
      </c>
      <c r="L364" s="42" t="s">
        <v>6175</v>
      </c>
      <c r="M364" s="42" t="s">
        <v>6176</v>
      </c>
      <c r="N364" s="42" t="s">
        <v>6177</v>
      </c>
      <c r="O364" s="42"/>
      <c r="P364" s="42" t="s">
        <v>6178</v>
      </c>
      <c r="Q364" s="42"/>
      <c r="R364" s="42" t="s">
        <v>91</v>
      </c>
      <c r="S364" s="42" t="s">
        <v>29</v>
      </c>
      <c r="T364" s="42" t="s">
        <v>4968</v>
      </c>
      <c r="U364" s="42" t="s">
        <v>498</v>
      </c>
      <c r="V364" s="44" t="s">
        <v>5716</v>
      </c>
      <c r="W364" s="42" t="s">
        <v>3892</v>
      </c>
    </row>
    <row r="365" spans="1:23" ht="30">
      <c r="A365" s="40">
        <v>363</v>
      </c>
      <c r="B365" s="41">
        <v>2154027671</v>
      </c>
      <c r="C365" s="42" t="s">
        <v>6179</v>
      </c>
      <c r="D365" s="42" t="s">
        <v>760</v>
      </c>
      <c r="E365" s="43" t="s">
        <v>7266</v>
      </c>
      <c r="F365" s="42" t="s">
        <v>958</v>
      </c>
      <c r="G365" s="42" t="s">
        <v>6180</v>
      </c>
      <c r="H365" s="43"/>
      <c r="I365" s="42"/>
      <c r="J365" s="42" t="s">
        <v>6181</v>
      </c>
      <c r="K365" s="42" t="s">
        <v>696</v>
      </c>
      <c r="L365" s="42" t="s">
        <v>696</v>
      </c>
      <c r="M365" s="42" t="s">
        <v>6182</v>
      </c>
      <c r="N365" s="42" t="s">
        <v>6183</v>
      </c>
      <c r="O365" s="42"/>
      <c r="P365" s="42" t="s">
        <v>6184</v>
      </c>
      <c r="Q365" s="42"/>
      <c r="R365" s="42" t="s">
        <v>91</v>
      </c>
      <c r="S365" s="42" t="s">
        <v>29</v>
      </c>
      <c r="T365" s="42" t="s">
        <v>4968</v>
      </c>
      <c r="U365" s="42" t="s">
        <v>498</v>
      </c>
      <c r="V365" s="44" t="s">
        <v>5716</v>
      </c>
      <c r="W365" s="42" t="s">
        <v>3892</v>
      </c>
    </row>
    <row r="366" spans="1:23" ht="30">
      <c r="A366" s="40">
        <v>364</v>
      </c>
      <c r="B366" s="41">
        <v>2154027656</v>
      </c>
      <c r="C366" s="42" t="s">
        <v>80</v>
      </c>
      <c r="D366" s="42" t="s">
        <v>765</v>
      </c>
      <c r="E366" s="43" t="s">
        <v>7267</v>
      </c>
      <c r="F366" s="42" t="s">
        <v>958</v>
      </c>
      <c r="G366" s="42" t="s">
        <v>6185</v>
      </c>
      <c r="H366" s="43"/>
      <c r="I366" s="42"/>
      <c r="J366" s="42" t="s">
        <v>6186</v>
      </c>
      <c r="K366" s="42" t="s">
        <v>681</v>
      </c>
      <c r="L366" s="42" t="s">
        <v>681</v>
      </c>
      <c r="M366" s="42" t="s">
        <v>6187</v>
      </c>
      <c r="N366" s="42" t="s">
        <v>6188</v>
      </c>
      <c r="O366" s="42"/>
      <c r="P366" s="42" t="s">
        <v>6189</v>
      </c>
      <c r="Q366" s="42"/>
      <c r="R366" s="42" t="s">
        <v>91</v>
      </c>
      <c r="S366" s="42" t="s">
        <v>29</v>
      </c>
      <c r="T366" s="42" t="s">
        <v>4968</v>
      </c>
      <c r="U366" s="42" t="s">
        <v>498</v>
      </c>
      <c r="V366" s="44" t="s">
        <v>5716</v>
      </c>
      <c r="W366" s="42" t="s">
        <v>3892</v>
      </c>
    </row>
    <row r="367" spans="1:23" ht="90">
      <c r="A367" s="40">
        <v>365</v>
      </c>
      <c r="B367" s="41">
        <v>2154027285</v>
      </c>
      <c r="C367" s="42" t="s">
        <v>1685</v>
      </c>
      <c r="D367" s="42" t="s">
        <v>765</v>
      </c>
      <c r="E367" s="43" t="s">
        <v>7206</v>
      </c>
      <c r="F367" s="42" t="s">
        <v>776</v>
      </c>
      <c r="G367" s="42" t="s">
        <v>6190</v>
      </c>
      <c r="H367" s="43"/>
      <c r="I367" s="42"/>
      <c r="J367" s="42" t="s">
        <v>6191</v>
      </c>
      <c r="K367" s="42" t="s">
        <v>1895</v>
      </c>
      <c r="L367" s="42" t="s">
        <v>6192</v>
      </c>
      <c r="M367" s="42" t="s">
        <v>6193</v>
      </c>
      <c r="N367" s="42" t="s">
        <v>6194</v>
      </c>
      <c r="O367" s="42"/>
      <c r="P367" s="42" t="s">
        <v>6195</v>
      </c>
      <c r="Q367" s="42"/>
      <c r="R367" s="42" t="s">
        <v>91</v>
      </c>
      <c r="S367" s="42" t="s">
        <v>29</v>
      </c>
      <c r="T367" s="42" t="s">
        <v>4968</v>
      </c>
      <c r="U367" s="42" t="s">
        <v>498</v>
      </c>
      <c r="V367" s="44" t="s">
        <v>6196</v>
      </c>
      <c r="W367" s="42" t="s">
        <v>3905</v>
      </c>
    </row>
    <row r="368" spans="1:23" ht="30">
      <c r="A368" s="40">
        <v>366</v>
      </c>
      <c r="B368" s="41">
        <v>2154027286</v>
      </c>
      <c r="C368" s="42" t="s">
        <v>6197</v>
      </c>
      <c r="D368" s="42" t="s">
        <v>760</v>
      </c>
      <c r="E368" s="43" t="s">
        <v>3820</v>
      </c>
      <c r="F368" s="42" t="s">
        <v>6198</v>
      </c>
      <c r="G368" s="42" t="s">
        <v>6199</v>
      </c>
      <c r="H368" s="43"/>
      <c r="I368" s="42"/>
      <c r="J368" s="42" t="s">
        <v>6200</v>
      </c>
      <c r="K368" s="42" t="s">
        <v>1895</v>
      </c>
      <c r="L368" s="42" t="s">
        <v>6201</v>
      </c>
      <c r="M368" s="42" t="s">
        <v>6202</v>
      </c>
      <c r="N368" s="42" t="s">
        <v>6203</v>
      </c>
      <c r="O368" s="42"/>
      <c r="P368" s="42" t="s">
        <v>5752</v>
      </c>
      <c r="Q368" s="42"/>
      <c r="R368" s="42" t="s">
        <v>91</v>
      </c>
      <c r="S368" s="42" t="s">
        <v>29</v>
      </c>
      <c r="T368" s="42" t="s">
        <v>4968</v>
      </c>
      <c r="U368" s="42" t="s">
        <v>498</v>
      </c>
      <c r="V368" s="44" t="s">
        <v>5716</v>
      </c>
      <c r="W368" s="42" t="s">
        <v>3892</v>
      </c>
    </row>
    <row r="369" spans="1:23" ht="30">
      <c r="A369" s="40">
        <v>367</v>
      </c>
      <c r="B369" s="41">
        <v>2154027287</v>
      </c>
      <c r="C369" s="42" t="s">
        <v>6204</v>
      </c>
      <c r="D369" s="42" t="s">
        <v>765</v>
      </c>
      <c r="E369" s="43" t="s">
        <v>7268</v>
      </c>
      <c r="F369" s="42" t="s">
        <v>1022</v>
      </c>
      <c r="G369" s="42" t="s">
        <v>6205</v>
      </c>
      <c r="H369" s="43"/>
      <c r="I369" s="42"/>
      <c r="J369" s="42" t="s">
        <v>6206</v>
      </c>
      <c r="K369" s="42" t="s">
        <v>1895</v>
      </c>
      <c r="L369" s="42" t="s">
        <v>6207</v>
      </c>
      <c r="M369" s="42" t="s">
        <v>6208</v>
      </c>
      <c r="N369" s="42" t="s">
        <v>6209</v>
      </c>
      <c r="O369" s="42"/>
      <c r="P369" s="42" t="s">
        <v>6210</v>
      </c>
      <c r="Q369" s="42"/>
      <c r="R369" s="42" t="s">
        <v>91</v>
      </c>
      <c r="S369" s="42" t="s">
        <v>29</v>
      </c>
      <c r="T369" s="42" t="s">
        <v>4968</v>
      </c>
      <c r="U369" s="42" t="s">
        <v>498</v>
      </c>
      <c r="V369" s="44" t="s">
        <v>5716</v>
      </c>
      <c r="W369" s="42" t="s">
        <v>3892</v>
      </c>
    </row>
    <row r="370" spans="1:23" ht="30">
      <c r="A370" s="40">
        <v>368</v>
      </c>
      <c r="B370" s="41">
        <v>2154027133</v>
      </c>
      <c r="C370" s="42" t="s">
        <v>82</v>
      </c>
      <c r="D370" s="42" t="s">
        <v>765</v>
      </c>
      <c r="E370" s="43" t="s">
        <v>7269</v>
      </c>
      <c r="F370" s="42" t="s">
        <v>1032</v>
      </c>
      <c r="G370" s="42" t="s">
        <v>6211</v>
      </c>
      <c r="H370" s="43"/>
      <c r="I370" s="42"/>
      <c r="J370" s="42" t="s">
        <v>6212</v>
      </c>
      <c r="K370" s="42" t="s">
        <v>1895</v>
      </c>
      <c r="L370" s="42" t="s">
        <v>6213</v>
      </c>
      <c r="M370" s="42" t="s">
        <v>6214</v>
      </c>
      <c r="N370" s="42" t="s">
        <v>6215</v>
      </c>
      <c r="O370" s="42"/>
      <c r="P370" s="42" t="s">
        <v>6216</v>
      </c>
      <c r="Q370" s="42"/>
      <c r="R370" s="42" t="s">
        <v>91</v>
      </c>
      <c r="S370" s="42" t="s">
        <v>29</v>
      </c>
      <c r="T370" s="42" t="s">
        <v>4968</v>
      </c>
      <c r="U370" s="42" t="s">
        <v>498</v>
      </c>
      <c r="V370" s="44" t="s">
        <v>5716</v>
      </c>
      <c r="W370" s="42" t="s">
        <v>3892</v>
      </c>
    </row>
    <row r="371" spans="1:23" ht="30">
      <c r="A371" s="40">
        <v>369</v>
      </c>
      <c r="B371" s="41">
        <v>2154027137</v>
      </c>
      <c r="C371" s="42" t="s">
        <v>6217</v>
      </c>
      <c r="D371" s="42" t="s">
        <v>760</v>
      </c>
      <c r="E371" s="43" t="s">
        <v>7105</v>
      </c>
      <c r="F371" s="42" t="s">
        <v>4072</v>
      </c>
      <c r="G371" s="42" t="s">
        <v>6218</v>
      </c>
      <c r="H371" s="43">
        <v>43154</v>
      </c>
      <c r="I371" s="42" t="s">
        <v>6219</v>
      </c>
      <c r="J371" s="42" t="s">
        <v>6220</v>
      </c>
      <c r="K371" s="42" t="s">
        <v>1895</v>
      </c>
      <c r="L371" s="42" t="s">
        <v>1901</v>
      </c>
      <c r="M371" s="42" t="s">
        <v>6221</v>
      </c>
      <c r="N371" s="42" t="s">
        <v>6222</v>
      </c>
      <c r="O371" s="42" t="s">
        <v>6223</v>
      </c>
      <c r="P371" s="42" t="s">
        <v>6224</v>
      </c>
      <c r="Q371" s="42" t="s">
        <v>6225</v>
      </c>
      <c r="R371" s="42" t="s">
        <v>91</v>
      </c>
      <c r="S371" s="42" t="s">
        <v>29</v>
      </c>
      <c r="T371" s="42" t="s">
        <v>4968</v>
      </c>
      <c r="U371" s="42" t="s">
        <v>498</v>
      </c>
      <c r="V371" s="44" t="s">
        <v>5716</v>
      </c>
      <c r="W371" s="42" t="s">
        <v>3892</v>
      </c>
    </row>
    <row r="372" spans="1:23" ht="30">
      <c r="A372" s="40">
        <v>370</v>
      </c>
      <c r="B372" s="41">
        <v>2154027138</v>
      </c>
      <c r="C372" s="42" t="s">
        <v>6226</v>
      </c>
      <c r="D372" s="42" t="s">
        <v>760</v>
      </c>
      <c r="E372" s="43" t="s">
        <v>7119</v>
      </c>
      <c r="F372" s="42" t="s">
        <v>4072</v>
      </c>
      <c r="G372" s="42" t="s">
        <v>6227</v>
      </c>
      <c r="H372" s="43">
        <v>44298</v>
      </c>
      <c r="I372" s="42" t="s">
        <v>6228</v>
      </c>
      <c r="J372" s="42" t="s">
        <v>6229</v>
      </c>
      <c r="K372" s="42" t="s">
        <v>1895</v>
      </c>
      <c r="L372" s="42" t="s">
        <v>1901</v>
      </c>
      <c r="M372" s="42" t="s">
        <v>6230</v>
      </c>
      <c r="N372" s="42" t="s">
        <v>6231</v>
      </c>
      <c r="O372" s="42" t="s">
        <v>6232</v>
      </c>
      <c r="P372" s="42" t="s">
        <v>6233</v>
      </c>
      <c r="Q372" s="42" t="s">
        <v>6234</v>
      </c>
      <c r="R372" s="42" t="s">
        <v>91</v>
      </c>
      <c r="S372" s="42" t="s">
        <v>29</v>
      </c>
      <c r="T372" s="42" t="s">
        <v>4968</v>
      </c>
      <c r="U372" s="42" t="s">
        <v>498</v>
      </c>
      <c r="V372" s="44" t="s">
        <v>5716</v>
      </c>
      <c r="W372" s="42" t="s">
        <v>3892</v>
      </c>
    </row>
    <row r="373" spans="1:23" ht="30">
      <c r="A373" s="40">
        <v>371</v>
      </c>
      <c r="B373" s="41">
        <v>2154027685</v>
      </c>
      <c r="C373" s="42" t="s">
        <v>57</v>
      </c>
      <c r="D373" s="42" t="s">
        <v>760</v>
      </c>
      <c r="E373" s="43" t="s">
        <v>7181</v>
      </c>
      <c r="F373" s="42" t="s">
        <v>835</v>
      </c>
      <c r="G373" s="42" t="s">
        <v>6235</v>
      </c>
      <c r="H373" s="43">
        <v>44305</v>
      </c>
      <c r="I373" s="42" t="s">
        <v>5445</v>
      </c>
      <c r="J373" s="42" t="s">
        <v>6236</v>
      </c>
      <c r="K373" s="42" t="s">
        <v>1895</v>
      </c>
      <c r="L373" s="42" t="s">
        <v>710</v>
      </c>
      <c r="M373" s="42" t="s">
        <v>6237</v>
      </c>
      <c r="N373" s="42" t="s">
        <v>2592</v>
      </c>
      <c r="O373" s="42"/>
      <c r="P373" s="42" t="s">
        <v>6238</v>
      </c>
      <c r="Q373" s="42"/>
      <c r="R373" s="42" t="s">
        <v>91</v>
      </c>
      <c r="S373" s="42" t="s">
        <v>29</v>
      </c>
      <c r="T373" s="42" t="s">
        <v>4968</v>
      </c>
      <c r="U373" s="42" t="s">
        <v>498</v>
      </c>
      <c r="V373" s="44" t="s">
        <v>5716</v>
      </c>
      <c r="W373" s="42" t="s">
        <v>3892</v>
      </c>
    </row>
    <row r="374" spans="1:23" ht="30">
      <c r="A374" s="40">
        <v>372</v>
      </c>
      <c r="B374" s="41">
        <v>2154027140</v>
      </c>
      <c r="C374" s="42" t="s">
        <v>6239</v>
      </c>
      <c r="D374" s="42" t="s">
        <v>760</v>
      </c>
      <c r="E374" s="43" t="s">
        <v>7270</v>
      </c>
      <c r="F374" s="42" t="s">
        <v>3938</v>
      </c>
      <c r="G374" s="42" t="s">
        <v>6240</v>
      </c>
      <c r="H374" s="43"/>
      <c r="I374" s="42"/>
      <c r="J374" s="42" t="s">
        <v>6241</v>
      </c>
      <c r="K374" s="42" t="s">
        <v>1895</v>
      </c>
      <c r="L374" s="42" t="s">
        <v>6242</v>
      </c>
      <c r="M374" s="42" t="s">
        <v>6243</v>
      </c>
      <c r="N374" s="42" t="s">
        <v>6244</v>
      </c>
      <c r="O374" s="42"/>
      <c r="P374" s="42" t="s">
        <v>6245</v>
      </c>
      <c r="Q374" s="42"/>
      <c r="R374" s="42" t="s">
        <v>91</v>
      </c>
      <c r="S374" s="42" t="s">
        <v>29</v>
      </c>
      <c r="T374" s="42" t="s">
        <v>4968</v>
      </c>
      <c r="U374" s="42" t="s">
        <v>498</v>
      </c>
      <c r="V374" s="44" t="s">
        <v>5716</v>
      </c>
      <c r="W374" s="42" t="s">
        <v>3892</v>
      </c>
    </row>
    <row r="375" spans="1:23" ht="30">
      <c r="A375" s="40">
        <v>373</v>
      </c>
      <c r="B375" s="41">
        <v>2154027708</v>
      </c>
      <c r="C375" s="42" t="s">
        <v>6246</v>
      </c>
      <c r="D375" s="42" t="s">
        <v>760</v>
      </c>
      <c r="E375" s="43" t="s">
        <v>7244</v>
      </c>
      <c r="F375" s="42" t="s">
        <v>3900</v>
      </c>
      <c r="G375" s="42" t="s">
        <v>6247</v>
      </c>
      <c r="H375" s="43"/>
      <c r="I375" s="42"/>
      <c r="J375" s="42" t="s">
        <v>6248</v>
      </c>
      <c r="K375" s="42" t="s">
        <v>1895</v>
      </c>
      <c r="L375" s="42" t="s">
        <v>6249</v>
      </c>
      <c r="M375" s="42" t="s">
        <v>6250</v>
      </c>
      <c r="N375" s="42" t="s">
        <v>6251</v>
      </c>
      <c r="O375" s="42"/>
      <c r="P375" s="42" t="s">
        <v>6252</v>
      </c>
      <c r="Q375" s="42"/>
      <c r="R375" s="42" t="s">
        <v>91</v>
      </c>
      <c r="S375" s="42" t="s">
        <v>29</v>
      </c>
      <c r="T375" s="42" t="s">
        <v>4968</v>
      </c>
      <c r="U375" s="42" t="s">
        <v>498</v>
      </c>
      <c r="V375" s="44" t="s">
        <v>5716</v>
      </c>
      <c r="W375" s="42" t="s">
        <v>3892</v>
      </c>
    </row>
    <row r="376" spans="1:23" ht="30">
      <c r="A376" s="40">
        <v>374</v>
      </c>
      <c r="B376" s="41">
        <v>2154027747</v>
      </c>
      <c r="C376" s="42" t="s">
        <v>35</v>
      </c>
      <c r="D376" s="42" t="s">
        <v>765</v>
      </c>
      <c r="E376" s="43" t="s">
        <v>1381</v>
      </c>
      <c r="F376" s="42" t="s">
        <v>3938</v>
      </c>
      <c r="G376" s="42" t="s">
        <v>6253</v>
      </c>
      <c r="H376" s="43"/>
      <c r="I376" s="42"/>
      <c r="J376" s="42" t="s">
        <v>6254</v>
      </c>
      <c r="K376" s="42" t="s">
        <v>1895</v>
      </c>
      <c r="L376" s="42" t="s">
        <v>6255</v>
      </c>
      <c r="M376" s="42" t="s">
        <v>6256</v>
      </c>
      <c r="N376" s="42" t="s">
        <v>6257</v>
      </c>
      <c r="O376" s="42"/>
      <c r="P376" s="42" t="s">
        <v>6258</v>
      </c>
      <c r="Q376" s="42"/>
      <c r="R376" s="42" t="s">
        <v>91</v>
      </c>
      <c r="S376" s="42" t="s">
        <v>29</v>
      </c>
      <c r="T376" s="42" t="s">
        <v>4968</v>
      </c>
      <c r="U376" s="42" t="s">
        <v>498</v>
      </c>
      <c r="V376" s="44" t="s">
        <v>5716</v>
      </c>
      <c r="W376" s="42" t="s">
        <v>3892</v>
      </c>
    </row>
    <row r="377" spans="1:23" ht="30">
      <c r="A377" s="40">
        <v>375</v>
      </c>
      <c r="B377" s="41">
        <v>2154077316</v>
      </c>
      <c r="C377" s="42" t="s">
        <v>73</v>
      </c>
      <c r="D377" s="42" t="s">
        <v>765</v>
      </c>
      <c r="E377" s="43" t="s">
        <v>3779</v>
      </c>
      <c r="F377" s="42" t="s">
        <v>6259</v>
      </c>
      <c r="G377" s="42" t="s">
        <v>6260</v>
      </c>
      <c r="H377" s="43">
        <v>44329</v>
      </c>
      <c r="I377" s="42" t="s">
        <v>6261</v>
      </c>
      <c r="J377" s="42" t="s">
        <v>6262</v>
      </c>
      <c r="K377" s="42" t="s">
        <v>1895</v>
      </c>
      <c r="L377" s="42" t="s">
        <v>1901</v>
      </c>
      <c r="M377" s="42" t="s">
        <v>6263</v>
      </c>
      <c r="N377" s="42" t="s">
        <v>6264</v>
      </c>
      <c r="O377" s="42" t="s">
        <v>6265</v>
      </c>
      <c r="P377" s="42" t="s">
        <v>6266</v>
      </c>
      <c r="Q377" s="42" t="s">
        <v>6267</v>
      </c>
      <c r="R377" s="42" t="s">
        <v>91</v>
      </c>
      <c r="S377" s="42" t="s">
        <v>29</v>
      </c>
      <c r="T377" s="42" t="s">
        <v>4968</v>
      </c>
      <c r="U377" s="42" t="s">
        <v>498</v>
      </c>
      <c r="V377" s="44" t="s">
        <v>5716</v>
      </c>
      <c r="W377" s="42" t="s">
        <v>3892</v>
      </c>
    </row>
    <row r="378" spans="1:23" ht="30">
      <c r="A378" s="40">
        <v>376</v>
      </c>
      <c r="B378" s="41">
        <v>2154027146</v>
      </c>
      <c r="C378" s="42" t="s">
        <v>6268</v>
      </c>
      <c r="D378" s="42" t="s">
        <v>765</v>
      </c>
      <c r="E378" s="43" t="s">
        <v>7271</v>
      </c>
      <c r="F378" s="42" t="s">
        <v>853</v>
      </c>
      <c r="G378" s="42" t="s">
        <v>6269</v>
      </c>
      <c r="H378" s="43"/>
      <c r="I378" s="42"/>
      <c r="J378" s="42" t="s">
        <v>6270</v>
      </c>
      <c r="K378" s="42" t="s">
        <v>1895</v>
      </c>
      <c r="L378" s="42" t="s">
        <v>6271</v>
      </c>
      <c r="M378" s="42" t="s">
        <v>6272</v>
      </c>
      <c r="N378" s="42" t="s">
        <v>6273</v>
      </c>
      <c r="O378" s="42"/>
      <c r="P378" s="42" t="s">
        <v>6274</v>
      </c>
      <c r="Q378" s="42"/>
      <c r="R378" s="42" t="s">
        <v>91</v>
      </c>
      <c r="S378" s="42" t="s">
        <v>29</v>
      </c>
      <c r="T378" s="42" t="s">
        <v>4968</v>
      </c>
      <c r="U378" s="42" t="s">
        <v>498</v>
      </c>
      <c r="V378" s="44" t="s">
        <v>5716</v>
      </c>
      <c r="W378" s="42" t="s">
        <v>3892</v>
      </c>
    </row>
    <row r="379" spans="1:23" ht="30">
      <c r="A379" s="40">
        <v>377</v>
      </c>
      <c r="B379" s="41">
        <v>2154027147</v>
      </c>
      <c r="C379" s="42" t="s">
        <v>33</v>
      </c>
      <c r="D379" s="42" t="s">
        <v>765</v>
      </c>
      <c r="E379" s="43" t="s">
        <v>7272</v>
      </c>
      <c r="F379" s="42" t="s">
        <v>790</v>
      </c>
      <c r="G379" s="42" t="s">
        <v>6275</v>
      </c>
      <c r="H379" s="43"/>
      <c r="I379" s="42"/>
      <c r="J379" s="42" t="s">
        <v>6276</v>
      </c>
      <c r="K379" s="42" t="s">
        <v>1895</v>
      </c>
      <c r="L379" s="42" t="s">
        <v>6277</v>
      </c>
      <c r="M379" s="42" t="s">
        <v>6278</v>
      </c>
      <c r="N379" s="42" t="s">
        <v>6279</v>
      </c>
      <c r="O379" s="42"/>
      <c r="P379" s="42" t="s">
        <v>6280</v>
      </c>
      <c r="Q379" s="42"/>
      <c r="R379" s="42" t="s">
        <v>91</v>
      </c>
      <c r="S379" s="42" t="s">
        <v>29</v>
      </c>
      <c r="T379" s="42" t="s">
        <v>4968</v>
      </c>
      <c r="U379" s="42" t="s">
        <v>498</v>
      </c>
      <c r="V379" s="44" t="s">
        <v>5716</v>
      </c>
      <c r="W379" s="42" t="s">
        <v>3892</v>
      </c>
    </row>
    <row r="380" spans="1:23">
      <c r="A380" s="40">
        <v>1</v>
      </c>
      <c r="B380" s="41">
        <v>2031020053</v>
      </c>
      <c r="C380" s="42" t="s">
        <v>6281</v>
      </c>
      <c r="D380" s="42" t="s">
        <v>760</v>
      </c>
      <c r="E380" s="43" t="s">
        <v>7273</v>
      </c>
      <c r="F380" s="42"/>
      <c r="G380" s="42"/>
      <c r="H380" s="43"/>
      <c r="I380" s="42"/>
      <c r="J380" s="42"/>
      <c r="K380" s="42"/>
      <c r="L380" s="42"/>
      <c r="M380" s="42"/>
      <c r="N380" s="42"/>
      <c r="O380" s="42"/>
      <c r="P380" s="42"/>
      <c r="Q380" s="42"/>
      <c r="R380" s="42" t="s">
        <v>6282</v>
      </c>
      <c r="S380" s="42" t="s">
        <v>294</v>
      </c>
      <c r="T380" s="42" t="s">
        <v>4574</v>
      </c>
      <c r="U380" s="42" t="s">
        <v>500</v>
      </c>
      <c r="V380" s="44" t="s">
        <v>3892</v>
      </c>
      <c r="W380" s="42" t="s">
        <v>3892</v>
      </c>
    </row>
    <row r="381" spans="1:23">
      <c r="A381" s="40">
        <v>2</v>
      </c>
      <c r="B381" s="41">
        <v>2031070224</v>
      </c>
      <c r="C381" s="42" t="s">
        <v>4842</v>
      </c>
      <c r="D381" s="42" t="s">
        <v>760</v>
      </c>
      <c r="E381" s="43" t="s">
        <v>7273</v>
      </c>
      <c r="F381" s="42"/>
      <c r="G381" s="42"/>
      <c r="H381" s="43"/>
      <c r="I381" s="42"/>
      <c r="J381" s="42"/>
      <c r="K381" s="42"/>
      <c r="L381" s="42"/>
      <c r="M381" s="42"/>
      <c r="N381" s="42"/>
      <c r="O381" s="42"/>
      <c r="P381" s="42"/>
      <c r="Q381" s="42"/>
      <c r="R381" s="42" t="s">
        <v>6282</v>
      </c>
      <c r="S381" s="42" t="s">
        <v>294</v>
      </c>
      <c r="T381" s="42" t="s">
        <v>4574</v>
      </c>
      <c r="U381" s="42" t="s">
        <v>500</v>
      </c>
      <c r="V381" s="44" t="s">
        <v>3892</v>
      </c>
      <c r="W381" s="42" t="s">
        <v>3892</v>
      </c>
    </row>
    <row r="382" spans="1:23" ht="60">
      <c r="A382" s="40">
        <v>3</v>
      </c>
      <c r="B382" s="41">
        <v>2051017000</v>
      </c>
      <c r="C382" s="42" t="s">
        <v>347</v>
      </c>
      <c r="D382" s="42" t="s">
        <v>760</v>
      </c>
      <c r="E382" s="43" t="s">
        <v>1167</v>
      </c>
      <c r="F382" s="42"/>
      <c r="G382" s="42" t="s">
        <v>1166</v>
      </c>
      <c r="H382" s="43"/>
      <c r="I382" s="42"/>
      <c r="J382" s="42" t="s">
        <v>6283</v>
      </c>
      <c r="K382" s="42" t="s">
        <v>529</v>
      </c>
      <c r="L382" s="42" t="s">
        <v>529</v>
      </c>
      <c r="M382" s="42" t="s">
        <v>6284</v>
      </c>
      <c r="N382" s="42"/>
      <c r="O382" s="42"/>
      <c r="P382" s="42"/>
      <c r="Q382" s="42"/>
      <c r="R382" s="42" t="s">
        <v>345</v>
      </c>
      <c r="S382" s="42" t="s">
        <v>314</v>
      </c>
      <c r="T382" s="42" t="s">
        <v>3891</v>
      </c>
      <c r="U382" s="42" t="s">
        <v>500</v>
      </c>
      <c r="V382" s="44" t="s">
        <v>6285</v>
      </c>
      <c r="W382" s="42" t="s">
        <v>3905</v>
      </c>
    </row>
    <row r="383" spans="1:23" ht="120">
      <c r="A383" s="40">
        <v>4</v>
      </c>
      <c r="B383" s="41">
        <v>2051017003</v>
      </c>
      <c r="C383" s="42" t="s">
        <v>1169</v>
      </c>
      <c r="D383" s="42" t="s">
        <v>760</v>
      </c>
      <c r="E383" s="43" t="s">
        <v>1170</v>
      </c>
      <c r="F383" s="42" t="s">
        <v>1116</v>
      </c>
      <c r="G383" s="42" t="s">
        <v>1168</v>
      </c>
      <c r="H383" s="43"/>
      <c r="I383" s="42"/>
      <c r="J383" s="42" t="s">
        <v>6286</v>
      </c>
      <c r="K383" s="42" t="s">
        <v>1895</v>
      </c>
      <c r="L383" s="42"/>
      <c r="M383" s="42" t="s">
        <v>6287</v>
      </c>
      <c r="N383" s="42" t="s">
        <v>6288</v>
      </c>
      <c r="O383" s="42"/>
      <c r="P383" s="42" t="s">
        <v>6289</v>
      </c>
      <c r="Q383" s="42"/>
      <c r="R383" s="42" t="s">
        <v>345</v>
      </c>
      <c r="S383" s="42" t="s">
        <v>314</v>
      </c>
      <c r="T383" s="42" t="s">
        <v>3891</v>
      </c>
      <c r="U383" s="42" t="s">
        <v>500</v>
      </c>
      <c r="V383" s="44" t="s">
        <v>6290</v>
      </c>
      <c r="W383" s="42" t="s">
        <v>3905</v>
      </c>
    </row>
    <row r="384" spans="1:23" ht="60">
      <c r="A384" s="40">
        <v>5</v>
      </c>
      <c r="B384" s="41">
        <v>2051017454</v>
      </c>
      <c r="C384" s="42" t="s">
        <v>1219</v>
      </c>
      <c r="D384" s="42" t="s">
        <v>760</v>
      </c>
      <c r="E384" s="43" t="s">
        <v>961</v>
      </c>
      <c r="F384" s="42" t="s">
        <v>790</v>
      </c>
      <c r="G384" s="42" t="s">
        <v>1218</v>
      </c>
      <c r="H384" s="43"/>
      <c r="I384" s="42"/>
      <c r="J384" s="42" t="s">
        <v>6291</v>
      </c>
      <c r="K384" s="42" t="s">
        <v>1895</v>
      </c>
      <c r="L384" s="42" t="s">
        <v>516</v>
      </c>
      <c r="M384" s="42"/>
      <c r="N384" s="42" t="s">
        <v>6292</v>
      </c>
      <c r="O384" s="42"/>
      <c r="P384" s="42" t="s">
        <v>6293</v>
      </c>
      <c r="Q384" s="42"/>
      <c r="R384" s="42" t="s">
        <v>345</v>
      </c>
      <c r="S384" s="42" t="s">
        <v>314</v>
      </c>
      <c r="T384" s="42" t="s">
        <v>3891</v>
      </c>
      <c r="U384" s="42" t="s">
        <v>500</v>
      </c>
      <c r="V384" s="44" t="s">
        <v>6294</v>
      </c>
      <c r="W384" s="42" t="s">
        <v>3905</v>
      </c>
    </row>
    <row r="385" spans="1:23">
      <c r="A385" s="40">
        <v>6</v>
      </c>
      <c r="B385" s="41">
        <v>2051017011</v>
      </c>
      <c r="C385" s="42" t="s">
        <v>1181</v>
      </c>
      <c r="D385" s="42" t="s">
        <v>760</v>
      </c>
      <c r="E385" s="43" t="s">
        <v>1182</v>
      </c>
      <c r="F385" s="42" t="s">
        <v>6295</v>
      </c>
      <c r="G385" s="42" t="s">
        <v>1180</v>
      </c>
      <c r="H385" s="43">
        <v>43686</v>
      </c>
      <c r="I385" s="42" t="s">
        <v>6296</v>
      </c>
      <c r="J385" s="42" t="s">
        <v>6297</v>
      </c>
      <c r="K385" s="42" t="s">
        <v>1895</v>
      </c>
      <c r="L385" s="42" t="s">
        <v>6298</v>
      </c>
      <c r="M385" s="42" t="s">
        <v>6299</v>
      </c>
      <c r="N385" s="42" t="s">
        <v>6300</v>
      </c>
      <c r="O385" s="42" t="s">
        <v>6301</v>
      </c>
      <c r="P385" s="42" t="s">
        <v>6302</v>
      </c>
      <c r="Q385" s="42" t="s">
        <v>6303</v>
      </c>
      <c r="R385" s="42" t="s">
        <v>345</v>
      </c>
      <c r="S385" s="42" t="s">
        <v>314</v>
      </c>
      <c r="T385" s="42" t="s">
        <v>3891</v>
      </c>
      <c r="U385" s="42" t="s">
        <v>500</v>
      </c>
      <c r="V385" s="44" t="s">
        <v>3892</v>
      </c>
      <c r="W385" s="42" t="s">
        <v>3892</v>
      </c>
    </row>
    <row r="386" spans="1:23">
      <c r="A386" s="40">
        <v>7</v>
      </c>
      <c r="B386" s="41">
        <v>2051017012</v>
      </c>
      <c r="C386" s="42" t="s">
        <v>355</v>
      </c>
      <c r="D386" s="42" t="s">
        <v>760</v>
      </c>
      <c r="E386" s="43" t="s">
        <v>1018</v>
      </c>
      <c r="F386" s="42" t="s">
        <v>6304</v>
      </c>
      <c r="G386" s="42" t="s">
        <v>1183</v>
      </c>
      <c r="H386" s="43"/>
      <c r="I386" s="42"/>
      <c r="J386" s="42" t="s">
        <v>6305</v>
      </c>
      <c r="K386" s="42" t="s">
        <v>1895</v>
      </c>
      <c r="L386" s="42" t="s">
        <v>525</v>
      </c>
      <c r="M386" s="42" t="s">
        <v>6306</v>
      </c>
      <c r="N386" s="42" t="s">
        <v>6307</v>
      </c>
      <c r="O386" s="42"/>
      <c r="P386" s="42" t="s">
        <v>6308</v>
      </c>
      <c r="Q386" s="42"/>
      <c r="R386" s="42" t="s">
        <v>345</v>
      </c>
      <c r="S386" s="42" t="s">
        <v>314</v>
      </c>
      <c r="T386" s="42" t="s">
        <v>3891</v>
      </c>
      <c r="U386" s="42" t="s">
        <v>500</v>
      </c>
      <c r="V386" s="44" t="s">
        <v>3892</v>
      </c>
      <c r="W386" s="42" t="s">
        <v>3892</v>
      </c>
    </row>
    <row r="387" spans="1:23" ht="60">
      <c r="A387" s="40">
        <v>8</v>
      </c>
      <c r="B387" s="41">
        <v>2051017456</v>
      </c>
      <c r="C387" s="42" t="s">
        <v>344</v>
      </c>
      <c r="D387" s="42" t="s">
        <v>760</v>
      </c>
      <c r="E387" s="43" t="s">
        <v>1224</v>
      </c>
      <c r="F387" s="42" t="s">
        <v>998</v>
      </c>
      <c r="G387" s="42" t="s">
        <v>1223</v>
      </c>
      <c r="H387" s="43"/>
      <c r="I387" s="42"/>
      <c r="J387" s="42" t="s">
        <v>6309</v>
      </c>
      <c r="K387" s="42" t="s">
        <v>1895</v>
      </c>
      <c r="L387" s="42" t="s">
        <v>520</v>
      </c>
      <c r="M387" s="42"/>
      <c r="N387" s="42" t="s">
        <v>6310</v>
      </c>
      <c r="O387" s="42"/>
      <c r="P387" s="42" t="s">
        <v>6171</v>
      </c>
      <c r="Q387" s="42"/>
      <c r="R387" s="42" t="s">
        <v>345</v>
      </c>
      <c r="S387" s="42" t="s">
        <v>314</v>
      </c>
      <c r="T387" s="42" t="s">
        <v>3891</v>
      </c>
      <c r="U387" s="42" t="s">
        <v>500</v>
      </c>
      <c r="V387" s="44" t="s">
        <v>6311</v>
      </c>
      <c r="W387" s="42" t="s">
        <v>3905</v>
      </c>
    </row>
    <row r="388" spans="1:23">
      <c r="A388" s="40">
        <v>9</v>
      </c>
      <c r="B388" s="41">
        <v>2051017024</v>
      </c>
      <c r="C388" s="42" t="s">
        <v>1196</v>
      </c>
      <c r="D388" s="42" t="s">
        <v>760</v>
      </c>
      <c r="E388" s="43" t="s">
        <v>1197</v>
      </c>
      <c r="F388" s="42" t="s">
        <v>861</v>
      </c>
      <c r="G388" s="42" t="s">
        <v>1195</v>
      </c>
      <c r="H388" s="43"/>
      <c r="I388" s="42"/>
      <c r="J388" s="42" t="s">
        <v>6312</v>
      </c>
      <c r="K388" s="42" t="s">
        <v>1895</v>
      </c>
      <c r="L388" s="42"/>
      <c r="M388" s="42" t="s">
        <v>6313</v>
      </c>
      <c r="N388" s="42" t="s">
        <v>6314</v>
      </c>
      <c r="O388" s="42"/>
      <c r="P388" s="42" t="s">
        <v>6315</v>
      </c>
      <c r="Q388" s="42"/>
      <c r="R388" s="42" t="s">
        <v>345</v>
      </c>
      <c r="S388" s="42" t="s">
        <v>314</v>
      </c>
      <c r="T388" s="42" t="s">
        <v>3891</v>
      </c>
      <c r="U388" s="42" t="s">
        <v>500</v>
      </c>
      <c r="V388" s="44" t="s">
        <v>3892</v>
      </c>
      <c r="W388" s="42" t="s">
        <v>3892</v>
      </c>
    </row>
    <row r="389" spans="1:23">
      <c r="A389" s="40">
        <v>10</v>
      </c>
      <c r="B389" s="41">
        <v>2051117603</v>
      </c>
      <c r="C389" s="42" t="s">
        <v>462</v>
      </c>
      <c r="D389" s="42" t="s">
        <v>760</v>
      </c>
      <c r="E389" s="43" t="s">
        <v>870</v>
      </c>
      <c r="F389" s="42" t="s">
        <v>6316</v>
      </c>
      <c r="G389" s="42" t="s">
        <v>1595</v>
      </c>
      <c r="H389" s="43">
        <v>42548</v>
      </c>
      <c r="I389" s="42" t="s">
        <v>6317</v>
      </c>
      <c r="J389" s="42" t="s">
        <v>6318</v>
      </c>
      <c r="K389" s="42" t="s">
        <v>1895</v>
      </c>
      <c r="L389" s="42" t="s">
        <v>6298</v>
      </c>
      <c r="M389" s="42" t="s">
        <v>6319</v>
      </c>
      <c r="N389" s="42" t="s">
        <v>6320</v>
      </c>
      <c r="O389" s="42" t="s">
        <v>6321</v>
      </c>
      <c r="P389" s="42" t="s">
        <v>6322</v>
      </c>
      <c r="Q389" s="42" t="s">
        <v>6323</v>
      </c>
      <c r="R389" s="42" t="s">
        <v>463</v>
      </c>
      <c r="S389" s="42" t="s">
        <v>540</v>
      </c>
      <c r="T389" s="42" t="s">
        <v>3891</v>
      </c>
      <c r="U389" s="42" t="s">
        <v>500</v>
      </c>
      <c r="V389" s="44" t="s">
        <v>3892</v>
      </c>
      <c r="W389" s="42" t="s">
        <v>3892</v>
      </c>
    </row>
    <row r="390" spans="1:23" ht="60">
      <c r="A390" s="40">
        <v>11</v>
      </c>
      <c r="B390" s="41">
        <v>2051077595</v>
      </c>
      <c r="C390" s="42" t="s">
        <v>1172</v>
      </c>
      <c r="D390" s="42" t="s">
        <v>760</v>
      </c>
      <c r="E390" s="43" t="s">
        <v>974</v>
      </c>
      <c r="F390" s="42" t="s">
        <v>6324</v>
      </c>
      <c r="G390" s="42" t="s">
        <v>1583</v>
      </c>
      <c r="H390" s="43">
        <v>42944</v>
      </c>
      <c r="I390" s="42" t="s">
        <v>6325</v>
      </c>
      <c r="J390" s="42" t="s">
        <v>6326</v>
      </c>
      <c r="K390" s="42" t="s">
        <v>1895</v>
      </c>
      <c r="L390" s="42" t="s">
        <v>670</v>
      </c>
      <c r="M390" s="42" t="s">
        <v>6327</v>
      </c>
      <c r="N390" s="42" t="s">
        <v>6328</v>
      </c>
      <c r="O390" s="42" t="s">
        <v>6329</v>
      </c>
      <c r="P390" s="42" t="s">
        <v>6330</v>
      </c>
      <c r="Q390" s="42" t="s">
        <v>6331</v>
      </c>
      <c r="R390" s="42" t="s">
        <v>285</v>
      </c>
      <c r="S390" s="42" t="s">
        <v>258</v>
      </c>
      <c r="T390" s="42" t="s">
        <v>4574</v>
      </c>
      <c r="U390" s="42" t="s">
        <v>500</v>
      </c>
      <c r="V390" s="44" t="s">
        <v>6332</v>
      </c>
      <c r="W390" s="42" t="s">
        <v>3905</v>
      </c>
    </row>
    <row r="391" spans="1:23" ht="60">
      <c r="A391" s="40">
        <v>12</v>
      </c>
      <c r="B391" s="41">
        <v>2051077751</v>
      </c>
      <c r="C391" s="42" t="s">
        <v>766</v>
      </c>
      <c r="D391" s="42" t="s">
        <v>760</v>
      </c>
      <c r="E391" s="43" t="s">
        <v>767</v>
      </c>
      <c r="F391" s="42" t="s">
        <v>3938</v>
      </c>
      <c r="G391" s="42" t="s">
        <v>6333</v>
      </c>
      <c r="H391" s="43"/>
      <c r="I391" s="42"/>
      <c r="J391" s="42" t="s">
        <v>6334</v>
      </c>
      <c r="K391" s="42" t="s">
        <v>1895</v>
      </c>
      <c r="L391" s="42" t="s">
        <v>581</v>
      </c>
      <c r="M391" s="42"/>
      <c r="N391" s="42" t="s">
        <v>6335</v>
      </c>
      <c r="O391" s="42"/>
      <c r="P391" s="42" t="s">
        <v>6336</v>
      </c>
      <c r="Q391" s="42"/>
      <c r="R391" s="42" t="s">
        <v>285</v>
      </c>
      <c r="S391" s="42" t="s">
        <v>258</v>
      </c>
      <c r="T391" s="42" t="s">
        <v>4574</v>
      </c>
      <c r="U391" s="42" t="s">
        <v>500</v>
      </c>
      <c r="V391" s="44" t="s">
        <v>6337</v>
      </c>
      <c r="W391" s="42" t="s">
        <v>3905</v>
      </c>
    </row>
    <row r="392" spans="1:23">
      <c r="A392" s="40">
        <v>13</v>
      </c>
      <c r="B392" s="41">
        <v>2031070233</v>
      </c>
      <c r="C392" s="42" t="s">
        <v>6338</v>
      </c>
      <c r="D392" s="42" t="s">
        <v>760</v>
      </c>
      <c r="E392" s="43" t="s">
        <v>7273</v>
      </c>
      <c r="F392" s="42"/>
      <c r="G392" s="42"/>
      <c r="H392" s="43"/>
      <c r="I392" s="42"/>
      <c r="J392" s="42"/>
      <c r="K392" s="42"/>
      <c r="L392" s="42"/>
      <c r="M392" s="42"/>
      <c r="N392" s="42"/>
      <c r="O392" s="42"/>
      <c r="P392" s="42"/>
      <c r="Q392" s="42"/>
      <c r="R392" s="42" t="s">
        <v>285</v>
      </c>
      <c r="S392" s="42" t="s">
        <v>258</v>
      </c>
      <c r="T392" s="42" t="s">
        <v>4574</v>
      </c>
      <c r="U392" s="42" t="s">
        <v>500</v>
      </c>
      <c r="V392" s="44" t="s">
        <v>3892</v>
      </c>
      <c r="W392" s="42" t="s">
        <v>3892</v>
      </c>
    </row>
    <row r="393" spans="1:23">
      <c r="A393" s="40">
        <v>14</v>
      </c>
      <c r="B393" s="41">
        <v>2051077260</v>
      </c>
      <c r="C393" s="42" t="s">
        <v>1542</v>
      </c>
      <c r="D393" s="42" t="s">
        <v>760</v>
      </c>
      <c r="E393" s="43" t="s">
        <v>1543</v>
      </c>
      <c r="F393" s="42" t="s">
        <v>6339</v>
      </c>
      <c r="G393" s="42" t="s">
        <v>1541</v>
      </c>
      <c r="H393" s="43"/>
      <c r="I393" s="42"/>
      <c r="J393" s="42" t="s">
        <v>6340</v>
      </c>
      <c r="K393" s="42" t="s">
        <v>1895</v>
      </c>
      <c r="L393" s="42" t="s">
        <v>669</v>
      </c>
      <c r="M393" s="42" t="s">
        <v>6341</v>
      </c>
      <c r="N393" s="42" t="s">
        <v>6342</v>
      </c>
      <c r="O393" s="42"/>
      <c r="P393" s="42" t="s">
        <v>6343</v>
      </c>
      <c r="Q393" s="42"/>
      <c r="R393" s="42" t="s">
        <v>285</v>
      </c>
      <c r="S393" s="42" t="s">
        <v>258</v>
      </c>
      <c r="T393" s="42" t="s">
        <v>4574</v>
      </c>
      <c r="U393" s="42" t="s">
        <v>500</v>
      </c>
      <c r="V393" s="44" t="s">
        <v>3892</v>
      </c>
      <c r="W393" s="42" t="s">
        <v>3892</v>
      </c>
    </row>
    <row r="394" spans="1:23">
      <c r="A394" s="40">
        <v>15</v>
      </c>
      <c r="B394" s="41">
        <v>2051077592</v>
      </c>
      <c r="C394" s="42" t="s">
        <v>284</v>
      </c>
      <c r="D394" s="42" t="s">
        <v>760</v>
      </c>
      <c r="E394" s="43" t="s">
        <v>876</v>
      </c>
      <c r="F394" s="42" t="s">
        <v>6344</v>
      </c>
      <c r="G394" s="42" t="s">
        <v>1582</v>
      </c>
      <c r="H394" s="43"/>
      <c r="I394" s="42"/>
      <c r="J394" s="42" t="s">
        <v>6345</v>
      </c>
      <c r="K394" s="42" t="s">
        <v>1895</v>
      </c>
      <c r="L394" s="42" t="s">
        <v>667</v>
      </c>
      <c r="M394" s="42"/>
      <c r="N394" s="42" t="s">
        <v>6346</v>
      </c>
      <c r="O394" s="42"/>
      <c r="P394" s="42" t="s">
        <v>6347</v>
      </c>
      <c r="Q394" s="42"/>
      <c r="R394" s="42" t="s">
        <v>285</v>
      </c>
      <c r="S394" s="42" t="s">
        <v>258</v>
      </c>
      <c r="T394" s="42" t="s">
        <v>4574</v>
      </c>
      <c r="U394" s="42" t="s">
        <v>500</v>
      </c>
      <c r="V394" s="44" t="s">
        <v>3892</v>
      </c>
      <c r="W394" s="42" t="s">
        <v>3892</v>
      </c>
    </row>
    <row r="395" spans="1:23">
      <c r="A395" s="40">
        <v>16</v>
      </c>
      <c r="B395" s="41">
        <v>2051077262</v>
      </c>
      <c r="C395" s="42" t="s">
        <v>1545</v>
      </c>
      <c r="D395" s="42" t="s">
        <v>760</v>
      </c>
      <c r="E395" s="43" t="s">
        <v>1546</v>
      </c>
      <c r="F395" s="42" t="s">
        <v>817</v>
      </c>
      <c r="G395" s="42" t="s">
        <v>1544</v>
      </c>
      <c r="H395" s="43"/>
      <c r="I395" s="42"/>
      <c r="J395" s="42" t="s">
        <v>6348</v>
      </c>
      <c r="K395" s="42" t="s">
        <v>6349</v>
      </c>
      <c r="L395" s="42"/>
      <c r="M395" s="42" t="s">
        <v>6350</v>
      </c>
      <c r="N395" s="42" t="s">
        <v>6351</v>
      </c>
      <c r="O395" s="42"/>
      <c r="P395" s="42" t="s">
        <v>6352</v>
      </c>
      <c r="Q395" s="42"/>
      <c r="R395" s="42" t="s">
        <v>285</v>
      </c>
      <c r="S395" s="42" t="s">
        <v>258</v>
      </c>
      <c r="T395" s="42" t="s">
        <v>4574</v>
      </c>
      <c r="U395" s="42" t="s">
        <v>500</v>
      </c>
      <c r="V395" s="44" t="s">
        <v>3892</v>
      </c>
      <c r="W395" s="42" t="s">
        <v>3892</v>
      </c>
    </row>
    <row r="396" spans="1:23">
      <c r="A396" s="40">
        <v>17</v>
      </c>
      <c r="B396" s="41">
        <v>2031070238</v>
      </c>
      <c r="C396" s="42" t="s">
        <v>374</v>
      </c>
      <c r="D396" s="42" t="s">
        <v>760</v>
      </c>
      <c r="E396" s="43" t="s">
        <v>7273</v>
      </c>
      <c r="F396" s="42"/>
      <c r="G396" s="42"/>
      <c r="H396" s="43"/>
      <c r="I396" s="42"/>
      <c r="J396" s="42"/>
      <c r="K396" s="42"/>
      <c r="L396" s="42"/>
      <c r="M396" s="42"/>
      <c r="N396" s="42"/>
      <c r="O396" s="42"/>
      <c r="P396" s="42"/>
      <c r="Q396" s="42"/>
      <c r="R396" s="42" t="s">
        <v>285</v>
      </c>
      <c r="S396" s="42" t="s">
        <v>258</v>
      </c>
      <c r="T396" s="42" t="s">
        <v>4574</v>
      </c>
      <c r="U396" s="42" t="s">
        <v>500</v>
      </c>
      <c r="V396" s="44" t="s">
        <v>3892</v>
      </c>
      <c r="W396" s="42" t="s">
        <v>3892</v>
      </c>
    </row>
    <row r="397" spans="1:23" ht="60">
      <c r="A397" s="40">
        <v>18</v>
      </c>
      <c r="B397" s="41">
        <v>2051077265</v>
      </c>
      <c r="C397" s="42" t="s">
        <v>1553</v>
      </c>
      <c r="D397" s="42" t="s">
        <v>760</v>
      </c>
      <c r="E397" s="43" t="s">
        <v>834</v>
      </c>
      <c r="F397" s="42" t="s">
        <v>6353</v>
      </c>
      <c r="G397" s="42" t="s">
        <v>1552</v>
      </c>
      <c r="H397" s="43">
        <v>43066</v>
      </c>
      <c r="I397" s="42" t="s">
        <v>6354</v>
      </c>
      <c r="J397" s="42" t="s">
        <v>6355</v>
      </c>
      <c r="K397" s="42" t="s">
        <v>1895</v>
      </c>
      <c r="L397" s="42" t="s">
        <v>6356</v>
      </c>
      <c r="M397" s="42" t="s">
        <v>6357</v>
      </c>
      <c r="N397" s="42" t="s">
        <v>6358</v>
      </c>
      <c r="O397" s="42" t="s">
        <v>6359</v>
      </c>
      <c r="P397" s="42" t="s">
        <v>6360</v>
      </c>
      <c r="Q397" s="42" t="s">
        <v>6355</v>
      </c>
      <c r="R397" s="42" t="s">
        <v>285</v>
      </c>
      <c r="S397" s="42" t="s">
        <v>258</v>
      </c>
      <c r="T397" s="42" t="s">
        <v>4574</v>
      </c>
      <c r="U397" s="42" t="s">
        <v>500</v>
      </c>
      <c r="V397" s="44" t="s">
        <v>6361</v>
      </c>
      <c r="W397" s="42" t="s">
        <v>3905</v>
      </c>
    </row>
    <row r="398" spans="1:23">
      <c r="A398" s="40">
        <v>19</v>
      </c>
      <c r="B398" s="41">
        <v>2051077267</v>
      </c>
      <c r="C398" s="42" t="s">
        <v>1555</v>
      </c>
      <c r="D398" s="42" t="s">
        <v>760</v>
      </c>
      <c r="E398" s="43" t="s">
        <v>1556</v>
      </c>
      <c r="F398" s="42" t="s">
        <v>835</v>
      </c>
      <c r="G398" s="42" t="s">
        <v>6362</v>
      </c>
      <c r="H398" s="43">
        <v>44724</v>
      </c>
      <c r="I398" s="42" t="s">
        <v>835</v>
      </c>
      <c r="J398" s="42" t="s">
        <v>6363</v>
      </c>
      <c r="K398" s="42" t="s">
        <v>1895</v>
      </c>
      <c r="L398" s="42" t="s">
        <v>6364</v>
      </c>
      <c r="M398" s="42" t="s">
        <v>6365</v>
      </c>
      <c r="N398" s="42" t="s">
        <v>6366</v>
      </c>
      <c r="O398" s="42" t="s">
        <v>6367</v>
      </c>
      <c r="P398" s="42" t="s">
        <v>6368</v>
      </c>
      <c r="Q398" s="42" t="s">
        <v>6369</v>
      </c>
      <c r="R398" s="42" t="s">
        <v>285</v>
      </c>
      <c r="S398" s="42" t="s">
        <v>258</v>
      </c>
      <c r="T398" s="42" t="s">
        <v>4574</v>
      </c>
      <c r="U398" s="42" t="s">
        <v>500</v>
      </c>
      <c r="V398" s="44" t="s">
        <v>3892</v>
      </c>
      <c r="W398" s="42" t="s">
        <v>3892</v>
      </c>
    </row>
    <row r="399" spans="1:23">
      <c r="A399" s="40">
        <v>20</v>
      </c>
      <c r="B399" s="41">
        <v>2051077269</v>
      </c>
      <c r="C399" s="42" t="s">
        <v>1561</v>
      </c>
      <c r="D399" s="42" t="s">
        <v>760</v>
      </c>
      <c r="E399" s="43" t="s">
        <v>1311</v>
      </c>
      <c r="F399" s="42" t="s">
        <v>4236</v>
      </c>
      <c r="G399" s="42" t="s">
        <v>1560</v>
      </c>
      <c r="H399" s="43"/>
      <c r="I399" s="42"/>
      <c r="J399" s="42" t="s">
        <v>6370</v>
      </c>
      <c r="K399" s="42" t="s">
        <v>2316</v>
      </c>
      <c r="L399" s="42"/>
      <c r="M399" s="42" t="s">
        <v>6371</v>
      </c>
      <c r="N399" s="42" t="s">
        <v>6372</v>
      </c>
      <c r="O399" s="42"/>
      <c r="P399" s="42" t="s">
        <v>6373</v>
      </c>
      <c r="Q399" s="42"/>
      <c r="R399" s="42" t="s">
        <v>285</v>
      </c>
      <c r="S399" s="42" t="s">
        <v>258</v>
      </c>
      <c r="T399" s="42" t="s">
        <v>4574</v>
      </c>
      <c r="U399" s="42" t="s">
        <v>500</v>
      </c>
      <c r="V399" s="44" t="s">
        <v>3892</v>
      </c>
      <c r="W399" s="42" t="s">
        <v>3892</v>
      </c>
    </row>
    <row r="400" spans="1:23">
      <c r="A400" s="40">
        <v>21</v>
      </c>
      <c r="B400" s="41">
        <v>2031070253</v>
      </c>
      <c r="C400" s="42" t="s">
        <v>287</v>
      </c>
      <c r="D400" s="42" t="s">
        <v>760</v>
      </c>
      <c r="E400" s="43" t="s">
        <v>7273</v>
      </c>
      <c r="F400" s="42"/>
      <c r="G400" s="42"/>
      <c r="H400" s="43"/>
      <c r="I400" s="42"/>
      <c r="J400" s="42"/>
      <c r="K400" s="42"/>
      <c r="L400" s="42"/>
      <c r="M400" s="42"/>
      <c r="N400" s="42"/>
      <c r="O400" s="42"/>
      <c r="P400" s="42"/>
      <c r="Q400" s="42"/>
      <c r="R400" s="42" t="s">
        <v>285</v>
      </c>
      <c r="S400" s="42" t="s">
        <v>258</v>
      </c>
      <c r="T400" s="42" t="s">
        <v>4574</v>
      </c>
      <c r="U400" s="42" t="s">
        <v>500</v>
      </c>
      <c r="V400" s="44" t="s">
        <v>3892</v>
      </c>
      <c r="W400" s="42" t="s">
        <v>3892</v>
      </c>
    </row>
    <row r="401" spans="1:23">
      <c r="A401" s="40">
        <v>22</v>
      </c>
      <c r="B401" s="41">
        <v>2031070259</v>
      </c>
      <c r="C401" s="42" t="s">
        <v>290</v>
      </c>
      <c r="D401" s="42" t="s">
        <v>760</v>
      </c>
      <c r="E401" s="43" t="s">
        <v>7273</v>
      </c>
      <c r="F401" s="42"/>
      <c r="G401" s="42"/>
      <c r="H401" s="43"/>
      <c r="I401" s="42"/>
      <c r="J401" s="42"/>
      <c r="K401" s="42"/>
      <c r="L401" s="42"/>
      <c r="M401" s="42"/>
      <c r="N401" s="42"/>
      <c r="O401" s="42"/>
      <c r="P401" s="42"/>
      <c r="Q401" s="42"/>
      <c r="R401" s="42" t="s">
        <v>285</v>
      </c>
      <c r="S401" s="42" t="s">
        <v>258</v>
      </c>
      <c r="T401" s="42" t="s">
        <v>4574</v>
      </c>
      <c r="U401" s="42" t="s">
        <v>500</v>
      </c>
      <c r="V401" s="44" t="s">
        <v>3892</v>
      </c>
      <c r="W401" s="42" t="s">
        <v>3892</v>
      </c>
    </row>
    <row r="402" spans="1:23">
      <c r="A402" s="40">
        <v>23</v>
      </c>
      <c r="B402" s="41">
        <v>2051077273</v>
      </c>
      <c r="C402" s="42" t="s">
        <v>1571</v>
      </c>
      <c r="D402" s="42" t="s">
        <v>760</v>
      </c>
      <c r="E402" s="43" t="s">
        <v>1572</v>
      </c>
      <c r="F402" s="42" t="s">
        <v>6374</v>
      </c>
      <c r="G402" s="42" t="s">
        <v>1570</v>
      </c>
      <c r="H402" s="43">
        <v>43616</v>
      </c>
      <c r="I402" s="42" t="s">
        <v>817</v>
      </c>
      <c r="J402" s="42" t="s">
        <v>6375</v>
      </c>
      <c r="K402" s="42" t="s">
        <v>1895</v>
      </c>
      <c r="L402" s="42" t="s">
        <v>6298</v>
      </c>
      <c r="M402" s="42" t="s">
        <v>6376</v>
      </c>
      <c r="N402" s="42" t="s">
        <v>6377</v>
      </c>
      <c r="O402" s="42" t="s">
        <v>6375</v>
      </c>
      <c r="P402" s="42" t="s">
        <v>6378</v>
      </c>
      <c r="Q402" s="42" t="s">
        <v>6375</v>
      </c>
      <c r="R402" s="42" t="s">
        <v>285</v>
      </c>
      <c r="S402" s="42" t="s">
        <v>258</v>
      </c>
      <c r="T402" s="42" t="s">
        <v>4574</v>
      </c>
      <c r="U402" s="42" t="s">
        <v>500</v>
      </c>
      <c r="V402" s="44" t="s">
        <v>3892</v>
      </c>
      <c r="W402" s="42" t="s">
        <v>3892</v>
      </c>
    </row>
    <row r="403" spans="1:23">
      <c r="A403" s="40">
        <v>24</v>
      </c>
      <c r="B403" s="41">
        <v>2031070242</v>
      </c>
      <c r="C403" s="42" t="s">
        <v>6379</v>
      </c>
      <c r="D403" s="42" t="s">
        <v>760</v>
      </c>
      <c r="E403" s="43" t="s">
        <v>7273</v>
      </c>
      <c r="F403" s="42" t="s">
        <v>288</v>
      </c>
      <c r="G403" s="42"/>
      <c r="H403" s="43"/>
      <c r="I403" s="42"/>
      <c r="J403" s="42"/>
      <c r="K403" s="42"/>
      <c r="L403" s="42"/>
      <c r="M403" s="42"/>
      <c r="N403" s="42"/>
      <c r="O403" s="42"/>
      <c r="P403" s="42"/>
      <c r="Q403" s="42"/>
      <c r="R403" s="42" t="s">
        <v>285</v>
      </c>
      <c r="S403" s="42" t="s">
        <v>258</v>
      </c>
      <c r="T403" s="42" t="s">
        <v>4574</v>
      </c>
      <c r="U403" s="42" t="s">
        <v>500</v>
      </c>
      <c r="V403" s="44" t="s">
        <v>3892</v>
      </c>
      <c r="W403" s="42" t="s">
        <v>3892</v>
      </c>
    </row>
    <row r="404" spans="1:23" ht="60">
      <c r="A404" s="40">
        <v>25</v>
      </c>
      <c r="B404" s="41">
        <v>2051047068</v>
      </c>
      <c r="C404" s="42" t="s">
        <v>1272</v>
      </c>
      <c r="D404" s="42" t="s">
        <v>760</v>
      </c>
      <c r="E404" s="43" t="s">
        <v>1273</v>
      </c>
      <c r="F404" s="42" t="s">
        <v>6344</v>
      </c>
      <c r="G404" s="42" t="s">
        <v>1271</v>
      </c>
      <c r="H404" s="43"/>
      <c r="I404" s="42"/>
      <c r="J404" s="42" t="s">
        <v>6380</v>
      </c>
      <c r="K404" s="42" t="s">
        <v>1895</v>
      </c>
      <c r="L404" s="42"/>
      <c r="M404" s="42" t="s">
        <v>5015</v>
      </c>
      <c r="N404" s="42" t="s">
        <v>6381</v>
      </c>
      <c r="O404" s="42"/>
      <c r="P404" s="42" t="s">
        <v>6382</v>
      </c>
      <c r="Q404" s="42"/>
      <c r="R404" s="42" t="s">
        <v>375</v>
      </c>
      <c r="S404" s="42" t="s">
        <v>359</v>
      </c>
      <c r="T404" s="42" t="s">
        <v>3891</v>
      </c>
      <c r="U404" s="42" t="s">
        <v>500</v>
      </c>
      <c r="V404" s="44" t="s">
        <v>6383</v>
      </c>
      <c r="W404" s="42" t="s">
        <v>3905</v>
      </c>
    </row>
    <row r="405" spans="1:23" ht="30">
      <c r="A405" s="40">
        <v>26</v>
      </c>
      <c r="B405" s="41">
        <v>2051117601</v>
      </c>
      <c r="C405" s="42" t="s">
        <v>1371</v>
      </c>
      <c r="D405" s="42" t="s">
        <v>760</v>
      </c>
      <c r="E405" s="43" t="s">
        <v>944</v>
      </c>
      <c r="F405" s="42" t="s">
        <v>1153</v>
      </c>
      <c r="G405" s="42" t="s">
        <v>1370</v>
      </c>
      <c r="H405" s="43">
        <v>43651</v>
      </c>
      <c r="I405" s="42" t="s">
        <v>6384</v>
      </c>
      <c r="J405" s="42" t="s">
        <v>6385</v>
      </c>
      <c r="K405" s="42" t="s">
        <v>1895</v>
      </c>
      <c r="L405" s="42" t="s">
        <v>676</v>
      </c>
      <c r="M405" s="42" t="s">
        <v>6386</v>
      </c>
      <c r="N405" s="42" t="s">
        <v>6387</v>
      </c>
      <c r="O405" s="42" t="s">
        <v>6388</v>
      </c>
      <c r="P405" s="42" t="s">
        <v>6389</v>
      </c>
      <c r="Q405" s="42" t="s">
        <v>6385</v>
      </c>
      <c r="R405" s="42" t="s">
        <v>375</v>
      </c>
      <c r="S405" s="42" t="s">
        <v>359</v>
      </c>
      <c r="T405" s="42" t="s">
        <v>3891</v>
      </c>
      <c r="U405" s="42" t="s">
        <v>500</v>
      </c>
      <c r="V405" s="44" t="s">
        <v>6390</v>
      </c>
      <c r="W405" s="42" t="s">
        <v>6391</v>
      </c>
    </row>
    <row r="406" spans="1:23">
      <c r="A406" s="40">
        <v>27</v>
      </c>
      <c r="B406" s="41">
        <v>2051047081</v>
      </c>
      <c r="C406" s="42" t="s">
        <v>1278</v>
      </c>
      <c r="D406" s="42" t="s">
        <v>760</v>
      </c>
      <c r="E406" s="43" t="s">
        <v>1279</v>
      </c>
      <c r="F406" s="42" t="s">
        <v>1032</v>
      </c>
      <c r="G406" s="42" t="s">
        <v>1277</v>
      </c>
      <c r="H406" s="43">
        <v>42954</v>
      </c>
      <c r="I406" s="42" t="s">
        <v>6392</v>
      </c>
      <c r="J406" s="42" t="s">
        <v>6393</v>
      </c>
      <c r="K406" s="42" t="s">
        <v>1895</v>
      </c>
      <c r="L406" s="42" t="s">
        <v>6298</v>
      </c>
      <c r="M406" s="42" t="s">
        <v>6394</v>
      </c>
      <c r="N406" s="42" t="s">
        <v>6395</v>
      </c>
      <c r="O406" s="42"/>
      <c r="P406" s="42" t="s">
        <v>6396</v>
      </c>
      <c r="Q406" s="42"/>
      <c r="R406" s="42" t="s">
        <v>375</v>
      </c>
      <c r="S406" s="42" t="s">
        <v>359</v>
      </c>
      <c r="T406" s="42" t="s">
        <v>3891</v>
      </c>
      <c r="U406" s="42" t="s">
        <v>500</v>
      </c>
      <c r="V406" s="44" t="s">
        <v>3892</v>
      </c>
      <c r="W406" s="42" t="s">
        <v>3892</v>
      </c>
    </row>
    <row r="407" spans="1:23">
      <c r="A407" s="40">
        <v>28</v>
      </c>
      <c r="B407" s="41">
        <v>2051047479</v>
      </c>
      <c r="C407" s="42" t="s">
        <v>1323</v>
      </c>
      <c r="D407" s="42" t="s">
        <v>760</v>
      </c>
      <c r="E407" s="43" t="s">
        <v>1324</v>
      </c>
      <c r="F407" s="42" t="s">
        <v>6397</v>
      </c>
      <c r="G407" s="42" t="s">
        <v>1322</v>
      </c>
      <c r="H407" s="43">
        <v>43264</v>
      </c>
      <c r="I407" s="42" t="s">
        <v>6397</v>
      </c>
      <c r="J407" s="42" t="s">
        <v>6398</v>
      </c>
      <c r="K407" s="42" t="s">
        <v>547</v>
      </c>
      <c r="L407" s="42" t="s">
        <v>1901</v>
      </c>
      <c r="M407" s="42" t="s">
        <v>6399</v>
      </c>
      <c r="N407" s="42" t="s">
        <v>6400</v>
      </c>
      <c r="O407" s="42" t="s">
        <v>6401</v>
      </c>
      <c r="P407" s="42" t="s">
        <v>6402</v>
      </c>
      <c r="Q407" s="42" t="s">
        <v>6403</v>
      </c>
      <c r="R407" s="42" t="s">
        <v>375</v>
      </c>
      <c r="S407" s="42" t="s">
        <v>359</v>
      </c>
      <c r="T407" s="42" t="s">
        <v>3891</v>
      </c>
      <c r="U407" s="42" t="s">
        <v>500</v>
      </c>
      <c r="V407" s="44" t="s">
        <v>3892</v>
      </c>
      <c r="W407" s="42" t="s">
        <v>3892</v>
      </c>
    </row>
    <row r="408" spans="1:23">
      <c r="A408" s="40">
        <v>29</v>
      </c>
      <c r="B408" s="41">
        <v>2051047092</v>
      </c>
      <c r="C408" s="42" t="s">
        <v>379</v>
      </c>
      <c r="D408" s="42" t="s">
        <v>760</v>
      </c>
      <c r="E408" s="43" t="s">
        <v>1285</v>
      </c>
      <c r="F408" s="42" t="s">
        <v>6404</v>
      </c>
      <c r="G408" s="42" t="s">
        <v>1283</v>
      </c>
      <c r="H408" s="43">
        <v>42111</v>
      </c>
      <c r="I408" s="42" t="s">
        <v>6404</v>
      </c>
      <c r="J408" s="42" t="s">
        <v>6405</v>
      </c>
      <c r="K408" s="42" t="s">
        <v>1895</v>
      </c>
      <c r="L408" s="42" t="s">
        <v>6298</v>
      </c>
      <c r="M408" s="42" t="s">
        <v>6406</v>
      </c>
      <c r="N408" s="42" t="s">
        <v>6407</v>
      </c>
      <c r="O408" s="42" t="s">
        <v>6408</v>
      </c>
      <c r="P408" s="42" t="s">
        <v>6409</v>
      </c>
      <c r="Q408" s="42" t="s">
        <v>6410</v>
      </c>
      <c r="R408" s="42" t="s">
        <v>375</v>
      </c>
      <c r="S408" s="42" t="s">
        <v>359</v>
      </c>
      <c r="T408" s="42" t="s">
        <v>3891</v>
      </c>
      <c r="U408" s="42" t="s">
        <v>500</v>
      </c>
      <c r="V408" s="44" t="s">
        <v>3892</v>
      </c>
      <c r="W408" s="42" t="s">
        <v>3892</v>
      </c>
    </row>
    <row r="409" spans="1:23">
      <c r="A409" s="40">
        <v>30</v>
      </c>
      <c r="B409" s="41">
        <v>2051047481</v>
      </c>
      <c r="C409" s="42" t="s">
        <v>383</v>
      </c>
      <c r="D409" s="42" t="s">
        <v>760</v>
      </c>
      <c r="E409" s="43" t="s">
        <v>1326</v>
      </c>
      <c r="F409" s="42" t="s">
        <v>6411</v>
      </c>
      <c r="G409" s="42" t="s">
        <v>1325</v>
      </c>
      <c r="H409" s="43">
        <v>43169</v>
      </c>
      <c r="I409" s="42" t="s">
        <v>6412</v>
      </c>
      <c r="J409" s="42" t="s">
        <v>6413</v>
      </c>
      <c r="K409" s="42" t="s">
        <v>1895</v>
      </c>
      <c r="L409" s="42" t="s">
        <v>6298</v>
      </c>
      <c r="M409" s="42" t="s">
        <v>6414</v>
      </c>
      <c r="N409" s="42" t="s">
        <v>6415</v>
      </c>
      <c r="O409" s="42" t="s">
        <v>6416</v>
      </c>
      <c r="P409" s="42" t="s">
        <v>6417</v>
      </c>
      <c r="Q409" s="42" t="s">
        <v>6418</v>
      </c>
      <c r="R409" s="42" t="s">
        <v>375</v>
      </c>
      <c r="S409" s="42" t="s">
        <v>359</v>
      </c>
      <c r="T409" s="42" t="s">
        <v>3891</v>
      </c>
      <c r="U409" s="42" t="s">
        <v>500</v>
      </c>
      <c r="V409" s="44" t="s">
        <v>3892</v>
      </c>
      <c r="W409" s="42" t="s">
        <v>3892</v>
      </c>
    </row>
    <row r="410" spans="1:23">
      <c r="A410" s="40">
        <v>31</v>
      </c>
      <c r="B410" s="41">
        <v>2051047095</v>
      </c>
      <c r="C410" s="42" t="s">
        <v>374</v>
      </c>
      <c r="D410" s="42" t="s">
        <v>760</v>
      </c>
      <c r="E410" s="43" t="s">
        <v>1229</v>
      </c>
      <c r="F410" s="42" t="s">
        <v>6419</v>
      </c>
      <c r="G410" s="42" t="s">
        <v>1286</v>
      </c>
      <c r="H410" s="43"/>
      <c r="I410" s="42"/>
      <c r="J410" s="42" t="s">
        <v>6420</v>
      </c>
      <c r="K410" s="42" t="s">
        <v>1895</v>
      </c>
      <c r="L410" s="42"/>
      <c r="M410" s="42" t="s">
        <v>6421</v>
      </c>
      <c r="N410" s="42" t="s">
        <v>6422</v>
      </c>
      <c r="O410" s="42"/>
      <c r="P410" s="42" t="s">
        <v>6423</v>
      </c>
      <c r="Q410" s="42"/>
      <c r="R410" s="42" t="s">
        <v>375</v>
      </c>
      <c r="S410" s="42" t="s">
        <v>359</v>
      </c>
      <c r="T410" s="42" t="s">
        <v>3891</v>
      </c>
      <c r="U410" s="42" t="s">
        <v>500</v>
      </c>
      <c r="V410" s="44" t="s">
        <v>3892</v>
      </c>
      <c r="W410" s="42" t="s">
        <v>3892</v>
      </c>
    </row>
    <row r="411" spans="1:23">
      <c r="A411" s="40">
        <v>32</v>
      </c>
      <c r="B411" s="41">
        <v>2051047109</v>
      </c>
      <c r="C411" s="42" t="s">
        <v>381</v>
      </c>
      <c r="D411" s="42" t="s">
        <v>760</v>
      </c>
      <c r="E411" s="43" t="s">
        <v>1497</v>
      </c>
      <c r="F411" s="42" t="s">
        <v>4352</v>
      </c>
      <c r="G411" s="42" t="s">
        <v>1295</v>
      </c>
      <c r="H411" s="43">
        <v>44399</v>
      </c>
      <c r="I411" s="42" t="s">
        <v>6424</v>
      </c>
      <c r="J411" s="42" t="s">
        <v>6425</v>
      </c>
      <c r="K411" s="42" t="s">
        <v>1895</v>
      </c>
      <c r="L411" s="42" t="s">
        <v>6356</v>
      </c>
      <c r="M411" s="42" t="s">
        <v>6426</v>
      </c>
      <c r="N411" s="42" t="s">
        <v>6427</v>
      </c>
      <c r="O411" s="42" t="s">
        <v>6428</v>
      </c>
      <c r="P411" s="42" t="s">
        <v>6429</v>
      </c>
      <c r="Q411" s="42" t="s">
        <v>6430</v>
      </c>
      <c r="R411" s="42" t="s">
        <v>375</v>
      </c>
      <c r="S411" s="42" t="s">
        <v>359</v>
      </c>
      <c r="T411" s="42" t="s">
        <v>3891</v>
      </c>
      <c r="U411" s="42" t="s">
        <v>500</v>
      </c>
      <c r="V411" s="44" t="s">
        <v>3892</v>
      </c>
      <c r="W411" s="42" t="s">
        <v>3892</v>
      </c>
    </row>
    <row r="412" spans="1:23">
      <c r="A412" s="40">
        <v>33</v>
      </c>
      <c r="B412" s="41">
        <v>2051047120</v>
      </c>
      <c r="C412" s="42" t="s">
        <v>444</v>
      </c>
      <c r="D412" s="42" t="s">
        <v>760</v>
      </c>
      <c r="E412" s="43" t="s">
        <v>1301</v>
      </c>
      <c r="F412" s="42" t="s">
        <v>772</v>
      </c>
      <c r="G412" s="42" t="s">
        <v>1300</v>
      </c>
      <c r="H412" s="43"/>
      <c r="I412" s="42"/>
      <c r="J412" s="42" t="s">
        <v>6431</v>
      </c>
      <c r="K412" s="42" t="s">
        <v>1895</v>
      </c>
      <c r="L412" s="42"/>
      <c r="M412" s="42" t="s">
        <v>6432</v>
      </c>
      <c r="N412" s="42" t="s">
        <v>6433</v>
      </c>
      <c r="O412" s="42"/>
      <c r="P412" s="42" t="s">
        <v>6434</v>
      </c>
      <c r="Q412" s="42"/>
      <c r="R412" s="42" t="s">
        <v>375</v>
      </c>
      <c r="S412" s="42" t="s">
        <v>359</v>
      </c>
      <c r="T412" s="42" t="s">
        <v>3891</v>
      </c>
      <c r="U412" s="42" t="s">
        <v>500</v>
      </c>
      <c r="V412" s="44" t="s">
        <v>3892</v>
      </c>
      <c r="W412" s="42" t="s">
        <v>3892</v>
      </c>
    </row>
    <row r="413" spans="1:23">
      <c r="A413" s="40">
        <v>34</v>
      </c>
      <c r="B413" s="41">
        <v>2051047478</v>
      </c>
      <c r="C413" s="42" t="s">
        <v>377</v>
      </c>
      <c r="D413" s="42" t="s">
        <v>760</v>
      </c>
      <c r="E413" s="43" t="s">
        <v>1070</v>
      </c>
      <c r="F413" s="42" t="s">
        <v>6435</v>
      </c>
      <c r="G413" s="42" t="s">
        <v>1321</v>
      </c>
      <c r="H413" s="43"/>
      <c r="I413" s="42"/>
      <c r="J413" s="42" t="s">
        <v>6436</v>
      </c>
      <c r="K413" s="42" t="s">
        <v>1895</v>
      </c>
      <c r="L413" s="42" t="s">
        <v>546</v>
      </c>
      <c r="M413" s="42"/>
      <c r="N413" s="42" t="s">
        <v>6437</v>
      </c>
      <c r="O413" s="42"/>
      <c r="P413" s="42" t="s">
        <v>6438</v>
      </c>
      <c r="Q413" s="42"/>
      <c r="R413" s="42" t="s">
        <v>375</v>
      </c>
      <c r="S413" s="42" t="s">
        <v>359</v>
      </c>
      <c r="T413" s="42" t="s">
        <v>3891</v>
      </c>
      <c r="U413" s="42" t="s">
        <v>500</v>
      </c>
      <c r="V413" s="44" t="s">
        <v>3892</v>
      </c>
      <c r="W413" s="42" t="s">
        <v>3892</v>
      </c>
    </row>
    <row r="414" spans="1:23" ht="60">
      <c r="A414" s="40">
        <v>35</v>
      </c>
      <c r="B414" s="41">
        <v>2051047126</v>
      </c>
      <c r="C414" s="42" t="s">
        <v>1305</v>
      </c>
      <c r="D414" s="42" t="s">
        <v>760</v>
      </c>
      <c r="E414" s="43" t="s">
        <v>1306</v>
      </c>
      <c r="F414" s="42" t="s">
        <v>761</v>
      </c>
      <c r="G414" s="42" t="s">
        <v>1304</v>
      </c>
      <c r="H414" s="43">
        <v>43256</v>
      </c>
      <c r="I414" s="42" t="s">
        <v>6439</v>
      </c>
      <c r="J414" s="42" t="s">
        <v>6440</v>
      </c>
      <c r="K414" s="42" t="s">
        <v>1895</v>
      </c>
      <c r="L414" s="42" t="s">
        <v>6298</v>
      </c>
      <c r="M414" s="42" t="s">
        <v>6441</v>
      </c>
      <c r="N414" s="42" t="s">
        <v>6442</v>
      </c>
      <c r="O414" s="42" t="s">
        <v>6443</v>
      </c>
      <c r="P414" s="42" t="s">
        <v>6441</v>
      </c>
      <c r="Q414" s="42" t="s">
        <v>6444</v>
      </c>
      <c r="R414" s="42" t="s">
        <v>375</v>
      </c>
      <c r="S414" s="42" t="s">
        <v>359</v>
      </c>
      <c r="T414" s="42" t="s">
        <v>3891</v>
      </c>
      <c r="U414" s="42" t="s">
        <v>500</v>
      </c>
      <c r="V414" s="44" t="s">
        <v>6445</v>
      </c>
      <c r="W414" s="42" t="s">
        <v>3905</v>
      </c>
    </row>
    <row r="415" spans="1:23">
      <c r="A415" s="40">
        <v>36</v>
      </c>
      <c r="B415" s="41">
        <v>2051047803</v>
      </c>
      <c r="C415" s="42" t="s">
        <v>932</v>
      </c>
      <c r="D415" s="42" t="s">
        <v>760</v>
      </c>
      <c r="E415" s="43" t="s">
        <v>933</v>
      </c>
      <c r="F415" s="42" t="s">
        <v>761</v>
      </c>
      <c r="G415" s="42" t="s">
        <v>931</v>
      </c>
      <c r="H415" s="43"/>
      <c r="I415" s="42"/>
      <c r="J415" s="42" t="s">
        <v>6446</v>
      </c>
      <c r="K415" s="42" t="s">
        <v>1895</v>
      </c>
      <c r="L415" s="42" t="s">
        <v>634</v>
      </c>
      <c r="M415" s="42"/>
      <c r="N415" s="42" t="s">
        <v>6447</v>
      </c>
      <c r="O415" s="42"/>
      <c r="P415" s="42" t="s">
        <v>6448</v>
      </c>
      <c r="Q415" s="42"/>
      <c r="R415" s="42" t="s">
        <v>375</v>
      </c>
      <c r="S415" s="42" t="s">
        <v>359</v>
      </c>
      <c r="T415" s="42" t="s">
        <v>3891</v>
      </c>
      <c r="U415" s="42" t="s">
        <v>500</v>
      </c>
      <c r="V415" s="44" t="s">
        <v>3892</v>
      </c>
      <c r="W415" s="42" t="s">
        <v>3892</v>
      </c>
    </row>
    <row r="416" spans="1:23">
      <c r="A416" s="40">
        <v>37</v>
      </c>
      <c r="B416" s="41">
        <v>2051047503</v>
      </c>
      <c r="C416" s="42" t="s">
        <v>1348</v>
      </c>
      <c r="D416" s="42" t="s">
        <v>760</v>
      </c>
      <c r="E416" s="43" t="s">
        <v>1349</v>
      </c>
      <c r="F416" s="42" t="s">
        <v>6449</v>
      </c>
      <c r="G416" s="42" t="s">
        <v>1347</v>
      </c>
      <c r="H416" s="43">
        <v>42684</v>
      </c>
      <c r="I416" s="42" t="s">
        <v>6450</v>
      </c>
      <c r="J416" s="42" t="s">
        <v>6451</v>
      </c>
      <c r="K416" s="42" t="s">
        <v>1895</v>
      </c>
      <c r="L416" s="42" t="s">
        <v>574</v>
      </c>
      <c r="M416" s="42" t="s">
        <v>6452</v>
      </c>
      <c r="N416" s="42" t="s">
        <v>6453</v>
      </c>
      <c r="O416" s="42" t="s">
        <v>6454</v>
      </c>
      <c r="P416" s="42" t="s">
        <v>6455</v>
      </c>
      <c r="Q416" s="42" t="s">
        <v>6456</v>
      </c>
      <c r="R416" s="42" t="s">
        <v>375</v>
      </c>
      <c r="S416" s="42" t="s">
        <v>359</v>
      </c>
      <c r="T416" s="42" t="s">
        <v>3891</v>
      </c>
      <c r="U416" s="42" t="s">
        <v>500</v>
      </c>
      <c r="V416" s="44" t="s">
        <v>3892</v>
      </c>
      <c r="W416" s="42" t="s">
        <v>3892</v>
      </c>
    </row>
    <row r="417" spans="1:23">
      <c r="A417" s="40">
        <v>38</v>
      </c>
      <c r="B417" s="41">
        <v>2051137294</v>
      </c>
      <c r="C417" s="42" t="s">
        <v>112</v>
      </c>
      <c r="D417" s="42" t="s">
        <v>760</v>
      </c>
      <c r="E417" s="43" t="s">
        <v>1603</v>
      </c>
      <c r="F417" s="42" t="s">
        <v>4236</v>
      </c>
      <c r="G417" s="42" t="s">
        <v>1602</v>
      </c>
      <c r="H417" s="43"/>
      <c r="I417" s="42"/>
      <c r="J417" s="42" t="s">
        <v>6457</v>
      </c>
      <c r="K417" s="42"/>
      <c r="L417" s="42"/>
      <c r="M417" s="42" t="s">
        <v>6458</v>
      </c>
      <c r="N417" s="42" t="s">
        <v>3929</v>
      </c>
      <c r="O417" s="42"/>
      <c r="P417" s="42" t="s">
        <v>6459</v>
      </c>
      <c r="Q417" s="42"/>
      <c r="R417" s="42" t="s">
        <v>454</v>
      </c>
      <c r="S417" s="42" t="s">
        <v>518</v>
      </c>
      <c r="T417" s="42" t="s">
        <v>3891</v>
      </c>
      <c r="U417" s="42" t="s">
        <v>500</v>
      </c>
      <c r="V417" s="44" t="s">
        <v>3892</v>
      </c>
      <c r="W417" s="42" t="s">
        <v>3892</v>
      </c>
    </row>
    <row r="418" spans="1:23">
      <c r="A418" s="40">
        <v>39</v>
      </c>
      <c r="B418" s="41">
        <v>2054037452</v>
      </c>
      <c r="C418" s="42" t="s">
        <v>1805</v>
      </c>
      <c r="D418" s="42" t="s">
        <v>765</v>
      </c>
      <c r="E418" s="43" t="s">
        <v>1806</v>
      </c>
      <c r="F418" s="42" t="s">
        <v>6460</v>
      </c>
      <c r="G418" s="42" t="s">
        <v>1804</v>
      </c>
      <c r="H418" s="43">
        <v>43689</v>
      </c>
      <c r="I418" s="42" t="s">
        <v>6461</v>
      </c>
      <c r="J418" s="42" t="s">
        <v>6462</v>
      </c>
      <c r="K418" s="42" t="s">
        <v>1895</v>
      </c>
      <c r="L418" s="42" t="s">
        <v>1901</v>
      </c>
      <c r="M418" s="42" t="s">
        <v>6463</v>
      </c>
      <c r="N418" s="42" t="s">
        <v>6464</v>
      </c>
      <c r="O418" s="42" t="s">
        <v>6465</v>
      </c>
      <c r="P418" s="42" t="s">
        <v>6466</v>
      </c>
      <c r="Q418" s="42" t="s">
        <v>6465</v>
      </c>
      <c r="R418" s="42" t="s">
        <v>147</v>
      </c>
      <c r="S418" s="42" t="s">
        <v>494</v>
      </c>
      <c r="T418" s="42" t="s">
        <v>4968</v>
      </c>
      <c r="U418" s="42" t="s">
        <v>500</v>
      </c>
      <c r="V418" s="44" t="s">
        <v>3892</v>
      </c>
      <c r="W418" s="42" t="s">
        <v>3892</v>
      </c>
    </row>
    <row r="419" spans="1:23">
      <c r="A419" s="40">
        <v>40</v>
      </c>
      <c r="B419" s="41">
        <v>2054037787</v>
      </c>
      <c r="C419" s="42" t="s">
        <v>887</v>
      </c>
      <c r="D419" s="42" t="s">
        <v>765</v>
      </c>
      <c r="E419" s="43" t="s">
        <v>888</v>
      </c>
      <c r="F419" s="42" t="s">
        <v>6467</v>
      </c>
      <c r="G419" s="42" t="s">
        <v>886</v>
      </c>
      <c r="H419" s="43">
        <v>44921</v>
      </c>
      <c r="I419" s="42" t="s">
        <v>5183</v>
      </c>
      <c r="J419" s="42" t="s">
        <v>6468</v>
      </c>
      <c r="K419" s="42" t="s">
        <v>1895</v>
      </c>
      <c r="L419" s="42" t="s">
        <v>1901</v>
      </c>
      <c r="M419" s="42" t="s">
        <v>6469</v>
      </c>
      <c r="N419" s="42"/>
      <c r="O419" s="42"/>
      <c r="P419" s="42" t="s">
        <v>6470</v>
      </c>
      <c r="Q419" s="42" t="s">
        <v>6471</v>
      </c>
      <c r="R419" s="42" t="s">
        <v>147</v>
      </c>
      <c r="S419" s="42" t="s">
        <v>494</v>
      </c>
      <c r="T419" s="42" t="s">
        <v>4968</v>
      </c>
      <c r="U419" s="42" t="s">
        <v>500</v>
      </c>
      <c r="V419" s="44" t="s">
        <v>3892</v>
      </c>
      <c r="W419" s="42" t="s">
        <v>3892</v>
      </c>
    </row>
    <row r="420" spans="1:23">
      <c r="A420" s="40">
        <v>41</v>
      </c>
      <c r="B420" s="41">
        <v>2054037717</v>
      </c>
      <c r="C420" s="42" t="s">
        <v>1854</v>
      </c>
      <c r="D420" s="42" t="s">
        <v>765</v>
      </c>
      <c r="E420" s="43" t="s">
        <v>864</v>
      </c>
      <c r="F420" s="42" t="s">
        <v>857</v>
      </c>
      <c r="G420" s="42" t="s">
        <v>1853</v>
      </c>
      <c r="H420" s="43">
        <v>43726</v>
      </c>
      <c r="I420" s="42" t="s">
        <v>6472</v>
      </c>
      <c r="J420" s="42" t="s">
        <v>6473</v>
      </c>
      <c r="K420" s="42" t="s">
        <v>1895</v>
      </c>
      <c r="L420" s="42" t="s">
        <v>6474</v>
      </c>
      <c r="M420" s="42" t="s">
        <v>6475</v>
      </c>
      <c r="N420" s="42" t="s">
        <v>6476</v>
      </c>
      <c r="O420" s="42" t="s">
        <v>6477</v>
      </c>
      <c r="P420" s="42" t="s">
        <v>6478</v>
      </c>
      <c r="Q420" s="42" t="s">
        <v>6479</v>
      </c>
      <c r="R420" s="42" t="s">
        <v>147</v>
      </c>
      <c r="S420" s="42" t="s">
        <v>494</v>
      </c>
      <c r="T420" s="42" t="s">
        <v>4968</v>
      </c>
      <c r="U420" s="42" t="s">
        <v>500</v>
      </c>
      <c r="V420" s="44" t="s">
        <v>3892</v>
      </c>
      <c r="W420" s="42" t="s">
        <v>3892</v>
      </c>
    </row>
    <row r="421" spans="1:23" ht="60">
      <c r="A421" s="40">
        <v>42</v>
      </c>
      <c r="B421" s="41">
        <v>2054037716</v>
      </c>
      <c r="C421" s="42" t="s">
        <v>1851</v>
      </c>
      <c r="D421" s="42" t="s">
        <v>765</v>
      </c>
      <c r="E421" s="43" t="s">
        <v>1852</v>
      </c>
      <c r="F421" s="42" t="s">
        <v>6480</v>
      </c>
      <c r="G421" s="42" t="s">
        <v>1850</v>
      </c>
      <c r="H421" s="43">
        <v>42002</v>
      </c>
      <c r="I421" s="42" t="s">
        <v>6481</v>
      </c>
      <c r="J421" s="42" t="s">
        <v>6482</v>
      </c>
      <c r="K421" s="42" t="s">
        <v>1895</v>
      </c>
      <c r="L421" s="42" t="s">
        <v>6483</v>
      </c>
      <c r="M421" s="42" t="s">
        <v>6484</v>
      </c>
      <c r="N421" s="42" t="s">
        <v>6485</v>
      </c>
      <c r="O421" s="42" t="s">
        <v>6486</v>
      </c>
      <c r="P421" s="42" t="s">
        <v>6487</v>
      </c>
      <c r="Q421" s="42" t="s">
        <v>6488</v>
      </c>
      <c r="R421" s="42" t="s">
        <v>147</v>
      </c>
      <c r="S421" s="42" t="s">
        <v>494</v>
      </c>
      <c r="T421" s="42" t="s">
        <v>4968</v>
      </c>
      <c r="U421" s="42" t="s">
        <v>500</v>
      </c>
      <c r="V421" s="44" t="s">
        <v>6489</v>
      </c>
      <c r="W421" s="42" t="s">
        <v>3905</v>
      </c>
    </row>
    <row r="422" spans="1:23">
      <c r="A422" s="40">
        <v>43</v>
      </c>
      <c r="B422" s="41">
        <v>2054037737</v>
      </c>
      <c r="C422" s="42" t="s">
        <v>146</v>
      </c>
      <c r="D422" s="42" t="s">
        <v>765</v>
      </c>
      <c r="E422" s="43" t="s">
        <v>1444</v>
      </c>
      <c r="F422" s="42" t="s">
        <v>6259</v>
      </c>
      <c r="G422" s="42" t="s">
        <v>1882</v>
      </c>
      <c r="H422" s="43">
        <v>44115</v>
      </c>
      <c r="I422" s="42" t="s">
        <v>6490</v>
      </c>
      <c r="J422" s="42" t="s">
        <v>6491</v>
      </c>
      <c r="K422" s="42" t="s">
        <v>1895</v>
      </c>
      <c r="L422" s="42" t="s">
        <v>1901</v>
      </c>
      <c r="M422" s="42" t="s">
        <v>6492</v>
      </c>
      <c r="N422" s="42" t="s">
        <v>6493</v>
      </c>
      <c r="O422" s="42" t="s">
        <v>6494</v>
      </c>
      <c r="P422" s="42" t="s">
        <v>6495</v>
      </c>
      <c r="Q422" s="42" t="s">
        <v>6496</v>
      </c>
      <c r="R422" s="42" t="s">
        <v>147</v>
      </c>
      <c r="S422" s="42" t="s">
        <v>494</v>
      </c>
      <c r="T422" s="42" t="s">
        <v>4968</v>
      </c>
      <c r="U422" s="42" t="s">
        <v>500</v>
      </c>
      <c r="V422" s="44" t="s">
        <v>3892</v>
      </c>
      <c r="W422" s="42" t="s">
        <v>3892</v>
      </c>
    </row>
    <row r="423" spans="1:23">
      <c r="A423" s="40">
        <v>44</v>
      </c>
      <c r="B423" s="41">
        <v>2054037763</v>
      </c>
      <c r="C423" s="42" t="s">
        <v>809</v>
      </c>
      <c r="D423" s="42" t="s">
        <v>765</v>
      </c>
      <c r="E423" s="43" t="s">
        <v>810</v>
      </c>
      <c r="F423" s="42" t="s">
        <v>882</v>
      </c>
      <c r="G423" s="42" t="s">
        <v>808</v>
      </c>
      <c r="H423" s="43">
        <v>43689</v>
      </c>
      <c r="I423" s="42" t="s">
        <v>6497</v>
      </c>
      <c r="J423" s="42" t="s">
        <v>6498</v>
      </c>
      <c r="K423" s="42" t="s">
        <v>1895</v>
      </c>
      <c r="L423" s="42" t="s">
        <v>593</v>
      </c>
      <c r="M423" s="42" t="s">
        <v>6499</v>
      </c>
      <c r="N423" s="42" t="s">
        <v>6500</v>
      </c>
      <c r="O423" s="42" t="s">
        <v>6501</v>
      </c>
      <c r="P423" s="42" t="s">
        <v>6499</v>
      </c>
      <c r="Q423" s="42" t="s">
        <v>6502</v>
      </c>
      <c r="R423" s="42" t="s">
        <v>147</v>
      </c>
      <c r="S423" s="42" t="s">
        <v>494</v>
      </c>
      <c r="T423" s="42" t="s">
        <v>4968</v>
      </c>
      <c r="U423" s="42" t="s">
        <v>500</v>
      </c>
      <c r="V423" s="44" t="s">
        <v>3892</v>
      </c>
      <c r="W423" s="42" t="s">
        <v>3892</v>
      </c>
    </row>
    <row r="424" spans="1:23">
      <c r="A424" s="40">
        <v>45</v>
      </c>
      <c r="B424" s="41">
        <v>2054037741</v>
      </c>
      <c r="C424" s="42" t="s">
        <v>1887</v>
      </c>
      <c r="D424" s="42" t="s">
        <v>760</v>
      </c>
      <c r="E424" s="43" t="s">
        <v>1436</v>
      </c>
      <c r="F424" s="42" t="s">
        <v>6503</v>
      </c>
      <c r="G424" s="42" t="s">
        <v>1886</v>
      </c>
      <c r="H424" s="43"/>
      <c r="I424" s="42"/>
      <c r="J424" s="42" t="s">
        <v>6504</v>
      </c>
      <c r="K424" s="42" t="s">
        <v>1895</v>
      </c>
      <c r="L424" s="42" t="s">
        <v>6505</v>
      </c>
      <c r="M424" s="42"/>
      <c r="N424" s="42" t="s">
        <v>6506</v>
      </c>
      <c r="O424" s="42"/>
      <c r="P424" s="42" t="s">
        <v>6507</v>
      </c>
      <c r="Q424" s="42"/>
      <c r="R424" s="42" t="s">
        <v>147</v>
      </c>
      <c r="S424" s="42" t="s">
        <v>494</v>
      </c>
      <c r="T424" s="42" t="s">
        <v>4968</v>
      </c>
      <c r="U424" s="42" t="s">
        <v>500</v>
      </c>
      <c r="V424" s="44" t="s">
        <v>3892</v>
      </c>
      <c r="W424" s="42" t="s">
        <v>3892</v>
      </c>
    </row>
    <row r="425" spans="1:23" ht="60">
      <c r="A425" s="40">
        <v>46</v>
      </c>
      <c r="B425" s="41">
        <v>2054037484</v>
      </c>
      <c r="C425" s="42" t="s">
        <v>1826</v>
      </c>
      <c r="D425" s="42" t="s">
        <v>765</v>
      </c>
      <c r="E425" s="43" t="s">
        <v>1503</v>
      </c>
      <c r="F425" s="42" t="s">
        <v>6508</v>
      </c>
      <c r="G425" s="42" t="s">
        <v>1825</v>
      </c>
      <c r="H425" s="43">
        <v>43760</v>
      </c>
      <c r="I425" s="42" t="s">
        <v>6354</v>
      </c>
      <c r="J425" s="42" t="s">
        <v>6509</v>
      </c>
      <c r="K425" s="42" t="s">
        <v>1895</v>
      </c>
      <c r="L425" s="42" t="s">
        <v>6510</v>
      </c>
      <c r="M425" s="42" t="s">
        <v>6511</v>
      </c>
      <c r="N425" s="42" t="s">
        <v>6512</v>
      </c>
      <c r="O425" s="42" t="s">
        <v>6513</v>
      </c>
      <c r="P425" s="42" t="s">
        <v>6514</v>
      </c>
      <c r="Q425" s="42" t="s">
        <v>6513</v>
      </c>
      <c r="R425" s="42" t="s">
        <v>147</v>
      </c>
      <c r="S425" s="42" t="s">
        <v>494</v>
      </c>
      <c r="T425" s="42" t="s">
        <v>4968</v>
      </c>
      <c r="U425" s="42" t="s">
        <v>500</v>
      </c>
      <c r="V425" s="44" t="s">
        <v>6515</v>
      </c>
      <c r="W425" s="42" t="s">
        <v>3905</v>
      </c>
    </row>
    <row r="426" spans="1:23">
      <c r="A426" s="40">
        <v>47</v>
      </c>
      <c r="B426" s="41">
        <v>2051027046</v>
      </c>
      <c r="C426" s="42" t="s">
        <v>1254</v>
      </c>
      <c r="D426" s="42" t="s">
        <v>765</v>
      </c>
      <c r="E426" s="43" t="s">
        <v>1255</v>
      </c>
      <c r="F426" s="42" t="s">
        <v>6516</v>
      </c>
      <c r="G426" s="42" t="s">
        <v>1253</v>
      </c>
      <c r="H426" s="43">
        <v>43319</v>
      </c>
      <c r="I426" s="42" t="s">
        <v>6517</v>
      </c>
      <c r="J426" s="42" t="s">
        <v>6518</v>
      </c>
      <c r="K426" s="42" t="s">
        <v>1895</v>
      </c>
      <c r="L426" s="42" t="s">
        <v>1901</v>
      </c>
      <c r="M426" s="42" t="s">
        <v>6519</v>
      </c>
      <c r="N426" s="42" t="s">
        <v>6520</v>
      </c>
      <c r="O426" s="42" t="s">
        <v>6521</v>
      </c>
      <c r="P426" s="42" t="s">
        <v>6522</v>
      </c>
      <c r="Q426" s="42" t="s">
        <v>6523</v>
      </c>
      <c r="R426" s="42" t="s">
        <v>306</v>
      </c>
      <c r="S426" s="42" t="s">
        <v>294</v>
      </c>
      <c r="T426" s="42" t="s">
        <v>4574</v>
      </c>
      <c r="U426" s="42" t="s">
        <v>500</v>
      </c>
      <c r="V426" s="44" t="s">
        <v>3892</v>
      </c>
      <c r="W426" s="42" t="s">
        <v>3892</v>
      </c>
    </row>
    <row r="427" spans="1:23">
      <c r="A427" s="40">
        <v>48</v>
      </c>
      <c r="B427" s="41">
        <v>2051027048</v>
      </c>
      <c r="C427" s="42" t="s">
        <v>310</v>
      </c>
      <c r="D427" s="42" t="s">
        <v>760</v>
      </c>
      <c r="E427" s="43" t="s">
        <v>1079</v>
      </c>
      <c r="F427" s="42" t="s">
        <v>835</v>
      </c>
      <c r="G427" s="42" t="s">
        <v>1256</v>
      </c>
      <c r="H427" s="43">
        <v>42693</v>
      </c>
      <c r="I427" s="42" t="s">
        <v>6524</v>
      </c>
      <c r="J427" s="42" t="s">
        <v>6525</v>
      </c>
      <c r="K427" s="42" t="s">
        <v>1895</v>
      </c>
      <c r="L427" s="42" t="s">
        <v>6298</v>
      </c>
      <c r="M427" s="42" t="s">
        <v>6526</v>
      </c>
      <c r="N427" s="42" t="s">
        <v>6527</v>
      </c>
      <c r="O427" s="42" t="s">
        <v>6525</v>
      </c>
      <c r="P427" s="42" t="s">
        <v>6528</v>
      </c>
      <c r="Q427" s="42" t="s">
        <v>6529</v>
      </c>
      <c r="R427" s="42" t="s">
        <v>306</v>
      </c>
      <c r="S427" s="42" t="s">
        <v>294</v>
      </c>
      <c r="T427" s="42" t="s">
        <v>4574</v>
      </c>
      <c r="U427" s="42" t="s">
        <v>500</v>
      </c>
      <c r="V427" s="44" t="s">
        <v>3892</v>
      </c>
      <c r="W427" s="42" t="s">
        <v>3892</v>
      </c>
    </row>
    <row r="428" spans="1:23">
      <c r="A428" s="40">
        <v>49</v>
      </c>
      <c r="B428" s="41">
        <v>2051027473</v>
      </c>
      <c r="C428" s="42" t="s">
        <v>308</v>
      </c>
      <c r="D428" s="42" t="s">
        <v>760</v>
      </c>
      <c r="E428" s="43" t="s">
        <v>1262</v>
      </c>
      <c r="F428" s="42" t="s">
        <v>821</v>
      </c>
      <c r="G428" s="42" t="s">
        <v>1261</v>
      </c>
      <c r="H428" s="43"/>
      <c r="I428" s="42"/>
      <c r="J428" s="42" t="s">
        <v>6530</v>
      </c>
      <c r="K428" s="42" t="s">
        <v>6531</v>
      </c>
      <c r="L428" s="42" t="s">
        <v>541</v>
      </c>
      <c r="M428" s="42"/>
      <c r="N428" s="42" t="s">
        <v>6532</v>
      </c>
      <c r="O428" s="42"/>
      <c r="P428" s="42" t="s">
        <v>6533</v>
      </c>
      <c r="Q428" s="42"/>
      <c r="R428" s="42" t="s">
        <v>306</v>
      </c>
      <c r="S428" s="42" t="s">
        <v>294</v>
      </c>
      <c r="T428" s="42" t="s">
        <v>4574</v>
      </c>
      <c r="U428" s="42" t="s">
        <v>500</v>
      </c>
      <c r="V428" s="44" t="s">
        <v>3892</v>
      </c>
      <c r="W428" s="42" t="s">
        <v>3892</v>
      </c>
    </row>
    <row r="429" spans="1:23" ht="30">
      <c r="A429" s="40">
        <v>50</v>
      </c>
      <c r="B429" s="41">
        <v>2054027342</v>
      </c>
      <c r="C429" s="42" t="s">
        <v>99</v>
      </c>
      <c r="D429" s="42" t="s">
        <v>760</v>
      </c>
      <c r="E429" s="43" t="s">
        <v>7274</v>
      </c>
      <c r="F429" s="42"/>
      <c r="G429" s="42" t="s">
        <v>1627</v>
      </c>
      <c r="H429" s="43">
        <v>44552</v>
      </c>
      <c r="I429" s="42"/>
      <c r="J429" s="42" t="s">
        <v>6534</v>
      </c>
      <c r="K429" s="42"/>
      <c r="L429" s="42"/>
      <c r="M429" s="42" t="s">
        <v>6535</v>
      </c>
      <c r="N429" s="42"/>
      <c r="O429" s="42"/>
      <c r="P429" s="42"/>
      <c r="Q429" s="42"/>
      <c r="R429" s="42" t="s">
        <v>6536</v>
      </c>
      <c r="S429" s="42" t="s">
        <v>55</v>
      </c>
      <c r="T429" s="42" t="s">
        <v>4968</v>
      </c>
      <c r="U429" s="42" t="s">
        <v>500</v>
      </c>
      <c r="V429" s="44" t="s">
        <v>6537</v>
      </c>
      <c r="W429" s="42" t="s">
        <v>3892</v>
      </c>
    </row>
    <row r="430" spans="1:23" ht="30">
      <c r="A430" s="40">
        <v>51</v>
      </c>
      <c r="B430" s="41">
        <v>2054027441</v>
      </c>
      <c r="C430" s="42" t="s">
        <v>53</v>
      </c>
      <c r="D430" s="42" t="s">
        <v>765</v>
      </c>
      <c r="E430" s="43" t="s">
        <v>1472</v>
      </c>
      <c r="F430" s="42" t="s">
        <v>6344</v>
      </c>
      <c r="G430" s="42" t="s">
        <v>1673</v>
      </c>
      <c r="H430" s="43"/>
      <c r="I430" s="42"/>
      <c r="J430" s="42" t="s">
        <v>6538</v>
      </c>
      <c r="K430" s="42" t="s">
        <v>1895</v>
      </c>
      <c r="L430" s="42"/>
      <c r="M430" s="42" t="s">
        <v>6539</v>
      </c>
      <c r="N430" s="42" t="s">
        <v>6540</v>
      </c>
      <c r="O430" s="42"/>
      <c r="P430" s="42" t="s">
        <v>6541</v>
      </c>
      <c r="Q430" s="42"/>
      <c r="R430" s="42" t="s">
        <v>6536</v>
      </c>
      <c r="S430" s="42" t="s">
        <v>55</v>
      </c>
      <c r="T430" s="42" t="s">
        <v>4968</v>
      </c>
      <c r="U430" s="42" t="s">
        <v>500</v>
      </c>
      <c r="V430" s="44" t="s">
        <v>6542</v>
      </c>
      <c r="W430" s="42" t="s">
        <v>3892</v>
      </c>
    </row>
    <row r="431" spans="1:23" ht="30">
      <c r="A431" s="40">
        <v>52</v>
      </c>
      <c r="B431" s="41">
        <v>2054027302</v>
      </c>
      <c r="C431" s="42" t="s">
        <v>1615</v>
      </c>
      <c r="D431" s="42" t="s">
        <v>760</v>
      </c>
      <c r="E431" s="43" t="s">
        <v>1616</v>
      </c>
      <c r="F431" s="42" t="s">
        <v>761</v>
      </c>
      <c r="G431" s="42" t="s">
        <v>1614</v>
      </c>
      <c r="H431" s="43"/>
      <c r="I431" s="42"/>
      <c r="J431" s="42" t="s">
        <v>6543</v>
      </c>
      <c r="K431" s="42"/>
      <c r="L431" s="42"/>
      <c r="M431" s="42" t="s">
        <v>6544</v>
      </c>
      <c r="N431" s="42"/>
      <c r="O431" s="42"/>
      <c r="P431" s="42"/>
      <c r="Q431" s="42"/>
      <c r="R431" s="42" t="s">
        <v>51</v>
      </c>
      <c r="S431" s="42" t="s">
        <v>29</v>
      </c>
      <c r="T431" s="42" t="s">
        <v>4968</v>
      </c>
      <c r="U431" s="42" t="s">
        <v>500</v>
      </c>
      <c r="V431" s="44" t="s">
        <v>6542</v>
      </c>
      <c r="W431" s="42" t="s">
        <v>3892</v>
      </c>
    </row>
    <row r="432" spans="1:23" ht="30">
      <c r="A432" s="40">
        <v>53</v>
      </c>
      <c r="B432" s="41">
        <v>2054027857</v>
      </c>
      <c r="C432" s="42" t="s">
        <v>1092</v>
      </c>
      <c r="D432" s="42" t="s">
        <v>760</v>
      </c>
      <c r="E432" s="43" t="s">
        <v>1093</v>
      </c>
      <c r="F432" s="42" t="s">
        <v>6545</v>
      </c>
      <c r="G432" s="42" t="s">
        <v>1091</v>
      </c>
      <c r="H432" s="43"/>
      <c r="I432" s="42"/>
      <c r="J432" s="42"/>
      <c r="K432" s="42" t="s">
        <v>1895</v>
      </c>
      <c r="L432" s="42" t="s">
        <v>691</v>
      </c>
      <c r="M432" s="42"/>
      <c r="N432" s="42" t="s">
        <v>6546</v>
      </c>
      <c r="O432" s="42"/>
      <c r="P432" s="42" t="s">
        <v>6547</v>
      </c>
      <c r="Q432" s="42"/>
      <c r="R432" s="42" t="s">
        <v>51</v>
      </c>
      <c r="S432" s="42" t="s">
        <v>29</v>
      </c>
      <c r="T432" s="42" t="s">
        <v>4968</v>
      </c>
      <c r="U432" s="42" t="s">
        <v>500</v>
      </c>
      <c r="V432" s="44" t="s">
        <v>6542</v>
      </c>
      <c r="W432" s="42" t="s">
        <v>3892</v>
      </c>
    </row>
    <row r="433" spans="1:23" ht="30">
      <c r="A433" s="40">
        <v>54</v>
      </c>
      <c r="B433" s="41">
        <v>2054027840</v>
      </c>
      <c r="C433" s="42" t="s">
        <v>1045</v>
      </c>
      <c r="D433" s="42" t="s">
        <v>760</v>
      </c>
      <c r="E433" s="43" t="s">
        <v>1046</v>
      </c>
      <c r="F433" s="42" t="s">
        <v>6548</v>
      </c>
      <c r="G433" s="42" t="s">
        <v>1044</v>
      </c>
      <c r="H433" s="43"/>
      <c r="I433" s="42"/>
      <c r="J433" s="42"/>
      <c r="K433" s="42" t="s">
        <v>1895</v>
      </c>
      <c r="L433" s="42" t="s">
        <v>674</v>
      </c>
      <c r="M433" s="42"/>
      <c r="N433" s="42" t="s">
        <v>6549</v>
      </c>
      <c r="O433" s="42"/>
      <c r="P433" s="42" t="s">
        <v>6550</v>
      </c>
      <c r="Q433" s="42"/>
      <c r="R433" s="42" t="s">
        <v>51</v>
      </c>
      <c r="S433" s="42" t="s">
        <v>29</v>
      </c>
      <c r="T433" s="42" t="s">
        <v>4968</v>
      </c>
      <c r="U433" s="42" t="s">
        <v>500</v>
      </c>
      <c r="V433" s="44" t="s">
        <v>6542</v>
      </c>
      <c r="W433" s="42" t="s">
        <v>3892</v>
      </c>
    </row>
    <row r="434" spans="1:23" ht="30">
      <c r="A434" s="40">
        <v>55</v>
      </c>
      <c r="B434" s="41">
        <v>2054027358</v>
      </c>
      <c r="C434" s="42" t="s">
        <v>6551</v>
      </c>
      <c r="D434" s="42" t="s">
        <v>760</v>
      </c>
      <c r="E434" s="43" t="s">
        <v>1517</v>
      </c>
      <c r="F434" s="42"/>
      <c r="G434" s="42" t="s">
        <v>1628</v>
      </c>
      <c r="H434" s="43"/>
      <c r="I434" s="42"/>
      <c r="J434" s="42" t="s">
        <v>6552</v>
      </c>
      <c r="K434" s="42"/>
      <c r="L434" s="42"/>
      <c r="M434" s="42" t="s">
        <v>6553</v>
      </c>
      <c r="N434" s="42"/>
      <c r="O434" s="42"/>
      <c r="P434" s="42"/>
      <c r="Q434" s="42"/>
      <c r="R434" s="42" t="s">
        <v>51</v>
      </c>
      <c r="S434" s="42" t="s">
        <v>29</v>
      </c>
      <c r="T434" s="42" t="s">
        <v>4968</v>
      </c>
      <c r="U434" s="42" t="s">
        <v>500</v>
      </c>
      <c r="V434" s="44" t="s">
        <v>6542</v>
      </c>
      <c r="W434" s="42" t="s">
        <v>3892</v>
      </c>
    </row>
    <row r="435" spans="1:23" ht="30">
      <c r="A435" s="40">
        <v>56</v>
      </c>
      <c r="B435" s="41">
        <v>2054027708</v>
      </c>
      <c r="C435" s="42" t="s">
        <v>6554</v>
      </c>
      <c r="D435" s="42" t="s">
        <v>765</v>
      </c>
      <c r="E435" s="43" t="s">
        <v>1043</v>
      </c>
      <c r="F435" s="42" t="s">
        <v>971</v>
      </c>
      <c r="G435" s="42" t="s">
        <v>1041</v>
      </c>
      <c r="H435" s="43"/>
      <c r="I435" s="42"/>
      <c r="J435" s="42"/>
      <c r="K435" s="42" t="s">
        <v>1895</v>
      </c>
      <c r="L435" s="42" t="s">
        <v>673</v>
      </c>
      <c r="M435" s="42"/>
      <c r="N435" s="42" t="s">
        <v>6555</v>
      </c>
      <c r="O435" s="42"/>
      <c r="P435" s="42" t="s">
        <v>6556</v>
      </c>
      <c r="Q435" s="42"/>
      <c r="R435" s="42" t="s">
        <v>51</v>
      </c>
      <c r="S435" s="42" t="s">
        <v>29</v>
      </c>
      <c r="T435" s="42" t="s">
        <v>4968</v>
      </c>
      <c r="U435" s="42" t="s">
        <v>500</v>
      </c>
      <c r="V435" s="44" t="s">
        <v>6542</v>
      </c>
      <c r="W435" s="42" t="s">
        <v>3892</v>
      </c>
    </row>
    <row r="436" spans="1:23" ht="30">
      <c r="A436" s="40">
        <v>57</v>
      </c>
      <c r="B436" s="41">
        <v>2054027846</v>
      </c>
      <c r="C436" s="42" t="s">
        <v>1061</v>
      </c>
      <c r="D436" s="42" t="s">
        <v>760</v>
      </c>
      <c r="E436" s="43" t="s">
        <v>1062</v>
      </c>
      <c r="F436" s="42" t="s">
        <v>6557</v>
      </c>
      <c r="G436" s="42" t="s">
        <v>1060</v>
      </c>
      <c r="H436" s="43"/>
      <c r="I436" s="42"/>
      <c r="J436" s="42" t="s">
        <v>6558</v>
      </c>
      <c r="K436" s="42" t="s">
        <v>1895</v>
      </c>
      <c r="L436" s="42" t="s">
        <v>680</v>
      </c>
      <c r="M436" s="42" t="s">
        <v>6559</v>
      </c>
      <c r="N436" s="42" t="s">
        <v>6560</v>
      </c>
      <c r="O436" s="42"/>
      <c r="P436" s="42" t="s">
        <v>4011</v>
      </c>
      <c r="Q436" s="42"/>
      <c r="R436" s="42" t="s">
        <v>51</v>
      </c>
      <c r="S436" s="42" t="s">
        <v>29</v>
      </c>
      <c r="T436" s="42" t="s">
        <v>4968</v>
      </c>
      <c r="U436" s="42" t="s">
        <v>500</v>
      </c>
      <c r="V436" s="44" t="s">
        <v>6542</v>
      </c>
      <c r="W436" s="42" t="s">
        <v>3892</v>
      </c>
    </row>
    <row r="437" spans="1:23" ht="30">
      <c r="A437" s="40">
        <v>58</v>
      </c>
      <c r="B437" s="41">
        <v>2054027853</v>
      </c>
      <c r="C437" s="42" t="s">
        <v>1081</v>
      </c>
      <c r="D437" s="42" t="s">
        <v>765</v>
      </c>
      <c r="E437" s="43" t="s">
        <v>1082</v>
      </c>
      <c r="F437" s="42"/>
      <c r="G437" s="42" t="s">
        <v>1080</v>
      </c>
      <c r="H437" s="43"/>
      <c r="I437" s="42"/>
      <c r="J437" s="42"/>
      <c r="K437" s="42" t="s">
        <v>687</v>
      </c>
      <c r="L437" s="42" t="s">
        <v>687</v>
      </c>
      <c r="M437" s="42"/>
      <c r="N437" s="42"/>
      <c r="O437" s="42"/>
      <c r="P437" s="42"/>
      <c r="Q437" s="42"/>
      <c r="R437" s="42" t="s">
        <v>51</v>
      </c>
      <c r="S437" s="42" t="s">
        <v>29</v>
      </c>
      <c r="T437" s="42" t="s">
        <v>4968</v>
      </c>
      <c r="U437" s="42" t="s">
        <v>500</v>
      </c>
      <c r="V437" s="44" t="s">
        <v>6542</v>
      </c>
      <c r="W437" s="42" t="s">
        <v>3892</v>
      </c>
    </row>
    <row r="438" spans="1:23" ht="30">
      <c r="A438" s="40">
        <v>59</v>
      </c>
      <c r="B438" s="41">
        <v>2054027826</v>
      </c>
      <c r="C438" s="42" t="s">
        <v>1002</v>
      </c>
      <c r="D438" s="42" t="s">
        <v>760</v>
      </c>
      <c r="E438" s="43" t="s">
        <v>1003</v>
      </c>
      <c r="F438" s="42" t="s">
        <v>6561</v>
      </c>
      <c r="G438" s="42" t="s">
        <v>1001</v>
      </c>
      <c r="H438" s="43"/>
      <c r="I438" s="42"/>
      <c r="J438" s="42"/>
      <c r="K438" s="42" t="s">
        <v>6531</v>
      </c>
      <c r="L438" s="42"/>
      <c r="M438" s="42" t="s">
        <v>3892</v>
      </c>
      <c r="N438" s="42" t="s">
        <v>6562</v>
      </c>
      <c r="O438" s="42"/>
      <c r="P438" s="42" t="s">
        <v>6563</v>
      </c>
      <c r="Q438" s="42"/>
      <c r="R438" s="42" t="s">
        <v>51</v>
      </c>
      <c r="S438" s="42" t="s">
        <v>29</v>
      </c>
      <c r="T438" s="42" t="s">
        <v>4968</v>
      </c>
      <c r="U438" s="42" t="s">
        <v>500</v>
      </c>
      <c r="V438" s="44" t="s">
        <v>6542</v>
      </c>
      <c r="W438" s="42" t="s">
        <v>3892</v>
      </c>
    </row>
    <row r="439" spans="1:23" ht="30">
      <c r="A439" s="40">
        <v>60</v>
      </c>
      <c r="B439" s="41">
        <v>2054027631</v>
      </c>
      <c r="C439" s="42" t="s">
        <v>1722</v>
      </c>
      <c r="D439" s="42" t="s">
        <v>765</v>
      </c>
      <c r="E439" s="43" t="s">
        <v>1009</v>
      </c>
      <c r="F439" s="42" t="s">
        <v>6564</v>
      </c>
      <c r="G439" s="42" t="s">
        <v>1721</v>
      </c>
      <c r="H439" s="43">
        <v>42944</v>
      </c>
      <c r="I439" s="42" t="s">
        <v>6565</v>
      </c>
      <c r="J439" s="42" t="s">
        <v>6566</v>
      </c>
      <c r="K439" s="42" t="s">
        <v>1895</v>
      </c>
      <c r="L439" s="42" t="s">
        <v>6298</v>
      </c>
      <c r="M439" s="42" t="s">
        <v>6567</v>
      </c>
      <c r="N439" s="42" t="s">
        <v>6568</v>
      </c>
      <c r="O439" s="42" t="s">
        <v>6569</v>
      </c>
      <c r="P439" s="42" t="s">
        <v>6570</v>
      </c>
      <c r="Q439" s="42" t="s">
        <v>6571</v>
      </c>
      <c r="R439" s="42" t="s">
        <v>51</v>
      </c>
      <c r="S439" s="42" t="s">
        <v>29</v>
      </c>
      <c r="T439" s="42" t="s">
        <v>4968</v>
      </c>
      <c r="U439" s="42" t="s">
        <v>500</v>
      </c>
      <c r="V439" s="44" t="s">
        <v>6542</v>
      </c>
      <c r="W439" s="42" t="s">
        <v>3892</v>
      </c>
    </row>
    <row r="440" spans="1:23" ht="60">
      <c r="A440" s="40">
        <v>61</v>
      </c>
      <c r="B440" s="41">
        <v>2051017468</v>
      </c>
      <c r="C440" s="42" t="s">
        <v>1610</v>
      </c>
      <c r="D440" s="42" t="s">
        <v>765</v>
      </c>
      <c r="E440" s="43" t="s">
        <v>1442</v>
      </c>
      <c r="F440" s="42" t="s">
        <v>861</v>
      </c>
      <c r="G440" s="42" t="s">
        <v>1609</v>
      </c>
      <c r="H440" s="43"/>
      <c r="I440" s="42"/>
      <c r="J440" s="42"/>
      <c r="K440" s="42" t="s">
        <v>1895</v>
      </c>
      <c r="L440" s="42" t="s">
        <v>534</v>
      </c>
      <c r="M440" s="42"/>
      <c r="N440" s="42" t="s">
        <v>6572</v>
      </c>
      <c r="O440" s="42"/>
      <c r="P440" s="42" t="s">
        <v>3951</v>
      </c>
      <c r="Q440" s="42"/>
      <c r="R440" s="42" t="s">
        <v>51</v>
      </c>
      <c r="S440" s="42" t="s">
        <v>29</v>
      </c>
      <c r="T440" s="42" t="s">
        <v>4968</v>
      </c>
      <c r="U440" s="42" t="s">
        <v>500</v>
      </c>
      <c r="V440" s="44" t="s">
        <v>6573</v>
      </c>
      <c r="W440" s="42" t="s">
        <v>6391</v>
      </c>
    </row>
    <row r="441" spans="1:23" ht="30">
      <c r="A441" s="40">
        <v>62</v>
      </c>
      <c r="B441" s="41">
        <v>2054027645</v>
      </c>
      <c r="C441" s="42" t="s">
        <v>1732</v>
      </c>
      <c r="D441" s="42" t="s">
        <v>765</v>
      </c>
      <c r="E441" s="43" t="s">
        <v>1733</v>
      </c>
      <c r="F441" s="42" t="s">
        <v>5319</v>
      </c>
      <c r="G441" s="42" t="s">
        <v>1731</v>
      </c>
      <c r="H441" s="43">
        <v>43887</v>
      </c>
      <c r="I441" s="42" t="s">
        <v>6574</v>
      </c>
      <c r="J441" s="42" t="s">
        <v>6575</v>
      </c>
      <c r="K441" s="42" t="s">
        <v>1895</v>
      </c>
      <c r="L441" s="42" t="s">
        <v>6576</v>
      </c>
      <c r="M441" s="42" t="s">
        <v>6577</v>
      </c>
      <c r="N441" s="42" t="s">
        <v>6578</v>
      </c>
      <c r="O441" s="42" t="s">
        <v>6579</v>
      </c>
      <c r="P441" s="42" t="s">
        <v>6580</v>
      </c>
      <c r="Q441" s="42" t="s">
        <v>6581</v>
      </c>
      <c r="R441" s="42" t="s">
        <v>51</v>
      </c>
      <c r="S441" s="42" t="s">
        <v>29</v>
      </c>
      <c r="T441" s="42" t="s">
        <v>4968</v>
      </c>
      <c r="U441" s="42" t="s">
        <v>500</v>
      </c>
      <c r="V441" s="44" t="s">
        <v>6542</v>
      </c>
      <c r="W441" s="42" t="s">
        <v>3892</v>
      </c>
    </row>
    <row r="442" spans="1:23" ht="30">
      <c r="A442" s="40">
        <v>63</v>
      </c>
      <c r="B442" s="41">
        <v>2054027423</v>
      </c>
      <c r="C442" s="42" t="s">
        <v>1658</v>
      </c>
      <c r="D442" s="42" t="s">
        <v>765</v>
      </c>
      <c r="E442" s="43" t="s">
        <v>1659</v>
      </c>
      <c r="F442" s="42" t="s">
        <v>1032</v>
      </c>
      <c r="G442" s="42" t="s">
        <v>1657</v>
      </c>
      <c r="H442" s="43"/>
      <c r="I442" s="42"/>
      <c r="J442" s="42" t="s">
        <v>6582</v>
      </c>
      <c r="K442" s="42" t="s">
        <v>1895</v>
      </c>
      <c r="L442" s="42"/>
      <c r="M442" s="42"/>
      <c r="N442" s="42" t="s">
        <v>6583</v>
      </c>
      <c r="O442" s="42"/>
      <c r="P442" s="42" t="s">
        <v>6584</v>
      </c>
      <c r="Q442" s="42"/>
      <c r="R442" s="42" t="s">
        <v>51</v>
      </c>
      <c r="S442" s="42" t="s">
        <v>29</v>
      </c>
      <c r="T442" s="42" t="s">
        <v>4968</v>
      </c>
      <c r="U442" s="42" t="s">
        <v>500</v>
      </c>
      <c r="V442" s="44" t="s">
        <v>6542</v>
      </c>
      <c r="W442" s="42" t="s">
        <v>3892</v>
      </c>
    </row>
    <row r="443" spans="1:23" ht="90">
      <c r="A443" s="40">
        <v>64</v>
      </c>
      <c r="B443" s="41">
        <v>2054027428</v>
      </c>
      <c r="C443" s="42" t="s">
        <v>93</v>
      </c>
      <c r="D443" s="42" t="s">
        <v>765</v>
      </c>
      <c r="E443" s="43" t="s">
        <v>1661</v>
      </c>
      <c r="F443" s="42" t="s">
        <v>892</v>
      </c>
      <c r="G443" s="42" t="s">
        <v>1660</v>
      </c>
      <c r="H443" s="43">
        <v>44089</v>
      </c>
      <c r="I443" s="42" t="s">
        <v>6585</v>
      </c>
      <c r="J443" s="42" t="s">
        <v>6586</v>
      </c>
      <c r="K443" s="42" t="s">
        <v>1895</v>
      </c>
      <c r="L443" s="42" t="s">
        <v>6298</v>
      </c>
      <c r="M443" s="42" t="s">
        <v>6587</v>
      </c>
      <c r="N443" s="42" t="s">
        <v>6588</v>
      </c>
      <c r="O443" s="42" t="s">
        <v>6589</v>
      </c>
      <c r="P443" s="42" t="s">
        <v>6590</v>
      </c>
      <c r="Q443" s="42" t="s">
        <v>6591</v>
      </c>
      <c r="R443" s="42" t="s">
        <v>51</v>
      </c>
      <c r="S443" s="42" t="s">
        <v>29</v>
      </c>
      <c r="T443" s="42" t="s">
        <v>4968</v>
      </c>
      <c r="U443" s="42" t="s">
        <v>500</v>
      </c>
      <c r="V443" s="44" t="s">
        <v>6592</v>
      </c>
      <c r="W443" s="42" t="s">
        <v>3905</v>
      </c>
    </row>
    <row r="444" spans="1:23" ht="30">
      <c r="A444" s="40">
        <v>65</v>
      </c>
      <c r="B444" s="41">
        <v>2054027643</v>
      </c>
      <c r="C444" s="42" t="s">
        <v>1730</v>
      </c>
      <c r="D444" s="42" t="s">
        <v>760</v>
      </c>
      <c r="E444" s="43" t="s">
        <v>961</v>
      </c>
      <c r="F444" s="42" t="s">
        <v>4217</v>
      </c>
      <c r="G444" s="42" t="s">
        <v>1729</v>
      </c>
      <c r="H444" s="43">
        <v>42835</v>
      </c>
      <c r="I444" s="42" t="s">
        <v>6219</v>
      </c>
      <c r="J444" s="42" t="s">
        <v>6593</v>
      </c>
      <c r="K444" s="42" t="s">
        <v>1895</v>
      </c>
      <c r="L444" s="42" t="s">
        <v>6576</v>
      </c>
      <c r="M444" s="42" t="s">
        <v>6594</v>
      </c>
      <c r="N444" s="42" t="s">
        <v>6595</v>
      </c>
      <c r="O444" s="42" t="s">
        <v>6596</v>
      </c>
      <c r="P444" s="42" t="s">
        <v>6597</v>
      </c>
      <c r="Q444" s="42" t="s">
        <v>6598</v>
      </c>
      <c r="R444" s="42" t="s">
        <v>51</v>
      </c>
      <c r="S444" s="42" t="s">
        <v>29</v>
      </c>
      <c r="T444" s="42" t="s">
        <v>4968</v>
      </c>
      <c r="U444" s="42" t="s">
        <v>500</v>
      </c>
      <c r="V444" s="44" t="s">
        <v>6542</v>
      </c>
      <c r="W444" s="42" t="s">
        <v>3892</v>
      </c>
    </row>
    <row r="445" spans="1:23" ht="30">
      <c r="A445" s="40">
        <v>66</v>
      </c>
      <c r="B445" s="41">
        <v>2054027753</v>
      </c>
      <c r="C445" s="42" t="s">
        <v>774</v>
      </c>
      <c r="D445" s="42" t="s">
        <v>760</v>
      </c>
      <c r="E445" s="43" t="s">
        <v>775</v>
      </c>
      <c r="F445" s="42" t="s">
        <v>776</v>
      </c>
      <c r="G445" s="42" t="s">
        <v>773</v>
      </c>
      <c r="H445" s="43"/>
      <c r="I445" s="42"/>
      <c r="J445" s="42"/>
      <c r="K445" s="42" t="s">
        <v>1895</v>
      </c>
      <c r="L445" s="42" t="s">
        <v>583</v>
      </c>
      <c r="M445" s="42"/>
      <c r="N445" s="42" t="s">
        <v>6599</v>
      </c>
      <c r="O445" s="42"/>
      <c r="P445" s="42" t="s">
        <v>6600</v>
      </c>
      <c r="Q445" s="42"/>
      <c r="R445" s="42" t="s">
        <v>51</v>
      </c>
      <c r="S445" s="42" t="s">
        <v>29</v>
      </c>
      <c r="T445" s="42" t="s">
        <v>4968</v>
      </c>
      <c r="U445" s="42" t="s">
        <v>500</v>
      </c>
      <c r="V445" s="44" t="s">
        <v>6542</v>
      </c>
      <c r="W445" s="42" t="s">
        <v>3892</v>
      </c>
    </row>
    <row r="446" spans="1:23" ht="30">
      <c r="A446" s="40">
        <v>67</v>
      </c>
      <c r="B446" s="41">
        <v>2054027435</v>
      </c>
      <c r="C446" s="42" t="s">
        <v>1668</v>
      </c>
      <c r="D446" s="42" t="s">
        <v>760</v>
      </c>
      <c r="E446" s="43" t="s">
        <v>1669</v>
      </c>
      <c r="F446" s="42" t="s">
        <v>6480</v>
      </c>
      <c r="G446" s="42" t="s">
        <v>1667</v>
      </c>
      <c r="H446" s="43">
        <v>43326</v>
      </c>
      <c r="I446" s="42" t="s">
        <v>4443</v>
      </c>
      <c r="J446" s="42" t="s">
        <v>6601</v>
      </c>
      <c r="K446" s="42" t="s">
        <v>1895</v>
      </c>
      <c r="L446" s="42" t="s">
        <v>6483</v>
      </c>
      <c r="M446" s="42" t="s">
        <v>6602</v>
      </c>
      <c r="N446" s="42" t="s">
        <v>6603</v>
      </c>
      <c r="O446" s="42"/>
      <c r="P446" s="42" t="s">
        <v>6604</v>
      </c>
      <c r="Q446" s="42"/>
      <c r="R446" s="42" t="s">
        <v>51</v>
      </c>
      <c r="S446" s="42" t="s">
        <v>29</v>
      </c>
      <c r="T446" s="42" t="s">
        <v>4968</v>
      </c>
      <c r="U446" s="42" t="s">
        <v>500</v>
      </c>
      <c r="V446" s="44" t="s">
        <v>6542</v>
      </c>
      <c r="W446" s="42" t="s">
        <v>3892</v>
      </c>
    </row>
    <row r="447" spans="1:23" ht="30">
      <c r="A447" s="40">
        <v>68</v>
      </c>
      <c r="B447" s="41">
        <v>2054027653</v>
      </c>
      <c r="C447" s="42" t="s">
        <v>50</v>
      </c>
      <c r="D447" s="42" t="s">
        <v>765</v>
      </c>
      <c r="E447" s="43" t="s">
        <v>850</v>
      </c>
      <c r="F447" s="42" t="s">
        <v>998</v>
      </c>
      <c r="G447" s="42" t="s">
        <v>1749</v>
      </c>
      <c r="H447" s="43"/>
      <c r="I447" s="42"/>
      <c r="J447" s="42"/>
      <c r="K447" s="42" t="s">
        <v>1895</v>
      </c>
      <c r="L447" s="42" t="s">
        <v>6605</v>
      </c>
      <c r="M447" s="42"/>
      <c r="N447" s="42" t="s">
        <v>6606</v>
      </c>
      <c r="O447" s="42"/>
      <c r="P447" s="42" t="s">
        <v>6607</v>
      </c>
      <c r="Q447" s="42"/>
      <c r="R447" s="42" t="s">
        <v>51</v>
      </c>
      <c r="S447" s="42" t="s">
        <v>29</v>
      </c>
      <c r="T447" s="42" t="s">
        <v>4968</v>
      </c>
      <c r="U447" s="42" t="s">
        <v>500</v>
      </c>
      <c r="V447" s="44" t="s">
        <v>6542</v>
      </c>
      <c r="W447" s="42" t="s">
        <v>3892</v>
      </c>
    </row>
    <row r="448" spans="1:23">
      <c r="A448" s="40">
        <v>69</v>
      </c>
      <c r="B448" s="41">
        <v>2051067522</v>
      </c>
      <c r="C448" s="42" t="s">
        <v>252</v>
      </c>
      <c r="D448" s="42" t="s">
        <v>760</v>
      </c>
      <c r="E448" s="43" t="s">
        <v>873</v>
      </c>
      <c r="F448" s="42" t="s">
        <v>6608</v>
      </c>
      <c r="G448" s="42" t="s">
        <v>1445</v>
      </c>
      <c r="H448" s="43">
        <v>42850</v>
      </c>
      <c r="I448" s="42" t="s">
        <v>6609</v>
      </c>
      <c r="J448" s="42" t="s">
        <v>6610</v>
      </c>
      <c r="K448" s="42" t="s">
        <v>593</v>
      </c>
      <c r="L448" s="42" t="s">
        <v>6298</v>
      </c>
      <c r="M448" s="42" t="s">
        <v>6611</v>
      </c>
      <c r="N448" s="42" t="s">
        <v>6612</v>
      </c>
      <c r="O448" s="42" t="s">
        <v>6613</v>
      </c>
      <c r="P448" s="42" t="s">
        <v>6614</v>
      </c>
      <c r="Q448" s="42" t="s">
        <v>6615</v>
      </c>
      <c r="R448" s="42" t="s">
        <v>193</v>
      </c>
      <c r="S448" s="42" t="s">
        <v>553</v>
      </c>
      <c r="T448" s="42" t="s">
        <v>4139</v>
      </c>
      <c r="U448" s="42" t="s">
        <v>500</v>
      </c>
      <c r="V448" s="44" t="s">
        <v>3892</v>
      </c>
      <c r="W448" s="42" t="s">
        <v>3892</v>
      </c>
    </row>
    <row r="449" spans="1:23">
      <c r="A449" s="40">
        <v>70</v>
      </c>
      <c r="B449" s="41">
        <v>2051067143</v>
      </c>
      <c r="C449" s="42" t="s">
        <v>1376</v>
      </c>
      <c r="D449" s="42" t="s">
        <v>760</v>
      </c>
      <c r="E449" s="43" t="s">
        <v>888</v>
      </c>
      <c r="F449" s="42" t="s">
        <v>804</v>
      </c>
      <c r="G449" s="42" t="s">
        <v>6616</v>
      </c>
      <c r="H449" s="43">
        <v>44419</v>
      </c>
      <c r="I449" s="42"/>
      <c r="J449" s="42" t="s">
        <v>6617</v>
      </c>
      <c r="K449" s="42" t="s">
        <v>1895</v>
      </c>
      <c r="L449" s="42"/>
      <c r="M449" s="42" t="s">
        <v>6618</v>
      </c>
      <c r="N449" s="42" t="s">
        <v>6619</v>
      </c>
      <c r="O449" s="42"/>
      <c r="P449" s="42" t="s">
        <v>6620</v>
      </c>
      <c r="Q449" s="42"/>
      <c r="R449" s="42" t="s">
        <v>193</v>
      </c>
      <c r="S449" s="42" t="s">
        <v>553</v>
      </c>
      <c r="T449" s="42" t="s">
        <v>4139</v>
      </c>
      <c r="U449" s="42" t="s">
        <v>500</v>
      </c>
      <c r="V449" s="44" t="s">
        <v>3892</v>
      </c>
      <c r="W449" s="42" t="s">
        <v>3892</v>
      </c>
    </row>
    <row r="450" spans="1:23">
      <c r="A450" s="40">
        <v>71</v>
      </c>
      <c r="B450" s="41">
        <v>2051067575</v>
      </c>
      <c r="C450" s="42" t="s">
        <v>1526</v>
      </c>
      <c r="D450" s="42" t="s">
        <v>760</v>
      </c>
      <c r="E450" s="43" t="s">
        <v>1527</v>
      </c>
      <c r="F450" s="42" t="s">
        <v>975</v>
      </c>
      <c r="G450" s="42" t="s">
        <v>1525</v>
      </c>
      <c r="H450" s="43">
        <v>42886</v>
      </c>
      <c r="I450" s="42" t="s">
        <v>6621</v>
      </c>
      <c r="J450" s="42" t="s">
        <v>6622</v>
      </c>
      <c r="K450" s="42" t="s">
        <v>1895</v>
      </c>
      <c r="L450" s="42" t="s">
        <v>1901</v>
      </c>
      <c r="M450" s="42" t="s">
        <v>6623</v>
      </c>
      <c r="N450" s="42" t="s">
        <v>6624</v>
      </c>
      <c r="O450" s="42"/>
      <c r="P450" s="42" t="s">
        <v>6625</v>
      </c>
      <c r="Q450" s="42"/>
      <c r="R450" s="42" t="s">
        <v>193</v>
      </c>
      <c r="S450" s="42" t="s">
        <v>553</v>
      </c>
      <c r="T450" s="42" t="s">
        <v>4139</v>
      </c>
      <c r="U450" s="42" t="s">
        <v>500</v>
      </c>
      <c r="V450" s="44" t="s">
        <v>3892</v>
      </c>
      <c r="W450" s="42" t="s">
        <v>3892</v>
      </c>
    </row>
    <row r="451" spans="1:23">
      <c r="A451" s="40">
        <v>72</v>
      </c>
      <c r="B451" s="41">
        <v>2051067773</v>
      </c>
      <c r="C451" s="42" t="s">
        <v>203</v>
      </c>
      <c r="D451" s="42" t="s">
        <v>760</v>
      </c>
      <c r="E451" s="43" t="s">
        <v>843</v>
      </c>
      <c r="F451" s="42" t="s">
        <v>6626</v>
      </c>
      <c r="G451" s="42" t="s">
        <v>842</v>
      </c>
      <c r="H451" s="43"/>
      <c r="I451" s="42"/>
      <c r="J451" s="42"/>
      <c r="K451" s="42" t="s">
        <v>1895</v>
      </c>
      <c r="L451" s="42" t="s">
        <v>604</v>
      </c>
      <c r="M451" s="42"/>
      <c r="N451" s="42" t="s">
        <v>6627</v>
      </c>
      <c r="O451" s="42"/>
      <c r="P451" s="42" t="s">
        <v>6628</v>
      </c>
      <c r="Q451" s="42"/>
      <c r="R451" s="42" t="s">
        <v>193</v>
      </c>
      <c r="S451" s="42" t="s">
        <v>553</v>
      </c>
      <c r="T451" s="42" t="s">
        <v>4139</v>
      </c>
      <c r="U451" s="42" t="s">
        <v>500</v>
      </c>
      <c r="V451" s="44" t="s">
        <v>3892</v>
      </c>
      <c r="W451" s="42" t="s">
        <v>3892</v>
      </c>
    </row>
    <row r="452" spans="1:23">
      <c r="A452" s="40">
        <v>73</v>
      </c>
      <c r="B452" s="41">
        <v>2051067571</v>
      </c>
      <c r="C452" s="42" t="s">
        <v>254</v>
      </c>
      <c r="D452" s="42" t="s">
        <v>760</v>
      </c>
      <c r="E452" s="43" t="s">
        <v>1070</v>
      </c>
      <c r="F452" s="42" t="s">
        <v>828</v>
      </c>
      <c r="G452" s="42" t="s">
        <v>1518</v>
      </c>
      <c r="H452" s="43"/>
      <c r="I452" s="42"/>
      <c r="J452" s="42" t="s">
        <v>6629</v>
      </c>
      <c r="K452" s="42" t="s">
        <v>1895</v>
      </c>
      <c r="L452" s="42" t="s">
        <v>643</v>
      </c>
      <c r="M452" s="42"/>
      <c r="N452" s="42" t="s">
        <v>6630</v>
      </c>
      <c r="O452" s="42"/>
      <c r="P452" s="42" t="s">
        <v>6631</v>
      </c>
      <c r="Q452" s="42"/>
      <c r="R452" s="42" t="s">
        <v>193</v>
      </c>
      <c r="S452" s="42" t="s">
        <v>553</v>
      </c>
      <c r="T452" s="42" t="s">
        <v>4139</v>
      </c>
      <c r="U452" s="42" t="s">
        <v>500</v>
      </c>
      <c r="V452" s="44" t="s">
        <v>3892</v>
      </c>
      <c r="W452" s="42" t="s">
        <v>3892</v>
      </c>
    </row>
    <row r="453" spans="1:23" ht="60">
      <c r="A453" s="40">
        <v>74</v>
      </c>
      <c r="B453" s="41">
        <v>2051067521</v>
      </c>
      <c r="C453" s="42" t="s">
        <v>197</v>
      </c>
      <c r="D453" s="42" t="s">
        <v>760</v>
      </c>
      <c r="E453" s="43" t="s">
        <v>1444</v>
      </c>
      <c r="F453" s="42" t="s">
        <v>5319</v>
      </c>
      <c r="G453" s="42" t="s">
        <v>1443</v>
      </c>
      <c r="H453" s="43">
        <v>42934</v>
      </c>
      <c r="I453" s="42" t="s">
        <v>6632</v>
      </c>
      <c r="J453" s="42" t="s">
        <v>6633</v>
      </c>
      <c r="K453" s="42" t="s">
        <v>1895</v>
      </c>
      <c r="L453" s="42" t="s">
        <v>592</v>
      </c>
      <c r="M453" s="42" t="s">
        <v>6634</v>
      </c>
      <c r="N453" s="42" t="s">
        <v>6635</v>
      </c>
      <c r="O453" s="42" t="s">
        <v>6636</v>
      </c>
      <c r="P453" s="42" t="s">
        <v>6637</v>
      </c>
      <c r="Q453" s="42" t="s">
        <v>6638</v>
      </c>
      <c r="R453" s="42" t="s">
        <v>193</v>
      </c>
      <c r="S453" s="42" t="s">
        <v>553</v>
      </c>
      <c r="T453" s="42" t="s">
        <v>4139</v>
      </c>
      <c r="U453" s="42" t="s">
        <v>500</v>
      </c>
      <c r="V453" s="44" t="s">
        <v>6639</v>
      </c>
      <c r="W453" s="42" t="s">
        <v>3905</v>
      </c>
    </row>
    <row r="454" spans="1:23">
      <c r="A454" s="40">
        <v>75</v>
      </c>
      <c r="B454" s="41">
        <v>2051067532</v>
      </c>
      <c r="C454" s="42" t="s">
        <v>1466</v>
      </c>
      <c r="D454" s="42" t="s">
        <v>760</v>
      </c>
      <c r="E454" s="43" t="s">
        <v>1320</v>
      </c>
      <c r="F454" s="42" t="s">
        <v>5255</v>
      </c>
      <c r="G454" s="42" t="s">
        <v>1465</v>
      </c>
      <c r="H454" s="43">
        <v>44527</v>
      </c>
      <c r="I454" s="42" t="s">
        <v>6640</v>
      </c>
      <c r="J454" s="42" t="s">
        <v>6641</v>
      </c>
      <c r="K454" s="42" t="s">
        <v>1895</v>
      </c>
      <c r="L454" s="42" t="s">
        <v>1908</v>
      </c>
      <c r="M454" s="42" t="s">
        <v>6642</v>
      </c>
      <c r="N454" s="42" t="s">
        <v>6643</v>
      </c>
      <c r="O454" s="42"/>
      <c r="P454" s="42" t="s">
        <v>6644</v>
      </c>
      <c r="Q454" s="42" t="s">
        <v>6641</v>
      </c>
      <c r="R454" s="42" t="s">
        <v>193</v>
      </c>
      <c r="S454" s="42" t="s">
        <v>553</v>
      </c>
      <c r="T454" s="42" t="s">
        <v>4139</v>
      </c>
      <c r="U454" s="42" t="s">
        <v>500</v>
      </c>
      <c r="V454" s="44" t="s">
        <v>3892</v>
      </c>
      <c r="W454" s="42" t="s">
        <v>3892</v>
      </c>
    </row>
    <row r="455" spans="1:23">
      <c r="A455" s="40">
        <v>76</v>
      </c>
      <c r="B455" s="41">
        <v>2051067806</v>
      </c>
      <c r="C455" s="42" t="s">
        <v>200</v>
      </c>
      <c r="D455" s="42" t="s">
        <v>760</v>
      </c>
      <c r="E455" s="43" t="s">
        <v>941</v>
      </c>
      <c r="F455" s="42" t="s">
        <v>5255</v>
      </c>
      <c r="G455" s="42" t="s">
        <v>940</v>
      </c>
      <c r="H455" s="43">
        <v>44557</v>
      </c>
      <c r="I455" s="42" t="s">
        <v>5255</v>
      </c>
      <c r="J455" s="42" t="s">
        <v>6645</v>
      </c>
      <c r="K455" s="42" t="s">
        <v>1895</v>
      </c>
      <c r="L455" s="42" t="s">
        <v>1901</v>
      </c>
      <c r="M455" s="42" t="s">
        <v>6646</v>
      </c>
      <c r="N455" s="42" t="s">
        <v>6647</v>
      </c>
      <c r="O455" s="42" t="s">
        <v>6648</v>
      </c>
      <c r="P455" s="42" t="s">
        <v>6649</v>
      </c>
      <c r="Q455" s="42" t="s">
        <v>6650</v>
      </c>
      <c r="R455" s="42" t="s">
        <v>193</v>
      </c>
      <c r="S455" s="42" t="s">
        <v>553</v>
      </c>
      <c r="T455" s="42" t="s">
        <v>4139</v>
      </c>
      <c r="U455" s="42" t="s">
        <v>500</v>
      </c>
      <c r="V455" s="44" t="s">
        <v>3892</v>
      </c>
      <c r="W455" s="42" t="s">
        <v>3892</v>
      </c>
    </row>
    <row r="456" spans="1:23">
      <c r="A456" s="40">
        <v>77</v>
      </c>
      <c r="B456" s="41">
        <v>2051067854</v>
      </c>
      <c r="C456" s="42" t="s">
        <v>1084</v>
      </c>
      <c r="D456" s="42" t="s">
        <v>760</v>
      </c>
      <c r="E456" s="43" t="s">
        <v>1085</v>
      </c>
      <c r="F456" s="42" t="s">
        <v>821</v>
      </c>
      <c r="G456" s="42" t="s">
        <v>6651</v>
      </c>
      <c r="H456" s="43">
        <v>44371</v>
      </c>
      <c r="I456" s="42"/>
      <c r="J456" s="42"/>
      <c r="K456" s="42" t="s">
        <v>1895</v>
      </c>
      <c r="L456" s="42" t="s">
        <v>688</v>
      </c>
      <c r="M456" s="42"/>
      <c r="N456" s="42" t="s">
        <v>6652</v>
      </c>
      <c r="O456" s="42"/>
      <c r="P456" s="42" t="s">
        <v>6653</v>
      </c>
      <c r="Q456" s="42"/>
      <c r="R456" s="42" t="s">
        <v>193</v>
      </c>
      <c r="S456" s="42" t="s">
        <v>553</v>
      </c>
      <c r="T456" s="42" t="s">
        <v>4139</v>
      </c>
      <c r="U456" s="42" t="s">
        <v>500</v>
      </c>
      <c r="V456" s="44" t="s">
        <v>3892</v>
      </c>
      <c r="W456" s="42" t="s">
        <v>3892</v>
      </c>
    </row>
    <row r="457" spans="1:23">
      <c r="A457" s="40">
        <v>78</v>
      </c>
      <c r="B457" s="41">
        <v>2051067855</v>
      </c>
      <c r="C457" s="42" t="s">
        <v>1087</v>
      </c>
      <c r="D457" s="42" t="s">
        <v>760</v>
      </c>
      <c r="E457" s="43" t="s">
        <v>1085</v>
      </c>
      <c r="F457" s="42" t="s">
        <v>821</v>
      </c>
      <c r="G457" s="42" t="s">
        <v>1086</v>
      </c>
      <c r="H457" s="43"/>
      <c r="I457" s="42"/>
      <c r="J457" s="42"/>
      <c r="K457" s="42" t="s">
        <v>1895</v>
      </c>
      <c r="L457" s="42" t="s">
        <v>689</v>
      </c>
      <c r="M457" s="42"/>
      <c r="N457" s="42" t="s">
        <v>6652</v>
      </c>
      <c r="O457" s="42"/>
      <c r="P457" s="42" t="s">
        <v>6653</v>
      </c>
      <c r="Q457" s="42"/>
      <c r="R457" s="42" t="s">
        <v>193</v>
      </c>
      <c r="S457" s="42" t="s">
        <v>553</v>
      </c>
      <c r="T457" s="42" t="s">
        <v>4139</v>
      </c>
      <c r="U457" s="42" t="s">
        <v>500</v>
      </c>
      <c r="V457" s="44" t="s">
        <v>3892</v>
      </c>
      <c r="W457" s="42" t="s">
        <v>3892</v>
      </c>
    </row>
    <row r="458" spans="1:23">
      <c r="A458" s="40">
        <v>79</v>
      </c>
      <c r="B458" s="41">
        <v>2051067759</v>
      </c>
      <c r="C458" s="42" t="s">
        <v>795</v>
      </c>
      <c r="D458" s="42" t="s">
        <v>760</v>
      </c>
      <c r="E458" s="43" t="s">
        <v>796</v>
      </c>
      <c r="F458" s="42" t="s">
        <v>3938</v>
      </c>
      <c r="G458" s="42" t="s">
        <v>794</v>
      </c>
      <c r="H458" s="43"/>
      <c r="I458" s="42"/>
      <c r="J458" s="42"/>
      <c r="K458" s="42" t="s">
        <v>1895</v>
      </c>
      <c r="L458" s="42" t="s">
        <v>589</v>
      </c>
      <c r="M458" s="42"/>
      <c r="N458" s="42" t="s">
        <v>6654</v>
      </c>
      <c r="O458" s="42"/>
      <c r="P458" s="42" t="s">
        <v>6655</v>
      </c>
      <c r="Q458" s="42"/>
      <c r="R458" s="42" t="s">
        <v>193</v>
      </c>
      <c r="S458" s="42" t="s">
        <v>553</v>
      </c>
      <c r="T458" s="42" t="s">
        <v>4139</v>
      </c>
      <c r="U458" s="42" t="s">
        <v>500</v>
      </c>
      <c r="V458" s="44" t="s">
        <v>3892</v>
      </c>
      <c r="W458" s="42" t="s">
        <v>3892</v>
      </c>
    </row>
    <row r="459" spans="1:23">
      <c r="A459" s="40">
        <v>80</v>
      </c>
      <c r="B459" s="41">
        <v>2051067538</v>
      </c>
      <c r="C459" s="42" t="s">
        <v>192</v>
      </c>
      <c r="D459" s="42" t="s">
        <v>760</v>
      </c>
      <c r="E459" s="43" t="s">
        <v>1159</v>
      </c>
      <c r="F459" s="42" t="s">
        <v>6557</v>
      </c>
      <c r="G459" s="42" t="s">
        <v>1479</v>
      </c>
      <c r="H459" s="43"/>
      <c r="I459" s="42"/>
      <c r="J459" s="42" t="s">
        <v>6656</v>
      </c>
      <c r="K459" s="42" t="s">
        <v>1895</v>
      </c>
      <c r="L459" s="42" t="s">
        <v>610</v>
      </c>
      <c r="M459" s="42"/>
      <c r="N459" s="42" t="s">
        <v>6657</v>
      </c>
      <c r="O459" s="42"/>
      <c r="P459" s="42" t="s">
        <v>6658</v>
      </c>
      <c r="Q459" s="42"/>
      <c r="R459" s="42" t="s">
        <v>193</v>
      </c>
      <c r="S459" s="42" t="s">
        <v>553</v>
      </c>
      <c r="T459" s="42" t="s">
        <v>4139</v>
      </c>
      <c r="U459" s="42" t="s">
        <v>500</v>
      </c>
      <c r="V459" s="44" t="s">
        <v>3892</v>
      </c>
      <c r="W459" s="42" t="s">
        <v>3892</v>
      </c>
    </row>
    <row r="460" spans="1:23">
      <c r="A460" s="40">
        <v>81</v>
      </c>
      <c r="B460" s="41">
        <v>2051067583</v>
      </c>
      <c r="C460" s="42" t="s">
        <v>1535</v>
      </c>
      <c r="D460" s="42" t="s">
        <v>760</v>
      </c>
      <c r="E460" s="43" t="s">
        <v>1536</v>
      </c>
      <c r="F460" s="42" t="s">
        <v>1049</v>
      </c>
      <c r="G460" s="42" t="s">
        <v>1534</v>
      </c>
      <c r="H460" s="43">
        <v>42915</v>
      </c>
      <c r="I460" s="42" t="s">
        <v>6659</v>
      </c>
      <c r="J460" s="42" t="s">
        <v>6660</v>
      </c>
      <c r="K460" s="42" t="s">
        <v>1895</v>
      </c>
      <c r="L460" s="42" t="s">
        <v>1901</v>
      </c>
      <c r="M460" s="42" t="s">
        <v>6661</v>
      </c>
      <c r="N460" s="42" t="s">
        <v>6662</v>
      </c>
      <c r="O460" s="42"/>
      <c r="P460" s="42" t="s">
        <v>6663</v>
      </c>
      <c r="Q460" s="42"/>
      <c r="R460" s="42" t="s">
        <v>193</v>
      </c>
      <c r="S460" s="42" t="s">
        <v>553</v>
      </c>
      <c r="T460" s="42" t="s">
        <v>4139</v>
      </c>
      <c r="U460" s="42" t="s">
        <v>500</v>
      </c>
      <c r="V460" s="44" t="s">
        <v>3892</v>
      </c>
      <c r="W460" s="42" t="s">
        <v>3892</v>
      </c>
    </row>
    <row r="461" spans="1:23">
      <c r="A461" s="40">
        <v>82</v>
      </c>
      <c r="B461" s="41">
        <v>2051067230</v>
      </c>
      <c r="C461" s="42" t="s">
        <v>1420</v>
      </c>
      <c r="D461" s="42" t="s">
        <v>760</v>
      </c>
      <c r="E461" s="43" t="s">
        <v>850</v>
      </c>
      <c r="F461" s="42" t="s">
        <v>1049</v>
      </c>
      <c r="G461" s="42" t="s">
        <v>1419</v>
      </c>
      <c r="H461" s="43"/>
      <c r="I461" s="42"/>
      <c r="J461" s="42" t="s">
        <v>6664</v>
      </c>
      <c r="K461" s="42" t="s">
        <v>1895</v>
      </c>
      <c r="L461" s="42"/>
      <c r="M461" s="42" t="s">
        <v>6665</v>
      </c>
      <c r="N461" s="42" t="s">
        <v>6666</v>
      </c>
      <c r="O461" s="42"/>
      <c r="P461" s="42" t="s">
        <v>6667</v>
      </c>
      <c r="Q461" s="42"/>
      <c r="R461" s="42" t="s">
        <v>193</v>
      </c>
      <c r="S461" s="42" t="s">
        <v>553</v>
      </c>
      <c r="T461" s="42" t="s">
        <v>4139</v>
      </c>
      <c r="U461" s="42" t="s">
        <v>500</v>
      </c>
      <c r="V461" s="44" t="s">
        <v>3892</v>
      </c>
      <c r="W461" s="42" t="s">
        <v>3892</v>
      </c>
    </row>
    <row r="462" spans="1:23">
      <c r="A462" s="40">
        <v>83</v>
      </c>
      <c r="B462" s="41">
        <v>2051067231</v>
      </c>
      <c r="C462" s="42" t="s">
        <v>205</v>
      </c>
      <c r="D462" s="42" t="s">
        <v>760</v>
      </c>
      <c r="E462" s="43" t="s">
        <v>986</v>
      </c>
      <c r="F462" s="42" t="s">
        <v>6344</v>
      </c>
      <c r="G462" s="42" t="s">
        <v>1421</v>
      </c>
      <c r="H462" s="43"/>
      <c r="I462" s="42"/>
      <c r="J462" s="42" t="s">
        <v>6668</v>
      </c>
      <c r="K462" s="42" t="s">
        <v>1895</v>
      </c>
      <c r="L462" s="42"/>
      <c r="M462" s="42" t="s">
        <v>6669</v>
      </c>
      <c r="N462" s="42" t="s">
        <v>6670</v>
      </c>
      <c r="O462" s="42"/>
      <c r="P462" s="42" t="s">
        <v>6671</v>
      </c>
      <c r="Q462" s="42"/>
      <c r="R462" s="42" t="s">
        <v>193</v>
      </c>
      <c r="S462" s="42" t="s">
        <v>553</v>
      </c>
      <c r="T462" s="42" t="s">
        <v>4139</v>
      </c>
      <c r="U462" s="42" t="s">
        <v>500</v>
      </c>
      <c r="V462" s="44" t="s">
        <v>3892</v>
      </c>
      <c r="W462" s="42" t="s">
        <v>3892</v>
      </c>
    </row>
    <row r="463" spans="1:23">
      <c r="A463" s="40">
        <v>84</v>
      </c>
      <c r="B463" s="41">
        <v>2051067548</v>
      </c>
      <c r="C463" s="42" t="s">
        <v>1490</v>
      </c>
      <c r="D463" s="42" t="s">
        <v>760</v>
      </c>
      <c r="E463" s="43" t="s">
        <v>1491</v>
      </c>
      <c r="F463" s="42" t="s">
        <v>6672</v>
      </c>
      <c r="G463" s="42" t="s">
        <v>1489</v>
      </c>
      <c r="H463" s="43">
        <v>42877</v>
      </c>
      <c r="I463" s="42" t="s">
        <v>6219</v>
      </c>
      <c r="J463" s="42" t="s">
        <v>6673</v>
      </c>
      <c r="K463" s="42" t="s">
        <v>1895</v>
      </c>
      <c r="L463" s="42" t="s">
        <v>1908</v>
      </c>
      <c r="M463" s="42" t="s">
        <v>6674</v>
      </c>
      <c r="N463" s="42" t="s">
        <v>6675</v>
      </c>
      <c r="O463" s="42" t="s">
        <v>6676</v>
      </c>
      <c r="P463" s="42" t="s">
        <v>6677</v>
      </c>
      <c r="Q463" s="42" t="s">
        <v>6678</v>
      </c>
      <c r="R463" s="42" t="s">
        <v>193</v>
      </c>
      <c r="S463" s="42" t="s">
        <v>553</v>
      </c>
      <c r="T463" s="42" t="s">
        <v>4139</v>
      </c>
      <c r="U463" s="42" t="s">
        <v>500</v>
      </c>
      <c r="V463" s="44" t="s">
        <v>3892</v>
      </c>
      <c r="W463" s="42" t="s">
        <v>3892</v>
      </c>
    </row>
    <row r="464" spans="1:23">
      <c r="A464" s="40">
        <v>1</v>
      </c>
      <c r="B464" s="41">
        <v>1951015387</v>
      </c>
      <c r="C464" s="42" t="s">
        <v>6679</v>
      </c>
      <c r="D464" s="42" t="s">
        <v>760</v>
      </c>
      <c r="E464" s="43" t="s">
        <v>7275</v>
      </c>
      <c r="F464" s="42"/>
      <c r="G464" s="42" t="s">
        <v>6680</v>
      </c>
      <c r="H464" s="43">
        <v>42390</v>
      </c>
      <c r="I464" s="42" t="s">
        <v>6681</v>
      </c>
      <c r="J464" s="42" t="s">
        <v>6682</v>
      </c>
      <c r="K464" s="42" t="s">
        <v>1895</v>
      </c>
      <c r="L464" s="42" t="s">
        <v>6298</v>
      </c>
      <c r="M464" s="42" t="s">
        <v>6683</v>
      </c>
      <c r="N464" s="42"/>
      <c r="O464" s="42"/>
      <c r="P464" s="42"/>
      <c r="Q464" s="42"/>
      <c r="R464" s="42" t="s">
        <v>482</v>
      </c>
      <c r="S464" s="42" t="s">
        <v>314</v>
      </c>
      <c r="T464" s="42" t="s">
        <v>3891</v>
      </c>
      <c r="U464" s="42" t="s">
        <v>496</v>
      </c>
      <c r="V464" s="44" t="s">
        <v>3892</v>
      </c>
      <c r="W464" s="42" t="s">
        <v>3892</v>
      </c>
    </row>
    <row r="465" spans="1:23">
      <c r="A465" s="40">
        <v>2</v>
      </c>
      <c r="B465" s="41">
        <v>1951015560</v>
      </c>
      <c r="C465" s="42" t="s">
        <v>488</v>
      </c>
      <c r="D465" s="42" t="s">
        <v>760</v>
      </c>
      <c r="E465" s="43" t="s">
        <v>7276</v>
      </c>
      <c r="F465" s="42" t="s">
        <v>6684</v>
      </c>
      <c r="G465" s="42" t="s">
        <v>6685</v>
      </c>
      <c r="H465" s="43">
        <v>44557</v>
      </c>
      <c r="I465" s="42" t="s">
        <v>6686</v>
      </c>
      <c r="J465" s="42" t="s">
        <v>6687</v>
      </c>
      <c r="K465" s="42" t="s">
        <v>1895</v>
      </c>
      <c r="L465" s="42" t="s">
        <v>1901</v>
      </c>
      <c r="M465" s="42" t="s">
        <v>6688</v>
      </c>
      <c r="N465" s="42" t="s">
        <v>6689</v>
      </c>
      <c r="O465" s="42" t="s">
        <v>6690</v>
      </c>
      <c r="P465" s="42" t="s">
        <v>6691</v>
      </c>
      <c r="Q465" s="42" t="s">
        <v>6692</v>
      </c>
      <c r="R465" s="42" t="s">
        <v>482</v>
      </c>
      <c r="S465" s="42" t="s">
        <v>314</v>
      </c>
      <c r="T465" s="42" t="s">
        <v>3891</v>
      </c>
      <c r="U465" s="42" t="s">
        <v>496</v>
      </c>
      <c r="V465" s="44" t="s">
        <v>3892</v>
      </c>
      <c r="W465" s="42" t="s">
        <v>3892</v>
      </c>
    </row>
    <row r="466" spans="1:23">
      <c r="A466" s="40">
        <v>3</v>
      </c>
      <c r="B466" s="41">
        <v>1951015145</v>
      </c>
      <c r="C466" s="42" t="s">
        <v>6693</v>
      </c>
      <c r="D466" s="42" t="s">
        <v>760</v>
      </c>
      <c r="E466" s="43" t="s">
        <v>7277</v>
      </c>
      <c r="F466" s="42" t="s">
        <v>6694</v>
      </c>
      <c r="G466" s="42" t="s">
        <v>6695</v>
      </c>
      <c r="H466" s="43">
        <v>43200</v>
      </c>
      <c r="I466" s="42" t="s">
        <v>6696</v>
      </c>
      <c r="J466" s="42" t="s">
        <v>6697</v>
      </c>
      <c r="K466" s="42" t="s">
        <v>1895</v>
      </c>
      <c r="L466" s="42" t="s">
        <v>1901</v>
      </c>
      <c r="M466" s="42" t="s">
        <v>6698</v>
      </c>
      <c r="N466" s="42" t="s">
        <v>6699</v>
      </c>
      <c r="O466" s="42" t="s">
        <v>6700</v>
      </c>
      <c r="P466" s="42" t="s">
        <v>6701</v>
      </c>
      <c r="Q466" s="42" t="s">
        <v>6702</v>
      </c>
      <c r="R466" s="42" t="s">
        <v>482</v>
      </c>
      <c r="S466" s="42" t="s">
        <v>314</v>
      </c>
      <c r="T466" s="42" t="s">
        <v>3891</v>
      </c>
      <c r="U466" s="42" t="s">
        <v>496</v>
      </c>
      <c r="V466" s="44" t="s">
        <v>3892</v>
      </c>
      <c r="W466" s="42" t="s">
        <v>3892</v>
      </c>
    </row>
    <row r="467" spans="1:23">
      <c r="A467" s="40">
        <v>4</v>
      </c>
      <c r="B467" s="41">
        <v>1951015150</v>
      </c>
      <c r="C467" s="42" t="s">
        <v>484</v>
      </c>
      <c r="D467" s="42" t="s">
        <v>765</v>
      </c>
      <c r="E467" s="43" t="s">
        <v>7278</v>
      </c>
      <c r="F467" s="42" t="s">
        <v>790</v>
      </c>
      <c r="G467" s="42" t="s">
        <v>6703</v>
      </c>
      <c r="H467" s="43">
        <v>43277</v>
      </c>
      <c r="I467" s="42" t="s">
        <v>790</v>
      </c>
      <c r="J467" s="42" t="s">
        <v>6704</v>
      </c>
      <c r="K467" s="42" t="s">
        <v>1895</v>
      </c>
      <c r="L467" s="42" t="s">
        <v>6705</v>
      </c>
      <c r="M467" s="42" t="s">
        <v>6706</v>
      </c>
      <c r="N467" s="42" t="s">
        <v>6707</v>
      </c>
      <c r="O467" s="42" t="s">
        <v>6708</v>
      </c>
      <c r="P467" s="42" t="s">
        <v>6709</v>
      </c>
      <c r="Q467" s="42" t="s">
        <v>6710</v>
      </c>
      <c r="R467" s="42" t="s">
        <v>482</v>
      </c>
      <c r="S467" s="42" t="s">
        <v>314</v>
      </c>
      <c r="T467" s="42" t="s">
        <v>3891</v>
      </c>
      <c r="U467" s="42" t="s">
        <v>496</v>
      </c>
      <c r="V467" s="44" t="s">
        <v>3892</v>
      </c>
      <c r="W467" s="42" t="s">
        <v>3892</v>
      </c>
    </row>
    <row r="468" spans="1:23" ht="60">
      <c r="A468" s="40">
        <v>5</v>
      </c>
      <c r="B468" s="41">
        <v>1951015231</v>
      </c>
      <c r="C468" s="42" t="s">
        <v>486</v>
      </c>
      <c r="D468" s="42" t="s">
        <v>760</v>
      </c>
      <c r="E468" s="43" t="s">
        <v>1427</v>
      </c>
      <c r="F468" s="42" t="s">
        <v>1116</v>
      </c>
      <c r="G468" s="42" t="s">
        <v>6711</v>
      </c>
      <c r="H468" s="43">
        <v>42398</v>
      </c>
      <c r="I468" s="42" t="s">
        <v>1116</v>
      </c>
      <c r="J468" s="42" t="s">
        <v>6712</v>
      </c>
      <c r="K468" s="42" t="s">
        <v>1895</v>
      </c>
      <c r="L468" s="42" t="s">
        <v>1901</v>
      </c>
      <c r="M468" s="42" t="s">
        <v>6713</v>
      </c>
      <c r="N468" s="42" t="s">
        <v>6714</v>
      </c>
      <c r="O468" s="42" t="s">
        <v>6715</v>
      </c>
      <c r="P468" s="42" t="s">
        <v>6716</v>
      </c>
      <c r="Q468" s="42" t="s">
        <v>6717</v>
      </c>
      <c r="R468" s="42" t="s">
        <v>482</v>
      </c>
      <c r="S468" s="42" t="s">
        <v>314</v>
      </c>
      <c r="T468" s="42" t="s">
        <v>3891</v>
      </c>
      <c r="U468" s="42" t="s">
        <v>496</v>
      </c>
      <c r="V468" s="44" t="s">
        <v>6718</v>
      </c>
      <c r="W468" s="42" t="s">
        <v>3905</v>
      </c>
    </row>
    <row r="469" spans="1:23">
      <c r="A469" s="40">
        <v>6</v>
      </c>
      <c r="B469" s="41">
        <v>1951015141</v>
      </c>
      <c r="C469" s="42" t="s">
        <v>6719</v>
      </c>
      <c r="D469" s="42" t="s">
        <v>760</v>
      </c>
      <c r="E469" s="43" t="s">
        <v>7279</v>
      </c>
      <c r="F469" s="42" t="s">
        <v>6720</v>
      </c>
      <c r="G469" s="42" t="s">
        <v>6721</v>
      </c>
      <c r="H469" s="43">
        <v>42391</v>
      </c>
      <c r="I469" s="42" t="s">
        <v>804</v>
      </c>
      <c r="J469" s="42" t="s">
        <v>6722</v>
      </c>
      <c r="K469" s="42" t="s">
        <v>1895</v>
      </c>
      <c r="L469" s="42" t="s">
        <v>1901</v>
      </c>
      <c r="M469" s="42" t="s">
        <v>6723</v>
      </c>
      <c r="N469" s="42" t="s">
        <v>6724</v>
      </c>
      <c r="O469" s="42" t="s">
        <v>6725</v>
      </c>
      <c r="P469" s="42" t="s">
        <v>4093</v>
      </c>
      <c r="Q469" s="42" t="s">
        <v>6726</v>
      </c>
      <c r="R469" s="42" t="s">
        <v>482</v>
      </c>
      <c r="S469" s="42" t="s">
        <v>314</v>
      </c>
      <c r="T469" s="42" t="s">
        <v>3891</v>
      </c>
      <c r="U469" s="42" t="s">
        <v>496</v>
      </c>
      <c r="V469" s="44" t="s">
        <v>3892</v>
      </c>
      <c r="W469" s="42" t="s">
        <v>3892</v>
      </c>
    </row>
    <row r="470" spans="1:23" ht="120">
      <c r="A470" s="40">
        <v>7</v>
      </c>
      <c r="B470" s="41">
        <v>1951015590</v>
      </c>
      <c r="C470" s="42" t="s">
        <v>6727</v>
      </c>
      <c r="D470" s="42" t="s">
        <v>760</v>
      </c>
      <c r="E470" s="43" t="s">
        <v>7280</v>
      </c>
      <c r="F470" s="42" t="s">
        <v>861</v>
      </c>
      <c r="G470" s="42" t="s">
        <v>6728</v>
      </c>
      <c r="H470" s="43">
        <v>42373</v>
      </c>
      <c r="I470" s="42" t="s">
        <v>6729</v>
      </c>
      <c r="J470" s="42" t="s">
        <v>6730</v>
      </c>
      <c r="K470" s="42" t="s">
        <v>1895</v>
      </c>
      <c r="L470" s="42" t="s">
        <v>6298</v>
      </c>
      <c r="M470" s="42" t="s">
        <v>6731</v>
      </c>
      <c r="N470" s="42" t="s">
        <v>6732</v>
      </c>
      <c r="O470" s="42" t="s">
        <v>6733</v>
      </c>
      <c r="P470" s="42" t="s">
        <v>6734</v>
      </c>
      <c r="Q470" s="42" t="s">
        <v>6735</v>
      </c>
      <c r="R470" s="42" t="s">
        <v>482</v>
      </c>
      <c r="S470" s="42" t="s">
        <v>314</v>
      </c>
      <c r="T470" s="42" t="s">
        <v>3891</v>
      </c>
      <c r="U470" s="42" t="s">
        <v>496</v>
      </c>
      <c r="V470" s="44" t="s">
        <v>6736</v>
      </c>
      <c r="W470" s="42" t="s">
        <v>3905</v>
      </c>
    </row>
    <row r="471" spans="1:23">
      <c r="A471" s="40">
        <v>8</v>
      </c>
      <c r="B471" s="41">
        <v>1951015113</v>
      </c>
      <c r="C471" s="42" t="s">
        <v>6737</v>
      </c>
      <c r="D471" s="42" t="s">
        <v>760</v>
      </c>
      <c r="E471" s="43" t="s">
        <v>7281</v>
      </c>
      <c r="F471" s="42" t="s">
        <v>6738</v>
      </c>
      <c r="G471" s="42" t="s">
        <v>6739</v>
      </c>
      <c r="H471" s="43">
        <v>42917</v>
      </c>
      <c r="I471" s="42" t="s">
        <v>6740</v>
      </c>
      <c r="J471" s="42" t="s">
        <v>6741</v>
      </c>
      <c r="K471" s="42" t="s">
        <v>1895</v>
      </c>
      <c r="L471" s="42" t="s">
        <v>6742</v>
      </c>
      <c r="M471" s="42" t="s">
        <v>6743</v>
      </c>
      <c r="N471" s="42" t="s">
        <v>3414</v>
      </c>
      <c r="O471" s="42" t="s">
        <v>6744</v>
      </c>
      <c r="P471" s="42" t="s">
        <v>6745</v>
      </c>
      <c r="Q471" s="42" t="s">
        <v>6746</v>
      </c>
      <c r="R471" s="42" t="s">
        <v>482</v>
      </c>
      <c r="S471" s="42" t="s">
        <v>314</v>
      </c>
      <c r="T471" s="42" t="s">
        <v>3891</v>
      </c>
      <c r="U471" s="42" t="s">
        <v>496</v>
      </c>
      <c r="V471" s="44" t="s">
        <v>3892</v>
      </c>
      <c r="W471" s="42" t="s">
        <v>3892</v>
      </c>
    </row>
    <row r="472" spans="1:23">
      <c r="A472" s="40">
        <v>9</v>
      </c>
      <c r="B472" s="41">
        <v>1951015717</v>
      </c>
      <c r="C472" s="42" t="s">
        <v>481</v>
      </c>
      <c r="D472" s="42" t="s">
        <v>765</v>
      </c>
      <c r="E472" s="43" t="s">
        <v>7282</v>
      </c>
      <c r="F472" s="42" t="s">
        <v>6747</v>
      </c>
      <c r="G472" s="42" t="s">
        <v>6748</v>
      </c>
      <c r="H472" s="43">
        <v>43265</v>
      </c>
      <c r="I472" s="42" t="s">
        <v>6749</v>
      </c>
      <c r="J472" s="42" t="s">
        <v>6750</v>
      </c>
      <c r="K472" s="42" t="s">
        <v>1895</v>
      </c>
      <c r="L472" s="42" t="s">
        <v>6298</v>
      </c>
      <c r="M472" s="42" t="s">
        <v>6751</v>
      </c>
      <c r="N472" s="42" t="s">
        <v>6752</v>
      </c>
      <c r="O472" s="42" t="s">
        <v>6753</v>
      </c>
      <c r="P472" s="42" t="s">
        <v>6754</v>
      </c>
      <c r="Q472" s="42" t="s">
        <v>6755</v>
      </c>
      <c r="R472" s="42" t="s">
        <v>482</v>
      </c>
      <c r="S472" s="42" t="s">
        <v>314</v>
      </c>
      <c r="T472" s="42" t="s">
        <v>3891</v>
      </c>
      <c r="U472" s="42" t="s">
        <v>496</v>
      </c>
      <c r="V472" s="44" t="s">
        <v>3892</v>
      </c>
      <c r="W472" s="42" t="s">
        <v>3892</v>
      </c>
    </row>
    <row r="473" spans="1:23" ht="60">
      <c r="A473" s="40">
        <v>10</v>
      </c>
      <c r="B473" s="41">
        <v>1951115593</v>
      </c>
      <c r="C473" s="42" t="s">
        <v>6756</v>
      </c>
      <c r="D473" s="42" t="s">
        <v>760</v>
      </c>
      <c r="E473" s="43" t="s">
        <v>7283</v>
      </c>
      <c r="F473" s="42" t="s">
        <v>6757</v>
      </c>
      <c r="G473" s="42" t="s">
        <v>6758</v>
      </c>
      <c r="H473" s="43">
        <v>43174</v>
      </c>
      <c r="I473" s="42" t="s">
        <v>6759</v>
      </c>
      <c r="J473" s="42" t="s">
        <v>6760</v>
      </c>
      <c r="K473" s="42" t="s">
        <v>1895</v>
      </c>
      <c r="L473" s="42" t="s">
        <v>6761</v>
      </c>
      <c r="M473" s="42" t="s">
        <v>6762</v>
      </c>
      <c r="N473" s="42" t="s">
        <v>6763</v>
      </c>
      <c r="O473" s="42" t="s">
        <v>6764</v>
      </c>
      <c r="P473" s="42" t="s">
        <v>6765</v>
      </c>
      <c r="Q473" s="42" t="s">
        <v>6766</v>
      </c>
      <c r="R473" s="42" t="s">
        <v>6767</v>
      </c>
      <c r="S473" s="42" t="s">
        <v>540</v>
      </c>
      <c r="T473" s="42" t="s">
        <v>3891</v>
      </c>
      <c r="U473" s="42" t="s">
        <v>496</v>
      </c>
      <c r="V473" s="44" t="s">
        <v>6768</v>
      </c>
      <c r="W473" s="42" t="s">
        <v>3905</v>
      </c>
    </row>
    <row r="474" spans="1:23">
      <c r="A474" s="40">
        <v>11</v>
      </c>
      <c r="B474" s="41">
        <v>1951115143</v>
      </c>
      <c r="C474" s="42" t="s">
        <v>6769</v>
      </c>
      <c r="D474" s="42" t="s">
        <v>760</v>
      </c>
      <c r="E474" s="43" t="s">
        <v>7284</v>
      </c>
      <c r="F474" s="42" t="s">
        <v>6770</v>
      </c>
      <c r="G474" s="42" t="s">
        <v>6771</v>
      </c>
      <c r="H474" s="43">
        <v>42445</v>
      </c>
      <c r="I474" s="42" t="s">
        <v>6772</v>
      </c>
      <c r="J474" s="42" t="s">
        <v>6773</v>
      </c>
      <c r="K474" s="42" t="s">
        <v>1895</v>
      </c>
      <c r="L474" s="42" t="s">
        <v>1901</v>
      </c>
      <c r="M474" s="42" t="s">
        <v>6774</v>
      </c>
      <c r="N474" s="42" t="s">
        <v>6775</v>
      </c>
      <c r="O474" s="42" t="s">
        <v>6776</v>
      </c>
      <c r="P474" s="42" t="s">
        <v>6777</v>
      </c>
      <c r="Q474" s="42" t="s">
        <v>6778</v>
      </c>
      <c r="R474" s="42" t="s">
        <v>6767</v>
      </c>
      <c r="S474" s="42" t="s">
        <v>540</v>
      </c>
      <c r="T474" s="42" t="s">
        <v>3891</v>
      </c>
      <c r="U474" s="42" t="s">
        <v>496</v>
      </c>
      <c r="V474" s="44" t="s">
        <v>3892</v>
      </c>
      <c r="W474" s="42" t="s">
        <v>3892</v>
      </c>
    </row>
    <row r="475" spans="1:23">
      <c r="A475" s="40">
        <v>12</v>
      </c>
      <c r="B475" s="41">
        <v>1951075245</v>
      </c>
      <c r="C475" s="42" t="s">
        <v>6779</v>
      </c>
      <c r="D475" s="42" t="s">
        <v>760</v>
      </c>
      <c r="E475" s="43" t="s">
        <v>7285</v>
      </c>
      <c r="F475" s="42" t="s">
        <v>6780</v>
      </c>
      <c r="G475" s="42" t="s">
        <v>6781</v>
      </c>
      <c r="H475" s="43">
        <v>43456</v>
      </c>
      <c r="I475" s="42" t="s">
        <v>761</v>
      </c>
      <c r="J475" s="42" t="s">
        <v>6782</v>
      </c>
      <c r="K475" s="42" t="s">
        <v>1895</v>
      </c>
      <c r="L475" s="42" t="s">
        <v>1901</v>
      </c>
      <c r="M475" s="42" t="s">
        <v>6783</v>
      </c>
      <c r="N475" s="42" t="s">
        <v>6784</v>
      </c>
      <c r="O475" s="42" t="s">
        <v>6785</v>
      </c>
      <c r="P475" s="42" t="s">
        <v>6786</v>
      </c>
      <c r="Q475" s="42" t="s">
        <v>6782</v>
      </c>
      <c r="R475" s="42" t="s">
        <v>6787</v>
      </c>
      <c r="S475" s="42" t="s">
        <v>258</v>
      </c>
      <c r="T475" s="42" t="s">
        <v>4574</v>
      </c>
      <c r="U475" s="42" t="s">
        <v>496</v>
      </c>
      <c r="V475" s="44" t="s">
        <v>3892</v>
      </c>
      <c r="W475" s="42" t="s">
        <v>3892</v>
      </c>
    </row>
    <row r="476" spans="1:23" ht="120">
      <c r="A476" s="40">
        <v>13</v>
      </c>
      <c r="B476" s="41">
        <v>1951075130</v>
      </c>
      <c r="C476" s="42" t="s">
        <v>1605</v>
      </c>
      <c r="D476" s="42" t="s">
        <v>760</v>
      </c>
      <c r="E476" s="43" t="s">
        <v>7286</v>
      </c>
      <c r="F476" s="42" t="s">
        <v>6788</v>
      </c>
      <c r="G476" s="42" t="s">
        <v>6789</v>
      </c>
      <c r="H476" s="43">
        <v>43703</v>
      </c>
      <c r="I476" s="42" t="s">
        <v>6790</v>
      </c>
      <c r="J476" s="42" t="s">
        <v>6791</v>
      </c>
      <c r="K476" s="42" t="s">
        <v>1895</v>
      </c>
      <c r="L476" s="42" t="s">
        <v>6792</v>
      </c>
      <c r="M476" s="42" t="s">
        <v>6793</v>
      </c>
      <c r="N476" s="42" t="s">
        <v>6794</v>
      </c>
      <c r="O476" s="42" t="s">
        <v>6795</v>
      </c>
      <c r="P476" s="42" t="s">
        <v>6796</v>
      </c>
      <c r="Q476" s="42" t="s">
        <v>6797</v>
      </c>
      <c r="R476" s="42" t="s">
        <v>6787</v>
      </c>
      <c r="S476" s="42" t="s">
        <v>258</v>
      </c>
      <c r="T476" s="42" t="s">
        <v>4574</v>
      </c>
      <c r="U476" s="42" t="s">
        <v>496</v>
      </c>
      <c r="V476" s="44" t="s">
        <v>6798</v>
      </c>
      <c r="W476" s="42" t="s">
        <v>3905</v>
      </c>
    </row>
    <row r="477" spans="1:23" ht="30">
      <c r="A477" s="40">
        <v>14</v>
      </c>
      <c r="B477" s="41">
        <v>1951040205</v>
      </c>
      <c r="C477" s="42" t="s">
        <v>370</v>
      </c>
      <c r="D477" s="42" t="s">
        <v>760</v>
      </c>
      <c r="E477" s="43" t="s">
        <v>7287</v>
      </c>
      <c r="F477" s="42"/>
      <c r="G477" s="42" t="s">
        <v>6799</v>
      </c>
      <c r="H477" s="43">
        <v>42625</v>
      </c>
      <c r="I477" s="42" t="s">
        <v>6800</v>
      </c>
      <c r="J477" s="42" t="s">
        <v>6801</v>
      </c>
      <c r="K477" s="42" t="s">
        <v>1895</v>
      </c>
      <c r="L477" s="42" t="s">
        <v>6298</v>
      </c>
      <c r="M477" s="42" t="s">
        <v>6802</v>
      </c>
      <c r="N477" s="42"/>
      <c r="O477" s="42"/>
      <c r="P477" s="42"/>
      <c r="Q477" s="42"/>
      <c r="R477" s="42" t="s">
        <v>365</v>
      </c>
      <c r="S477" s="42" t="s">
        <v>359</v>
      </c>
      <c r="T477" s="42" t="s">
        <v>3891</v>
      </c>
      <c r="U477" s="42" t="s">
        <v>496</v>
      </c>
      <c r="V477" s="44" t="s">
        <v>6803</v>
      </c>
      <c r="W477" s="42" t="s">
        <v>3892</v>
      </c>
    </row>
    <row r="478" spans="1:23" ht="105">
      <c r="A478" s="40">
        <v>15</v>
      </c>
      <c r="B478" s="41">
        <v>1951045103</v>
      </c>
      <c r="C478" s="42" t="s">
        <v>6804</v>
      </c>
      <c r="D478" s="42" t="s">
        <v>760</v>
      </c>
      <c r="E478" s="43" t="s">
        <v>7288</v>
      </c>
      <c r="F478" s="42" t="s">
        <v>6805</v>
      </c>
      <c r="G478" s="42" t="s">
        <v>6806</v>
      </c>
      <c r="H478" s="43">
        <v>42544</v>
      </c>
      <c r="I478" s="42" t="s">
        <v>761</v>
      </c>
      <c r="J478" s="42" t="s">
        <v>6807</v>
      </c>
      <c r="K478" s="42" t="s">
        <v>1895</v>
      </c>
      <c r="L478" s="42" t="s">
        <v>1901</v>
      </c>
      <c r="M478" s="42" t="s">
        <v>6808</v>
      </c>
      <c r="N478" s="42" t="s">
        <v>6809</v>
      </c>
      <c r="O478" s="42" t="s">
        <v>6810</v>
      </c>
      <c r="P478" s="42" t="s">
        <v>6811</v>
      </c>
      <c r="Q478" s="42" t="s">
        <v>6812</v>
      </c>
      <c r="R478" s="42" t="s">
        <v>365</v>
      </c>
      <c r="S478" s="42" t="s">
        <v>359</v>
      </c>
      <c r="T478" s="42" t="s">
        <v>3891</v>
      </c>
      <c r="U478" s="42" t="s">
        <v>496</v>
      </c>
      <c r="V478" s="44" t="s">
        <v>6813</v>
      </c>
      <c r="W478" s="42" t="s">
        <v>3905</v>
      </c>
    </row>
    <row r="479" spans="1:23" ht="105">
      <c r="A479" s="40">
        <v>16</v>
      </c>
      <c r="B479" s="41">
        <v>1951045400</v>
      </c>
      <c r="C479" s="42" t="s">
        <v>6814</v>
      </c>
      <c r="D479" s="42" t="s">
        <v>760</v>
      </c>
      <c r="E479" s="43" t="s">
        <v>7289</v>
      </c>
      <c r="F479" s="42"/>
      <c r="G479" s="42" t="s">
        <v>6815</v>
      </c>
      <c r="H479" s="43">
        <v>42895</v>
      </c>
      <c r="I479" s="42" t="s">
        <v>6816</v>
      </c>
      <c r="J479" s="42" t="s">
        <v>6817</v>
      </c>
      <c r="K479" s="42" t="s">
        <v>1895</v>
      </c>
      <c r="L479" s="42" t="s">
        <v>1901</v>
      </c>
      <c r="M479" s="42" t="s">
        <v>6818</v>
      </c>
      <c r="N479" s="42"/>
      <c r="O479" s="42"/>
      <c r="P479" s="42"/>
      <c r="Q479" s="42"/>
      <c r="R479" s="42" t="s">
        <v>365</v>
      </c>
      <c r="S479" s="42" t="s">
        <v>359</v>
      </c>
      <c r="T479" s="42" t="s">
        <v>3891</v>
      </c>
      <c r="U479" s="42" t="s">
        <v>496</v>
      </c>
      <c r="V479" s="44" t="s">
        <v>6819</v>
      </c>
      <c r="W479" s="42" t="s">
        <v>3905</v>
      </c>
    </row>
    <row r="480" spans="1:23">
      <c r="A480" s="40">
        <v>17</v>
      </c>
      <c r="B480" s="41">
        <v>1951045619</v>
      </c>
      <c r="C480" s="42" t="s">
        <v>6820</v>
      </c>
      <c r="D480" s="42" t="s">
        <v>760</v>
      </c>
      <c r="E480" s="43" t="s">
        <v>7290</v>
      </c>
      <c r="F480" s="42"/>
      <c r="G480" s="42" t="s">
        <v>6821</v>
      </c>
      <c r="H480" s="43"/>
      <c r="I480" s="42"/>
      <c r="J480" s="42" t="s">
        <v>6822</v>
      </c>
      <c r="K480" s="42" t="s">
        <v>1895</v>
      </c>
      <c r="L480" s="42"/>
      <c r="M480" s="42" t="s">
        <v>6823</v>
      </c>
      <c r="N480" s="42"/>
      <c r="O480" s="42"/>
      <c r="P480" s="42"/>
      <c r="Q480" s="42"/>
      <c r="R480" s="42" t="s">
        <v>365</v>
      </c>
      <c r="S480" s="42" t="s">
        <v>359</v>
      </c>
      <c r="T480" s="42" t="s">
        <v>3891</v>
      </c>
      <c r="U480" s="42" t="s">
        <v>496</v>
      </c>
      <c r="V480" s="44" t="s">
        <v>3892</v>
      </c>
      <c r="W480" s="42" t="s">
        <v>3892</v>
      </c>
    </row>
    <row r="481" spans="1:23" ht="60">
      <c r="A481" s="40">
        <v>18</v>
      </c>
      <c r="B481" s="41">
        <v>1951045144</v>
      </c>
      <c r="C481" s="42" t="s">
        <v>6824</v>
      </c>
      <c r="D481" s="42" t="s">
        <v>760</v>
      </c>
      <c r="E481" s="43" t="s">
        <v>7291</v>
      </c>
      <c r="F481" s="42" t="s">
        <v>6825</v>
      </c>
      <c r="G481" s="42" t="s">
        <v>6826</v>
      </c>
      <c r="H481" s="43">
        <v>42443</v>
      </c>
      <c r="I481" s="42" t="s">
        <v>6827</v>
      </c>
      <c r="J481" s="42" t="s">
        <v>6828</v>
      </c>
      <c r="K481" s="42" t="s">
        <v>1895</v>
      </c>
      <c r="L481" s="42" t="s">
        <v>1901</v>
      </c>
      <c r="M481" s="42" t="s">
        <v>6825</v>
      </c>
      <c r="N481" s="42" t="s">
        <v>6829</v>
      </c>
      <c r="O481" s="42" t="s">
        <v>6830</v>
      </c>
      <c r="P481" s="42" t="s">
        <v>6831</v>
      </c>
      <c r="Q481" s="42" t="s">
        <v>6832</v>
      </c>
      <c r="R481" s="42" t="s">
        <v>365</v>
      </c>
      <c r="S481" s="42" t="s">
        <v>359</v>
      </c>
      <c r="T481" s="42" t="s">
        <v>3891</v>
      </c>
      <c r="U481" s="42" t="s">
        <v>496</v>
      </c>
      <c r="V481" s="44" t="s">
        <v>6833</v>
      </c>
      <c r="W481" s="42" t="s">
        <v>3905</v>
      </c>
    </row>
    <row r="482" spans="1:23">
      <c r="A482" s="40">
        <v>19</v>
      </c>
      <c r="B482" s="41">
        <v>1951045142</v>
      </c>
      <c r="C482" s="42" t="s">
        <v>368</v>
      </c>
      <c r="D482" s="42" t="s">
        <v>760</v>
      </c>
      <c r="E482" s="43" t="s">
        <v>7292</v>
      </c>
      <c r="F482" s="42" t="s">
        <v>6834</v>
      </c>
      <c r="G482" s="42" t="s">
        <v>6835</v>
      </c>
      <c r="H482" s="43">
        <v>42929</v>
      </c>
      <c r="I482" s="42" t="s">
        <v>998</v>
      </c>
      <c r="J482" s="42" t="s">
        <v>6836</v>
      </c>
      <c r="K482" s="42" t="s">
        <v>1895</v>
      </c>
      <c r="L482" s="42" t="s">
        <v>1901</v>
      </c>
      <c r="M482" s="42" t="s">
        <v>6837</v>
      </c>
      <c r="N482" s="42" t="s">
        <v>4439</v>
      </c>
      <c r="O482" s="42" t="s">
        <v>6838</v>
      </c>
      <c r="P482" s="42" t="s">
        <v>6839</v>
      </c>
      <c r="Q482" s="42" t="s">
        <v>6838</v>
      </c>
      <c r="R482" s="42" t="s">
        <v>365</v>
      </c>
      <c r="S482" s="42" t="s">
        <v>359</v>
      </c>
      <c r="T482" s="42" t="s">
        <v>3891</v>
      </c>
      <c r="U482" s="42" t="s">
        <v>496</v>
      </c>
      <c r="V482" s="44" t="s">
        <v>3892</v>
      </c>
      <c r="W482" s="42" t="s">
        <v>3892</v>
      </c>
    </row>
    <row r="483" spans="1:23" ht="60">
      <c r="A483" s="40">
        <v>20</v>
      </c>
      <c r="B483" s="41">
        <v>1951045587</v>
      </c>
      <c r="C483" s="42" t="s">
        <v>372</v>
      </c>
      <c r="D483" s="42" t="s">
        <v>760</v>
      </c>
      <c r="E483" s="43" t="s">
        <v>7293</v>
      </c>
      <c r="F483" s="42" t="s">
        <v>6840</v>
      </c>
      <c r="G483" s="42" t="s">
        <v>6841</v>
      </c>
      <c r="H483" s="43">
        <v>43077</v>
      </c>
      <c r="I483" s="42" t="s">
        <v>6840</v>
      </c>
      <c r="J483" s="42" t="s">
        <v>6842</v>
      </c>
      <c r="K483" s="42" t="s">
        <v>1895</v>
      </c>
      <c r="L483" s="42" t="s">
        <v>6298</v>
      </c>
      <c r="M483" s="42" t="s">
        <v>6843</v>
      </c>
      <c r="N483" s="42" t="s">
        <v>6844</v>
      </c>
      <c r="O483" s="42" t="s">
        <v>6845</v>
      </c>
      <c r="P483" s="42" t="s">
        <v>6846</v>
      </c>
      <c r="Q483" s="42" t="s">
        <v>6847</v>
      </c>
      <c r="R483" s="42" t="s">
        <v>365</v>
      </c>
      <c r="S483" s="42" t="s">
        <v>359</v>
      </c>
      <c r="T483" s="42" t="s">
        <v>3891</v>
      </c>
      <c r="U483" s="42" t="s">
        <v>496</v>
      </c>
      <c r="V483" s="44" t="s">
        <v>6848</v>
      </c>
      <c r="W483" s="42" t="s">
        <v>3905</v>
      </c>
    </row>
    <row r="484" spans="1:23" ht="60">
      <c r="A484" s="40">
        <v>21</v>
      </c>
      <c r="B484" s="41">
        <v>1951045651</v>
      </c>
      <c r="C484" s="42" t="s">
        <v>364</v>
      </c>
      <c r="D484" s="42" t="s">
        <v>760</v>
      </c>
      <c r="E484" s="43" t="s">
        <v>7294</v>
      </c>
      <c r="F484" s="42" t="s">
        <v>6849</v>
      </c>
      <c r="G484" s="42" t="s">
        <v>6850</v>
      </c>
      <c r="H484" s="43">
        <v>42129</v>
      </c>
      <c r="I484" s="42" t="s">
        <v>6851</v>
      </c>
      <c r="J484" s="42" t="s">
        <v>6852</v>
      </c>
      <c r="K484" s="42" t="s">
        <v>1895</v>
      </c>
      <c r="L484" s="42" t="s">
        <v>6298</v>
      </c>
      <c r="M484" s="42" t="s">
        <v>6853</v>
      </c>
      <c r="N484" s="42" t="s">
        <v>6854</v>
      </c>
      <c r="O484" s="42" t="s">
        <v>6855</v>
      </c>
      <c r="P484" s="42" t="s">
        <v>6856</v>
      </c>
      <c r="Q484" s="42" t="s">
        <v>6857</v>
      </c>
      <c r="R484" s="42" t="s">
        <v>365</v>
      </c>
      <c r="S484" s="42" t="s">
        <v>359</v>
      </c>
      <c r="T484" s="42" t="s">
        <v>3891</v>
      </c>
      <c r="U484" s="42" t="s">
        <v>496</v>
      </c>
      <c r="V484" s="44" t="s">
        <v>6858</v>
      </c>
      <c r="W484" s="42" t="s">
        <v>3905</v>
      </c>
    </row>
    <row r="485" spans="1:23">
      <c r="A485" s="40">
        <v>22</v>
      </c>
      <c r="B485" s="41">
        <v>1951045601</v>
      </c>
      <c r="C485" s="42" t="s">
        <v>6859</v>
      </c>
      <c r="D485" s="42" t="s">
        <v>760</v>
      </c>
      <c r="E485" s="43" t="s">
        <v>7295</v>
      </c>
      <c r="F485" s="42" t="s">
        <v>6860</v>
      </c>
      <c r="G485" s="42" t="s">
        <v>6861</v>
      </c>
      <c r="H485" s="43">
        <v>42845</v>
      </c>
      <c r="I485" s="42" t="s">
        <v>1032</v>
      </c>
      <c r="J485" s="42" t="s">
        <v>6862</v>
      </c>
      <c r="K485" s="42" t="s">
        <v>1895</v>
      </c>
      <c r="L485" s="42" t="s">
        <v>6863</v>
      </c>
      <c r="M485" s="42" t="s">
        <v>6860</v>
      </c>
      <c r="N485" s="42" t="s">
        <v>6864</v>
      </c>
      <c r="O485" s="42" t="s">
        <v>6865</v>
      </c>
      <c r="P485" s="42" t="s">
        <v>6866</v>
      </c>
      <c r="Q485" s="42" t="s">
        <v>6865</v>
      </c>
      <c r="R485" s="42" t="s">
        <v>365</v>
      </c>
      <c r="S485" s="42" t="s">
        <v>359</v>
      </c>
      <c r="T485" s="42" t="s">
        <v>3891</v>
      </c>
      <c r="U485" s="42" t="s">
        <v>496</v>
      </c>
      <c r="V485" s="44" t="s">
        <v>3892</v>
      </c>
      <c r="W485" s="42" t="s">
        <v>3892</v>
      </c>
    </row>
    <row r="486" spans="1:23">
      <c r="A486" s="40">
        <v>23</v>
      </c>
      <c r="B486" s="41">
        <v>1954035677</v>
      </c>
      <c r="C486" s="42" t="s">
        <v>6867</v>
      </c>
      <c r="D486" s="42" t="s">
        <v>765</v>
      </c>
      <c r="E486" s="43" t="s">
        <v>7296</v>
      </c>
      <c r="F486" s="42"/>
      <c r="G486" s="42" t="s">
        <v>6868</v>
      </c>
      <c r="H486" s="43">
        <v>43195</v>
      </c>
      <c r="I486" s="42" t="s">
        <v>6869</v>
      </c>
      <c r="J486" s="42" t="s">
        <v>6870</v>
      </c>
      <c r="K486" s="42" t="s">
        <v>1895</v>
      </c>
      <c r="L486" s="42" t="s">
        <v>6298</v>
      </c>
      <c r="M486" s="42" t="s">
        <v>6871</v>
      </c>
      <c r="N486" s="42"/>
      <c r="O486" s="42"/>
      <c r="P486" s="42"/>
      <c r="Q486" s="42"/>
      <c r="R486" s="42" t="s">
        <v>6872</v>
      </c>
      <c r="S486" s="42" t="s">
        <v>494</v>
      </c>
      <c r="T486" s="42" t="s">
        <v>4968</v>
      </c>
      <c r="U486" s="42" t="s">
        <v>496</v>
      </c>
      <c r="V486" s="44" t="s">
        <v>3892</v>
      </c>
      <c r="W486" s="42" t="s">
        <v>3892</v>
      </c>
    </row>
    <row r="487" spans="1:23" ht="30">
      <c r="A487" s="40">
        <v>24</v>
      </c>
      <c r="B487" s="41">
        <v>1954025556</v>
      </c>
      <c r="C487" s="42" t="s">
        <v>46</v>
      </c>
      <c r="D487" s="42" t="s">
        <v>765</v>
      </c>
      <c r="E487" s="43" t="s">
        <v>7297</v>
      </c>
      <c r="F487" s="42" t="s">
        <v>6873</v>
      </c>
      <c r="G487" s="42" t="s">
        <v>6874</v>
      </c>
      <c r="H487" s="43">
        <v>42686</v>
      </c>
      <c r="I487" s="42" t="s">
        <v>6875</v>
      </c>
      <c r="J487" s="42" t="s">
        <v>6876</v>
      </c>
      <c r="K487" s="42" t="s">
        <v>1895</v>
      </c>
      <c r="L487" s="42" t="s">
        <v>1901</v>
      </c>
      <c r="M487" s="42" t="s">
        <v>6877</v>
      </c>
      <c r="N487" s="42" t="s">
        <v>6878</v>
      </c>
      <c r="O487" s="42" t="s">
        <v>6879</v>
      </c>
      <c r="P487" s="42" t="s">
        <v>6880</v>
      </c>
      <c r="Q487" s="42" t="s">
        <v>6881</v>
      </c>
      <c r="R487" s="42" t="s">
        <v>6882</v>
      </c>
      <c r="S487" s="42" t="s">
        <v>29</v>
      </c>
      <c r="T487" s="42" t="s">
        <v>4968</v>
      </c>
      <c r="U487" s="42" t="s">
        <v>496</v>
      </c>
      <c r="V487" s="44" t="s">
        <v>6883</v>
      </c>
      <c r="W487" s="42" t="s">
        <v>3892</v>
      </c>
    </row>
    <row r="488" spans="1:23" ht="255">
      <c r="A488" s="40">
        <v>25</v>
      </c>
      <c r="B488" s="41">
        <v>1954025592</v>
      </c>
      <c r="C488" s="42" t="s">
        <v>6884</v>
      </c>
      <c r="D488" s="42" t="s">
        <v>760</v>
      </c>
      <c r="E488" s="43" t="s">
        <v>7298</v>
      </c>
      <c r="F488" s="42" t="s">
        <v>6885</v>
      </c>
      <c r="G488" s="42" t="s">
        <v>6886</v>
      </c>
      <c r="H488" s="43">
        <v>42496</v>
      </c>
      <c r="I488" s="42" t="s">
        <v>6887</v>
      </c>
      <c r="J488" s="42" t="s">
        <v>6888</v>
      </c>
      <c r="K488" s="42" t="s">
        <v>1895</v>
      </c>
      <c r="L488" s="42" t="s">
        <v>6298</v>
      </c>
      <c r="M488" s="42" t="s">
        <v>6889</v>
      </c>
      <c r="N488" s="42" t="s">
        <v>6890</v>
      </c>
      <c r="O488" s="42" t="s">
        <v>6891</v>
      </c>
      <c r="P488" s="42" t="s">
        <v>4509</v>
      </c>
      <c r="Q488" s="42" t="s">
        <v>6892</v>
      </c>
      <c r="R488" s="42" t="s">
        <v>6882</v>
      </c>
      <c r="S488" s="42" t="s">
        <v>29</v>
      </c>
      <c r="T488" s="42" t="s">
        <v>4968</v>
      </c>
      <c r="U488" s="42" t="s">
        <v>496</v>
      </c>
      <c r="V488" s="44" t="s">
        <v>6893</v>
      </c>
      <c r="W488" s="42" t="s">
        <v>3905</v>
      </c>
    </row>
    <row r="489" spans="1:23" ht="30">
      <c r="A489" s="40">
        <v>26</v>
      </c>
      <c r="B489" s="41">
        <v>1954025126</v>
      </c>
      <c r="C489" s="42" t="s">
        <v>6894</v>
      </c>
      <c r="D489" s="42" t="s">
        <v>765</v>
      </c>
      <c r="E489" s="43" t="s">
        <v>7299</v>
      </c>
      <c r="F489" s="42" t="s">
        <v>857</v>
      </c>
      <c r="G489" s="42" t="s">
        <v>6895</v>
      </c>
      <c r="H489" s="43">
        <v>42242</v>
      </c>
      <c r="I489" s="42" t="s">
        <v>835</v>
      </c>
      <c r="J489" s="42" t="s">
        <v>6896</v>
      </c>
      <c r="K489" s="42" t="s">
        <v>1895</v>
      </c>
      <c r="L489" s="42" t="s">
        <v>1901</v>
      </c>
      <c r="M489" s="42" t="s">
        <v>6897</v>
      </c>
      <c r="N489" s="42" t="s">
        <v>6898</v>
      </c>
      <c r="O489" s="42" t="s">
        <v>6899</v>
      </c>
      <c r="P489" s="42" t="s">
        <v>6900</v>
      </c>
      <c r="Q489" s="42" t="s">
        <v>6901</v>
      </c>
      <c r="R489" s="42" t="s">
        <v>6882</v>
      </c>
      <c r="S489" s="42" t="s">
        <v>29</v>
      </c>
      <c r="T489" s="42" t="s">
        <v>4968</v>
      </c>
      <c r="U489" s="42" t="s">
        <v>496</v>
      </c>
      <c r="V489" s="44" t="s">
        <v>6883</v>
      </c>
      <c r="W489" s="42" t="s">
        <v>3892</v>
      </c>
    </row>
    <row r="490" spans="1:23" ht="135">
      <c r="A490" s="40">
        <v>27</v>
      </c>
      <c r="B490" s="41">
        <v>1954025444</v>
      </c>
      <c r="C490" s="42" t="s">
        <v>6902</v>
      </c>
      <c r="D490" s="42" t="s">
        <v>765</v>
      </c>
      <c r="E490" s="43" t="s">
        <v>7300</v>
      </c>
      <c r="F490" s="42" t="s">
        <v>828</v>
      </c>
      <c r="G490" s="42" t="s">
        <v>6903</v>
      </c>
      <c r="H490" s="43">
        <v>43256</v>
      </c>
      <c r="I490" s="42" t="s">
        <v>6904</v>
      </c>
      <c r="J490" s="42" t="s">
        <v>6905</v>
      </c>
      <c r="K490" s="42" t="s">
        <v>1895</v>
      </c>
      <c r="L490" s="42" t="s">
        <v>1901</v>
      </c>
      <c r="M490" s="42" t="s">
        <v>6906</v>
      </c>
      <c r="N490" s="42" t="s">
        <v>6907</v>
      </c>
      <c r="O490" s="42" t="s">
        <v>6908</v>
      </c>
      <c r="P490" s="42" t="s">
        <v>6909</v>
      </c>
      <c r="Q490" s="42" t="s">
        <v>6910</v>
      </c>
      <c r="R490" s="42" t="s">
        <v>6882</v>
      </c>
      <c r="S490" s="42" t="s">
        <v>29</v>
      </c>
      <c r="T490" s="42" t="s">
        <v>4968</v>
      </c>
      <c r="U490" s="42" t="s">
        <v>496</v>
      </c>
      <c r="V490" s="44" t="s">
        <v>6911</v>
      </c>
      <c r="W490" s="42" t="s">
        <v>3905</v>
      </c>
    </row>
    <row r="491" spans="1:23" ht="90">
      <c r="A491" s="40">
        <v>28</v>
      </c>
      <c r="B491" s="41">
        <v>1954025583</v>
      </c>
      <c r="C491" s="42" t="s">
        <v>25</v>
      </c>
      <c r="D491" s="42" t="s">
        <v>765</v>
      </c>
      <c r="E491" s="43" t="s">
        <v>7301</v>
      </c>
      <c r="F491" s="42" t="s">
        <v>5255</v>
      </c>
      <c r="G491" s="42" t="s">
        <v>6912</v>
      </c>
      <c r="H491" s="43">
        <v>42769</v>
      </c>
      <c r="I491" s="42" t="s">
        <v>5255</v>
      </c>
      <c r="J491" s="42" t="s">
        <v>6913</v>
      </c>
      <c r="K491" s="42" t="s">
        <v>1895</v>
      </c>
      <c r="L491" s="42" t="s">
        <v>6705</v>
      </c>
      <c r="M491" s="42" t="s">
        <v>6914</v>
      </c>
      <c r="N491" s="42" t="s">
        <v>6915</v>
      </c>
      <c r="O491" s="42" t="s">
        <v>6916</v>
      </c>
      <c r="P491" s="42" t="s">
        <v>6917</v>
      </c>
      <c r="Q491" s="42" t="s">
        <v>6918</v>
      </c>
      <c r="R491" s="42" t="s">
        <v>21</v>
      </c>
      <c r="S491" s="42" t="s">
        <v>22</v>
      </c>
      <c r="T491" s="42" t="s">
        <v>4968</v>
      </c>
      <c r="U491" s="42" t="s">
        <v>496</v>
      </c>
      <c r="V491" s="44" t="s">
        <v>6919</v>
      </c>
      <c r="W491" s="42" t="s">
        <v>3905</v>
      </c>
    </row>
    <row r="492" spans="1:23" ht="90">
      <c r="A492" s="40">
        <v>29</v>
      </c>
      <c r="B492" s="41">
        <v>1954025720</v>
      </c>
      <c r="C492" s="42" t="s">
        <v>6920</v>
      </c>
      <c r="D492" s="42" t="s">
        <v>760</v>
      </c>
      <c r="E492" s="43" t="s">
        <v>7302</v>
      </c>
      <c r="F492" s="42" t="s">
        <v>6921</v>
      </c>
      <c r="G492" s="42" t="s">
        <v>6922</v>
      </c>
      <c r="H492" s="43">
        <v>43482</v>
      </c>
      <c r="I492" s="42" t="s">
        <v>4074</v>
      </c>
      <c r="J492" s="42" t="s">
        <v>6923</v>
      </c>
      <c r="K492" s="42" t="s">
        <v>1895</v>
      </c>
      <c r="L492" s="42" t="s">
        <v>6924</v>
      </c>
      <c r="M492" s="42" t="s">
        <v>6925</v>
      </c>
      <c r="N492" s="42" t="s">
        <v>6926</v>
      </c>
      <c r="O492" s="42" t="s">
        <v>6927</v>
      </c>
      <c r="P492" s="42" t="s">
        <v>6928</v>
      </c>
      <c r="Q492" s="42" t="s">
        <v>6929</v>
      </c>
      <c r="R492" s="42" t="s">
        <v>21</v>
      </c>
      <c r="S492" s="42" t="s">
        <v>22</v>
      </c>
      <c r="T492" s="42" t="s">
        <v>4968</v>
      </c>
      <c r="U492" s="42" t="s">
        <v>496</v>
      </c>
      <c r="V492" s="44" t="s">
        <v>6930</v>
      </c>
      <c r="W492" s="42" t="s">
        <v>3905</v>
      </c>
    </row>
    <row r="493" spans="1:23" ht="30">
      <c r="A493" s="40">
        <v>30</v>
      </c>
      <c r="B493" s="41">
        <v>1954025457</v>
      </c>
      <c r="C493" s="42" t="s">
        <v>6931</v>
      </c>
      <c r="D493" s="42" t="s">
        <v>760</v>
      </c>
      <c r="E493" s="43" t="s">
        <v>7303</v>
      </c>
      <c r="F493" s="42"/>
      <c r="G493" s="42" t="s">
        <v>6932</v>
      </c>
      <c r="H493" s="43">
        <v>42976</v>
      </c>
      <c r="I493" s="42" t="s">
        <v>6933</v>
      </c>
      <c r="J493" s="42" t="s">
        <v>6934</v>
      </c>
      <c r="K493" s="42" t="s">
        <v>1895</v>
      </c>
      <c r="L493" s="42" t="s">
        <v>6935</v>
      </c>
      <c r="M493" s="42" t="s">
        <v>6936</v>
      </c>
      <c r="N493" s="42"/>
      <c r="O493" s="42"/>
      <c r="P493" s="42"/>
      <c r="Q493" s="42"/>
      <c r="R493" s="42" t="s">
        <v>21</v>
      </c>
      <c r="S493" s="42" t="s">
        <v>22</v>
      </c>
      <c r="T493" s="42" t="s">
        <v>4968</v>
      </c>
      <c r="U493" s="42" t="s">
        <v>496</v>
      </c>
      <c r="V493" s="44" t="s">
        <v>6883</v>
      </c>
      <c r="W493" s="42" t="s">
        <v>3892</v>
      </c>
    </row>
    <row r="494" spans="1:23" ht="90">
      <c r="A494" s="40">
        <v>31</v>
      </c>
      <c r="B494" s="41">
        <v>1954025484</v>
      </c>
      <c r="C494" s="42" t="s">
        <v>20</v>
      </c>
      <c r="D494" s="42" t="s">
        <v>765</v>
      </c>
      <c r="E494" s="43" t="s">
        <v>7304</v>
      </c>
      <c r="F494" s="42" t="s">
        <v>6937</v>
      </c>
      <c r="G494" s="42" t="s">
        <v>6938</v>
      </c>
      <c r="H494" s="43">
        <v>42885</v>
      </c>
      <c r="I494" s="42" t="s">
        <v>6939</v>
      </c>
      <c r="J494" s="42" t="s">
        <v>6940</v>
      </c>
      <c r="K494" s="42" t="s">
        <v>1895</v>
      </c>
      <c r="L494" s="42" t="s">
        <v>6298</v>
      </c>
      <c r="M494" s="42" t="s">
        <v>6941</v>
      </c>
      <c r="N494" s="42" t="s">
        <v>6942</v>
      </c>
      <c r="O494" s="42" t="s">
        <v>6943</v>
      </c>
      <c r="P494" s="42" t="s">
        <v>6944</v>
      </c>
      <c r="Q494" s="42" t="s">
        <v>6940</v>
      </c>
      <c r="R494" s="42" t="s">
        <v>21</v>
      </c>
      <c r="S494" s="42" t="s">
        <v>22</v>
      </c>
      <c r="T494" s="42" t="s">
        <v>4968</v>
      </c>
      <c r="U494" s="42" t="s">
        <v>496</v>
      </c>
      <c r="V494" s="44" t="s">
        <v>6945</v>
      </c>
      <c r="W494" s="42" t="s">
        <v>3905</v>
      </c>
    </row>
    <row r="495" spans="1:23" ht="30">
      <c r="A495" s="40">
        <v>32</v>
      </c>
      <c r="B495" s="41">
        <v>1954025697</v>
      </c>
      <c r="C495" s="42" t="s">
        <v>6946</v>
      </c>
      <c r="D495" s="42" t="s">
        <v>765</v>
      </c>
      <c r="E495" s="43" t="s">
        <v>7305</v>
      </c>
      <c r="F495" s="42" t="s">
        <v>5255</v>
      </c>
      <c r="G495" s="42" t="s">
        <v>6947</v>
      </c>
      <c r="H495" s="43">
        <v>42564</v>
      </c>
      <c r="I495" s="42" t="s">
        <v>5255</v>
      </c>
      <c r="J495" s="42" t="s">
        <v>6948</v>
      </c>
      <c r="K495" s="42" t="s">
        <v>1895</v>
      </c>
      <c r="L495" s="42" t="s">
        <v>6924</v>
      </c>
      <c r="M495" s="42" t="s">
        <v>6949</v>
      </c>
      <c r="N495" s="42" t="s">
        <v>6950</v>
      </c>
      <c r="O495" s="42" t="s">
        <v>6951</v>
      </c>
      <c r="P495" s="42" t="s">
        <v>6952</v>
      </c>
      <c r="Q495" s="42" t="s">
        <v>6951</v>
      </c>
      <c r="R495" s="42" t="s">
        <v>21</v>
      </c>
      <c r="S495" s="42" t="s">
        <v>22</v>
      </c>
      <c r="T495" s="42" t="s">
        <v>4968</v>
      </c>
      <c r="U495" s="42" t="s">
        <v>496</v>
      </c>
      <c r="V495" s="44" t="s">
        <v>6883</v>
      </c>
      <c r="W495" s="42" t="s">
        <v>3892</v>
      </c>
    </row>
    <row r="496" spans="1:23" ht="30">
      <c r="A496" s="40">
        <v>33</v>
      </c>
      <c r="B496" s="41">
        <v>1954025561</v>
      </c>
      <c r="C496" s="42" t="s">
        <v>6953</v>
      </c>
      <c r="D496" s="42" t="s">
        <v>760</v>
      </c>
      <c r="E496" s="43" t="s">
        <v>7306</v>
      </c>
      <c r="F496" s="42" t="s">
        <v>6954</v>
      </c>
      <c r="G496" s="42" t="s">
        <v>6955</v>
      </c>
      <c r="H496" s="43">
        <v>42887</v>
      </c>
      <c r="I496" s="42" t="s">
        <v>6956</v>
      </c>
      <c r="J496" s="42" t="s">
        <v>6957</v>
      </c>
      <c r="K496" s="42" t="s">
        <v>1895</v>
      </c>
      <c r="L496" s="42" t="s">
        <v>6958</v>
      </c>
      <c r="M496" s="42" t="s">
        <v>6959</v>
      </c>
      <c r="N496" s="42" t="s">
        <v>6960</v>
      </c>
      <c r="O496" s="42" t="s">
        <v>6961</v>
      </c>
      <c r="P496" s="42" t="s">
        <v>6962</v>
      </c>
      <c r="Q496" s="42" t="s">
        <v>6963</v>
      </c>
      <c r="R496" s="42" t="s">
        <v>21</v>
      </c>
      <c r="S496" s="42" t="s">
        <v>22</v>
      </c>
      <c r="T496" s="42" t="s">
        <v>4968</v>
      </c>
      <c r="U496" s="42" t="s">
        <v>496</v>
      </c>
      <c r="V496" s="44" t="s">
        <v>6883</v>
      </c>
      <c r="W496" s="42" t="s">
        <v>3892</v>
      </c>
    </row>
    <row r="497" spans="1:23">
      <c r="A497" s="40">
        <v>34</v>
      </c>
      <c r="B497" s="41">
        <v>1951065199</v>
      </c>
      <c r="C497" s="42" t="s">
        <v>6964</v>
      </c>
      <c r="D497" s="42" t="s">
        <v>765</v>
      </c>
      <c r="E497" s="43" t="s">
        <v>7307</v>
      </c>
      <c r="F497" s="42"/>
      <c r="G497" s="42" t="s">
        <v>6965</v>
      </c>
      <c r="H497" s="43">
        <v>39413</v>
      </c>
      <c r="I497" s="42" t="s">
        <v>6966</v>
      </c>
      <c r="J497" s="42" t="s">
        <v>6967</v>
      </c>
      <c r="K497" s="42" t="s">
        <v>1895</v>
      </c>
      <c r="L497" s="42" t="s">
        <v>6298</v>
      </c>
      <c r="M497" s="42" t="s">
        <v>6968</v>
      </c>
      <c r="N497" s="42"/>
      <c r="O497" s="42"/>
      <c r="P497" s="42"/>
      <c r="Q497" s="42"/>
      <c r="R497" s="42" t="s">
        <v>6969</v>
      </c>
      <c r="S497" s="42" t="s">
        <v>553</v>
      </c>
      <c r="T497" s="42" t="s">
        <v>4139</v>
      </c>
      <c r="U497" s="42" t="s">
        <v>496</v>
      </c>
      <c r="V497" s="44" t="s">
        <v>3892</v>
      </c>
      <c r="W497" s="42" t="s">
        <v>3892</v>
      </c>
    </row>
    <row r="498" spans="1:23">
      <c r="A498" s="40">
        <v>35</v>
      </c>
      <c r="B498" s="41">
        <v>1951065548</v>
      </c>
      <c r="C498" s="42" t="s">
        <v>6970</v>
      </c>
      <c r="D498" s="42" t="s">
        <v>760</v>
      </c>
      <c r="E498" s="43" t="s">
        <v>7308</v>
      </c>
      <c r="F498" s="42" t="s">
        <v>6971</v>
      </c>
      <c r="G498" s="42" t="s">
        <v>6972</v>
      </c>
      <c r="H498" s="43">
        <v>42884</v>
      </c>
      <c r="I498" s="42" t="s">
        <v>6973</v>
      </c>
      <c r="J498" s="42" t="s">
        <v>6974</v>
      </c>
      <c r="K498" s="42" t="s">
        <v>1895</v>
      </c>
      <c r="L498" s="42" t="s">
        <v>1901</v>
      </c>
      <c r="M498" s="42" t="s">
        <v>6975</v>
      </c>
      <c r="N498" s="42" t="s">
        <v>6976</v>
      </c>
      <c r="O498" s="42" t="s">
        <v>6977</v>
      </c>
      <c r="P498" s="42" t="s">
        <v>6978</v>
      </c>
      <c r="Q498" s="42" t="s">
        <v>6979</v>
      </c>
      <c r="R498" s="42" t="s">
        <v>6969</v>
      </c>
      <c r="S498" s="42" t="s">
        <v>553</v>
      </c>
      <c r="T498" s="42" t="s">
        <v>4139</v>
      </c>
      <c r="U498" s="42" t="s">
        <v>496</v>
      </c>
      <c r="V498" s="44" t="s">
        <v>3892</v>
      </c>
      <c r="W498" s="42" t="s">
        <v>3892</v>
      </c>
    </row>
    <row r="499" spans="1:23" ht="60">
      <c r="A499" s="40">
        <v>36</v>
      </c>
      <c r="B499" s="41">
        <v>1951065513</v>
      </c>
      <c r="C499" s="42" t="s">
        <v>6980</v>
      </c>
      <c r="D499" s="42" t="s">
        <v>760</v>
      </c>
      <c r="E499" s="43" t="s">
        <v>7309</v>
      </c>
      <c r="F499" s="42" t="s">
        <v>6981</v>
      </c>
      <c r="G499" s="42" t="s">
        <v>6982</v>
      </c>
      <c r="H499" s="43">
        <v>42576</v>
      </c>
      <c r="I499" s="42" t="s">
        <v>6983</v>
      </c>
      <c r="J499" s="42" t="s">
        <v>6984</v>
      </c>
      <c r="K499" s="42" t="s">
        <v>1895</v>
      </c>
      <c r="L499" s="42" t="s">
        <v>6985</v>
      </c>
      <c r="M499" s="42" t="s">
        <v>6986</v>
      </c>
      <c r="N499" s="42" t="s">
        <v>6987</v>
      </c>
      <c r="O499" s="42" t="s">
        <v>6988</v>
      </c>
      <c r="P499" s="42" t="s">
        <v>5427</v>
      </c>
      <c r="Q499" s="42" t="s">
        <v>6989</v>
      </c>
      <c r="R499" s="42" t="s">
        <v>6969</v>
      </c>
      <c r="S499" s="42" t="s">
        <v>553</v>
      </c>
      <c r="T499" s="42" t="s">
        <v>4139</v>
      </c>
      <c r="U499" s="42" t="s">
        <v>496</v>
      </c>
      <c r="V499" s="44" t="s">
        <v>6990</v>
      </c>
      <c r="W499" s="42" t="s">
        <v>3905</v>
      </c>
    </row>
    <row r="500" spans="1:23">
      <c r="A500" s="40">
        <v>37</v>
      </c>
      <c r="B500" s="41">
        <v>1951065174</v>
      </c>
      <c r="C500" s="42" t="s">
        <v>6991</v>
      </c>
      <c r="D500" s="42" t="s">
        <v>760</v>
      </c>
      <c r="E500" s="43" t="s">
        <v>7310</v>
      </c>
      <c r="F500" s="42" t="s">
        <v>6992</v>
      </c>
      <c r="G500" s="42" t="s">
        <v>6993</v>
      </c>
      <c r="H500" s="43">
        <v>42592</v>
      </c>
      <c r="I500" s="42" t="s">
        <v>6994</v>
      </c>
      <c r="J500" s="42" t="s">
        <v>6995</v>
      </c>
      <c r="K500" s="42" t="s">
        <v>6349</v>
      </c>
      <c r="L500" s="42" t="s">
        <v>1901</v>
      </c>
      <c r="M500" s="42" t="s">
        <v>6996</v>
      </c>
      <c r="N500" s="42" t="s">
        <v>6997</v>
      </c>
      <c r="O500" s="42" t="s">
        <v>6998</v>
      </c>
      <c r="P500" s="42" t="s">
        <v>4641</v>
      </c>
      <c r="Q500" s="42" t="s">
        <v>6999</v>
      </c>
      <c r="R500" s="42" t="s">
        <v>6969</v>
      </c>
      <c r="S500" s="42" t="s">
        <v>553</v>
      </c>
      <c r="T500" s="42" t="s">
        <v>4139</v>
      </c>
      <c r="U500" s="42" t="s">
        <v>496</v>
      </c>
      <c r="V500" s="44" t="s">
        <v>3892</v>
      </c>
      <c r="W500" s="42" t="s">
        <v>3892</v>
      </c>
    </row>
    <row r="501" spans="1:23" ht="165">
      <c r="A501" s="40">
        <v>38</v>
      </c>
      <c r="B501" s="41">
        <v>1951065608</v>
      </c>
      <c r="C501" s="42" t="s">
        <v>7000</v>
      </c>
      <c r="D501" s="42" t="s">
        <v>760</v>
      </c>
      <c r="E501" s="43" t="s">
        <v>7311</v>
      </c>
      <c r="F501" s="42" t="s">
        <v>7001</v>
      </c>
      <c r="G501" s="42" t="s">
        <v>7002</v>
      </c>
      <c r="H501" s="43">
        <v>43164</v>
      </c>
      <c r="I501" s="42" t="s">
        <v>7003</v>
      </c>
      <c r="J501" s="42" t="s">
        <v>7004</v>
      </c>
      <c r="K501" s="42" t="s">
        <v>1895</v>
      </c>
      <c r="L501" s="42" t="s">
        <v>6364</v>
      </c>
      <c r="M501" s="42" t="s">
        <v>7005</v>
      </c>
      <c r="N501" s="42" t="s">
        <v>7006</v>
      </c>
      <c r="O501" s="42" t="s">
        <v>7007</v>
      </c>
      <c r="P501" s="42" t="s">
        <v>7008</v>
      </c>
      <c r="Q501" s="42" t="s">
        <v>7009</v>
      </c>
      <c r="R501" s="42" t="s">
        <v>6969</v>
      </c>
      <c r="S501" s="42" t="s">
        <v>553</v>
      </c>
      <c r="T501" s="42" t="s">
        <v>4139</v>
      </c>
      <c r="U501" s="42" t="s">
        <v>496</v>
      </c>
      <c r="V501" s="44" t="s">
        <v>7010</v>
      </c>
      <c r="W501" s="42" t="s">
        <v>3905</v>
      </c>
    </row>
    <row r="502" spans="1:23">
      <c r="A502" s="40">
        <v>39</v>
      </c>
      <c r="B502" s="41">
        <v>1951065071</v>
      </c>
      <c r="C502" s="42" t="s">
        <v>7011</v>
      </c>
      <c r="D502" s="42" t="s">
        <v>765</v>
      </c>
      <c r="E502" s="43" t="s">
        <v>7312</v>
      </c>
      <c r="F502" s="42" t="s">
        <v>804</v>
      </c>
      <c r="G502" s="42" t="s">
        <v>7012</v>
      </c>
      <c r="H502" s="43">
        <v>42692</v>
      </c>
      <c r="I502" s="42" t="s">
        <v>7013</v>
      </c>
      <c r="J502" s="42" t="s">
        <v>7014</v>
      </c>
      <c r="K502" s="42" t="s">
        <v>1895</v>
      </c>
      <c r="L502" s="42" t="s">
        <v>6298</v>
      </c>
      <c r="M502" s="42" t="s">
        <v>7015</v>
      </c>
      <c r="N502" s="42" t="s">
        <v>7016</v>
      </c>
      <c r="O502" s="42" t="s">
        <v>7017</v>
      </c>
      <c r="P502" s="42" t="s">
        <v>7018</v>
      </c>
      <c r="Q502" s="42" t="s">
        <v>7017</v>
      </c>
      <c r="R502" s="42" t="s">
        <v>6969</v>
      </c>
      <c r="S502" s="42" t="s">
        <v>553</v>
      </c>
      <c r="T502" s="42" t="s">
        <v>4139</v>
      </c>
      <c r="U502" s="42" t="s">
        <v>496</v>
      </c>
      <c r="V502" s="44" t="s">
        <v>3892</v>
      </c>
      <c r="W502" s="42" t="s">
        <v>3892</v>
      </c>
    </row>
    <row r="503" spans="1:23">
      <c r="A503" s="40">
        <v>40</v>
      </c>
      <c r="B503" s="41">
        <v>1951065072</v>
      </c>
      <c r="C503" s="42" t="s">
        <v>2548</v>
      </c>
      <c r="D503" s="42" t="s">
        <v>760</v>
      </c>
      <c r="E503" s="43" t="s">
        <v>7279</v>
      </c>
      <c r="F503" s="42" t="s">
        <v>7019</v>
      </c>
      <c r="G503" s="42" t="s">
        <v>7020</v>
      </c>
      <c r="H503" s="43">
        <v>43089</v>
      </c>
      <c r="I503" s="42" t="s">
        <v>7021</v>
      </c>
      <c r="J503" s="42" t="s">
        <v>7022</v>
      </c>
      <c r="K503" s="42" t="s">
        <v>1895</v>
      </c>
      <c r="L503" s="42" t="s">
        <v>6356</v>
      </c>
      <c r="M503" s="42" t="s">
        <v>7023</v>
      </c>
      <c r="N503" s="42" t="s">
        <v>7024</v>
      </c>
      <c r="O503" s="42" t="s">
        <v>7025</v>
      </c>
      <c r="P503" s="42" t="s">
        <v>7026</v>
      </c>
      <c r="Q503" s="42" t="s">
        <v>7027</v>
      </c>
      <c r="R503" s="42" t="s">
        <v>6969</v>
      </c>
      <c r="S503" s="42" t="s">
        <v>553</v>
      </c>
      <c r="T503" s="42" t="s">
        <v>4139</v>
      </c>
      <c r="U503" s="42" t="s">
        <v>496</v>
      </c>
      <c r="V503" s="44" t="s">
        <v>3892</v>
      </c>
      <c r="W503" s="42" t="s">
        <v>3892</v>
      </c>
    </row>
    <row r="504" spans="1:23" ht="105">
      <c r="A504" s="40">
        <v>41</v>
      </c>
      <c r="B504" s="41">
        <v>1951065236</v>
      </c>
      <c r="C504" s="42" t="s">
        <v>7028</v>
      </c>
      <c r="D504" s="42" t="s">
        <v>760</v>
      </c>
      <c r="E504" s="43" t="s">
        <v>7313</v>
      </c>
      <c r="F504" s="42"/>
      <c r="G504" s="42" t="s">
        <v>7029</v>
      </c>
      <c r="H504" s="43"/>
      <c r="I504" s="42"/>
      <c r="J504" s="42" t="s">
        <v>7030</v>
      </c>
      <c r="K504" s="42" t="s">
        <v>1895</v>
      </c>
      <c r="L504" s="42"/>
      <c r="M504" s="42" t="s">
        <v>7031</v>
      </c>
      <c r="N504" s="42"/>
      <c r="O504" s="42"/>
      <c r="P504" s="42"/>
      <c r="Q504" s="42"/>
      <c r="R504" s="42" t="s">
        <v>6969</v>
      </c>
      <c r="S504" s="42" t="s">
        <v>553</v>
      </c>
      <c r="T504" s="42" t="s">
        <v>4139</v>
      </c>
      <c r="U504" s="42" t="s">
        <v>496</v>
      </c>
      <c r="V504" s="44" t="s">
        <v>7032</v>
      </c>
      <c r="W504" s="42" t="s">
        <v>3905</v>
      </c>
    </row>
    <row r="505" spans="1:23">
      <c r="A505" s="40">
        <v>42</v>
      </c>
      <c r="B505" s="41">
        <v>1951065402</v>
      </c>
      <c r="C505" s="42" t="s">
        <v>7033</v>
      </c>
      <c r="D505" s="42" t="s">
        <v>760</v>
      </c>
      <c r="E505" s="43" t="s">
        <v>7314</v>
      </c>
      <c r="F505" s="42" t="s">
        <v>7034</v>
      </c>
      <c r="G505" s="42" t="s">
        <v>7035</v>
      </c>
      <c r="H505" s="43">
        <v>43452</v>
      </c>
      <c r="I505" s="42" t="s">
        <v>5183</v>
      </c>
      <c r="J505" s="42" t="s">
        <v>7036</v>
      </c>
      <c r="K505" s="42" t="s">
        <v>1895</v>
      </c>
      <c r="L505" s="42" t="s">
        <v>1901</v>
      </c>
      <c r="M505" s="42" t="s">
        <v>7037</v>
      </c>
      <c r="N505" s="42" t="s">
        <v>7038</v>
      </c>
      <c r="O505" s="42" t="s">
        <v>7036</v>
      </c>
      <c r="P505" s="42" t="s">
        <v>7039</v>
      </c>
      <c r="Q505" s="42" t="s">
        <v>7040</v>
      </c>
      <c r="R505" s="42" t="s">
        <v>6969</v>
      </c>
      <c r="S505" s="42" t="s">
        <v>553</v>
      </c>
      <c r="T505" s="42" t="s">
        <v>4139</v>
      </c>
      <c r="U505" s="42" t="s">
        <v>496</v>
      </c>
      <c r="V505" s="44" t="s">
        <v>3892</v>
      </c>
      <c r="W505" s="42" t="s">
        <v>3892</v>
      </c>
    </row>
    <row r="506" spans="1:23">
      <c r="A506" s="40">
        <v>43</v>
      </c>
      <c r="B506" s="41">
        <v>1951065226</v>
      </c>
      <c r="C506" s="42" t="s">
        <v>7041</v>
      </c>
      <c r="D506" s="42" t="s">
        <v>760</v>
      </c>
      <c r="E506" s="43" t="s">
        <v>7315</v>
      </c>
      <c r="F506" s="42" t="s">
        <v>7042</v>
      </c>
      <c r="G506" s="42" t="s">
        <v>7043</v>
      </c>
      <c r="H506" s="43">
        <v>44424</v>
      </c>
      <c r="I506" s="42" t="s">
        <v>7044</v>
      </c>
      <c r="J506" s="42" t="s">
        <v>7045</v>
      </c>
      <c r="K506" s="42" t="s">
        <v>1895</v>
      </c>
      <c r="L506" s="42" t="s">
        <v>6705</v>
      </c>
      <c r="M506" s="42" t="s">
        <v>7046</v>
      </c>
      <c r="N506" s="42" t="s">
        <v>7047</v>
      </c>
      <c r="O506" s="42" t="s">
        <v>7048</v>
      </c>
      <c r="P506" s="42" t="s">
        <v>7049</v>
      </c>
      <c r="Q506" s="42" t="s">
        <v>7050</v>
      </c>
      <c r="R506" s="42" t="s">
        <v>6969</v>
      </c>
      <c r="S506" s="42" t="s">
        <v>553</v>
      </c>
      <c r="T506" s="42" t="s">
        <v>4139</v>
      </c>
      <c r="U506" s="42" t="s">
        <v>496</v>
      </c>
      <c r="V506" s="44" t="s">
        <v>3892</v>
      </c>
      <c r="W506" s="42" t="s">
        <v>3892</v>
      </c>
    </row>
    <row r="507" spans="1:23">
      <c r="A507" s="40">
        <v>44</v>
      </c>
      <c r="B507" s="41">
        <v>1951065207</v>
      </c>
      <c r="C507" s="42" t="s">
        <v>7051</v>
      </c>
      <c r="D507" s="42" t="s">
        <v>760</v>
      </c>
      <c r="E507" s="43" t="s">
        <v>1156</v>
      </c>
      <c r="F507" s="42" t="s">
        <v>1032</v>
      </c>
      <c r="G507" s="42" t="s">
        <v>7052</v>
      </c>
      <c r="H507" s="43">
        <v>43190</v>
      </c>
      <c r="I507" s="42" t="s">
        <v>761</v>
      </c>
      <c r="J507" s="42" t="s">
        <v>7053</v>
      </c>
      <c r="K507" s="42" t="s">
        <v>1895</v>
      </c>
      <c r="L507" s="42" t="s">
        <v>1901</v>
      </c>
      <c r="M507" s="42" t="s">
        <v>7054</v>
      </c>
      <c r="N507" s="42" t="s">
        <v>7055</v>
      </c>
      <c r="O507" s="42" t="s">
        <v>7056</v>
      </c>
      <c r="P507" s="42" t="s">
        <v>7057</v>
      </c>
      <c r="Q507" s="42" t="s">
        <v>7058</v>
      </c>
      <c r="R507" s="42" t="s">
        <v>7059</v>
      </c>
      <c r="S507" s="42" t="s">
        <v>553</v>
      </c>
      <c r="T507" s="42" t="s">
        <v>4139</v>
      </c>
      <c r="U507" s="42" t="s">
        <v>496</v>
      </c>
      <c r="V507" s="44" t="s">
        <v>3892</v>
      </c>
      <c r="W507" s="42" t="s">
        <v>3892</v>
      </c>
    </row>
    <row r="508" spans="1:23" ht="60">
      <c r="A508" s="40">
        <v>45</v>
      </c>
      <c r="B508" s="41">
        <v>1951065205</v>
      </c>
      <c r="C508" s="42" t="s">
        <v>7060</v>
      </c>
      <c r="D508" s="42" t="s">
        <v>760</v>
      </c>
      <c r="E508" s="43" t="s">
        <v>7316</v>
      </c>
      <c r="F508" s="42" t="s">
        <v>835</v>
      </c>
      <c r="G508" s="42" t="s">
        <v>7061</v>
      </c>
      <c r="H508" s="43">
        <v>43694</v>
      </c>
      <c r="I508" s="42" t="s">
        <v>835</v>
      </c>
      <c r="J508" s="42" t="s">
        <v>7062</v>
      </c>
      <c r="K508" s="42" t="s">
        <v>7063</v>
      </c>
      <c r="L508" s="42" t="s">
        <v>7064</v>
      </c>
      <c r="M508" s="42" t="s">
        <v>7065</v>
      </c>
      <c r="N508" s="42" t="s">
        <v>7066</v>
      </c>
      <c r="O508" s="42" t="s">
        <v>7067</v>
      </c>
      <c r="P508" s="42" t="s">
        <v>7068</v>
      </c>
      <c r="Q508" s="42" t="s">
        <v>7069</v>
      </c>
      <c r="R508" s="42" t="s">
        <v>7059</v>
      </c>
      <c r="S508" s="42" t="s">
        <v>553</v>
      </c>
      <c r="T508" s="42" t="s">
        <v>4139</v>
      </c>
      <c r="U508" s="42" t="s">
        <v>496</v>
      </c>
      <c r="V508" s="44" t="s">
        <v>7070</v>
      </c>
      <c r="W508" s="42" t="s">
        <v>3905</v>
      </c>
    </row>
    <row r="509" spans="1:23">
      <c r="A509" s="40">
        <v>46</v>
      </c>
      <c r="B509" s="41">
        <v>1951065546</v>
      </c>
      <c r="C509" s="42" t="s">
        <v>7071</v>
      </c>
      <c r="D509" s="42" t="s">
        <v>760</v>
      </c>
      <c r="E509" s="43" t="s">
        <v>7317</v>
      </c>
      <c r="F509" s="42" t="s">
        <v>7072</v>
      </c>
      <c r="G509" s="42" t="s">
        <v>7073</v>
      </c>
      <c r="H509" s="43">
        <v>44420</v>
      </c>
      <c r="I509" s="42" t="s">
        <v>4443</v>
      </c>
      <c r="J509" s="42" t="s">
        <v>7074</v>
      </c>
      <c r="K509" s="42" t="s">
        <v>1895</v>
      </c>
      <c r="L509" s="42" t="s">
        <v>6298</v>
      </c>
      <c r="M509" s="42" t="s">
        <v>7075</v>
      </c>
      <c r="N509" s="42" t="s">
        <v>7076</v>
      </c>
      <c r="O509" s="42" t="s">
        <v>7077</v>
      </c>
      <c r="P509" s="42" t="s">
        <v>7078</v>
      </c>
      <c r="Q509" s="42" t="s">
        <v>7079</v>
      </c>
      <c r="R509" s="42" t="s">
        <v>7059</v>
      </c>
      <c r="S509" s="42" t="s">
        <v>553</v>
      </c>
      <c r="T509" s="42" t="s">
        <v>4139</v>
      </c>
      <c r="U509" s="42" t="s">
        <v>496</v>
      </c>
      <c r="V509" s="44" t="s">
        <v>3892</v>
      </c>
      <c r="W509" s="42" t="s">
        <v>3892</v>
      </c>
    </row>
    <row r="510" spans="1:23" ht="210">
      <c r="A510" s="40">
        <v>47</v>
      </c>
      <c r="B510" s="41">
        <v>1951065312</v>
      </c>
      <c r="C510" s="42" t="s">
        <v>7080</v>
      </c>
      <c r="D510" s="42" t="s">
        <v>765</v>
      </c>
      <c r="E510" s="43" t="s">
        <v>7318</v>
      </c>
      <c r="F510" s="42" t="s">
        <v>7081</v>
      </c>
      <c r="G510" s="42" t="s">
        <v>7082</v>
      </c>
      <c r="H510" s="43">
        <v>42289</v>
      </c>
      <c r="I510" s="42" t="s">
        <v>7083</v>
      </c>
      <c r="J510" s="42" t="s">
        <v>7084</v>
      </c>
      <c r="K510" s="42" t="s">
        <v>1895</v>
      </c>
      <c r="L510" s="42" t="s">
        <v>6863</v>
      </c>
      <c r="M510" s="42" t="s">
        <v>7085</v>
      </c>
      <c r="N510" s="42" t="s">
        <v>7086</v>
      </c>
      <c r="O510" s="42" t="s">
        <v>7087</v>
      </c>
      <c r="P510" s="42" t="s">
        <v>7088</v>
      </c>
      <c r="Q510" s="42" t="s">
        <v>7089</v>
      </c>
      <c r="R510" s="42" t="s">
        <v>7059</v>
      </c>
      <c r="S510" s="42" t="s">
        <v>553</v>
      </c>
      <c r="T510" s="42" t="s">
        <v>4139</v>
      </c>
      <c r="U510" s="42" t="s">
        <v>496</v>
      </c>
      <c r="V510" s="44" t="s">
        <v>7090</v>
      </c>
      <c r="W510" s="42" t="s">
        <v>3905</v>
      </c>
    </row>
    <row r="511" spans="1:23">
      <c r="A511" s="40">
        <v>1</v>
      </c>
      <c r="B511" s="41">
        <v>1751010147</v>
      </c>
      <c r="C511" s="42" t="s">
        <v>7323</v>
      </c>
      <c r="D511" s="42" t="s">
        <v>760</v>
      </c>
      <c r="E511" s="43" t="s">
        <v>8225</v>
      </c>
      <c r="F511" s="42"/>
      <c r="G511" s="42"/>
      <c r="H511" s="43"/>
      <c r="I511" s="42"/>
      <c r="J511" s="42"/>
      <c r="K511" s="42"/>
      <c r="L511" s="42"/>
      <c r="M511" s="42"/>
      <c r="N511" s="42"/>
      <c r="O511" s="42"/>
      <c r="P511" s="42"/>
      <c r="Q511" s="42"/>
      <c r="R511" s="42" t="s">
        <v>7324</v>
      </c>
      <c r="S511" s="42" t="s">
        <v>314</v>
      </c>
      <c r="T511" s="42" t="s">
        <v>3891</v>
      </c>
      <c r="U511" s="42" t="s">
        <v>7325</v>
      </c>
      <c r="V511" s="44" t="s">
        <v>3892</v>
      </c>
      <c r="W511" s="42" t="s">
        <v>3892</v>
      </c>
    </row>
    <row r="512" spans="1:23">
      <c r="A512" s="40">
        <v>2</v>
      </c>
      <c r="B512" s="41">
        <v>1751011434</v>
      </c>
      <c r="C512" s="42" t="s">
        <v>7326</v>
      </c>
      <c r="D512" s="42" t="s">
        <v>765</v>
      </c>
      <c r="E512" s="43" t="s">
        <v>8226</v>
      </c>
      <c r="F512" s="42"/>
      <c r="G512" s="42"/>
      <c r="H512" s="43"/>
      <c r="I512" s="42"/>
      <c r="J512" s="42"/>
      <c r="K512" s="42"/>
      <c r="L512" s="42"/>
      <c r="M512" s="42"/>
      <c r="N512" s="42"/>
      <c r="O512" s="42"/>
      <c r="P512" s="42"/>
      <c r="Q512" s="42"/>
      <c r="R512" s="42" t="s">
        <v>7324</v>
      </c>
      <c r="S512" s="42" t="s">
        <v>314</v>
      </c>
      <c r="T512" s="42" t="s">
        <v>3891</v>
      </c>
      <c r="U512" s="42" t="s">
        <v>7325</v>
      </c>
      <c r="V512" s="44" t="s">
        <v>3892</v>
      </c>
      <c r="W512" s="42" t="s">
        <v>3892</v>
      </c>
    </row>
    <row r="513" spans="1:23">
      <c r="A513" s="40">
        <v>3</v>
      </c>
      <c r="B513" s="41">
        <v>1551013147</v>
      </c>
      <c r="C513" s="42" t="s">
        <v>7327</v>
      </c>
      <c r="D513" s="42" t="s">
        <v>765</v>
      </c>
      <c r="E513" s="43" t="s">
        <v>8227</v>
      </c>
      <c r="F513" s="42"/>
      <c r="G513" s="42"/>
      <c r="H513" s="43"/>
      <c r="I513" s="42"/>
      <c r="J513" s="42"/>
      <c r="K513" s="42"/>
      <c r="L513" s="42"/>
      <c r="M513" s="42"/>
      <c r="N513" s="42"/>
      <c r="O513" s="42"/>
      <c r="P513" s="42"/>
      <c r="Q513" s="42"/>
      <c r="R513" s="42" t="s">
        <v>7324</v>
      </c>
      <c r="S513" s="42" t="s">
        <v>314</v>
      </c>
      <c r="T513" s="42" t="s">
        <v>3891</v>
      </c>
      <c r="U513" s="42" t="s">
        <v>7325</v>
      </c>
      <c r="V513" s="44" t="s">
        <v>3892</v>
      </c>
      <c r="W513" s="42" t="s">
        <v>3892</v>
      </c>
    </row>
    <row r="514" spans="1:23">
      <c r="A514" s="40">
        <v>4</v>
      </c>
      <c r="B514" s="41">
        <v>1551013195</v>
      </c>
      <c r="C514" s="42" t="s">
        <v>2307</v>
      </c>
      <c r="D514" s="42" t="s">
        <v>3892</v>
      </c>
      <c r="E514" s="43" t="s">
        <v>7273</v>
      </c>
      <c r="F514" s="42"/>
      <c r="G514" s="42"/>
      <c r="H514" s="43"/>
      <c r="I514" s="42"/>
      <c r="J514" s="42"/>
      <c r="K514" s="42"/>
      <c r="L514" s="42"/>
      <c r="M514" s="42"/>
      <c r="N514" s="42"/>
      <c r="O514" s="42"/>
      <c r="P514" s="42"/>
      <c r="Q514" s="42"/>
      <c r="R514" s="42" t="s">
        <v>7324</v>
      </c>
      <c r="S514" s="42" t="s">
        <v>314</v>
      </c>
      <c r="T514" s="42" t="s">
        <v>3891</v>
      </c>
      <c r="U514" s="42" t="s">
        <v>7325</v>
      </c>
      <c r="V514" s="44" t="s">
        <v>3892</v>
      </c>
      <c r="W514" s="42" t="s">
        <v>3892</v>
      </c>
    </row>
    <row r="515" spans="1:23">
      <c r="A515" s="40">
        <v>5</v>
      </c>
      <c r="B515" s="41">
        <v>1451041938</v>
      </c>
      <c r="C515" s="42" t="s">
        <v>7328</v>
      </c>
      <c r="D515" s="42" t="s">
        <v>760</v>
      </c>
      <c r="E515" s="43" t="s">
        <v>8228</v>
      </c>
      <c r="F515" s="42"/>
      <c r="G515" s="42"/>
      <c r="H515" s="43"/>
      <c r="I515" s="42"/>
      <c r="J515" s="42"/>
      <c r="K515" s="42"/>
      <c r="L515" s="42"/>
      <c r="M515" s="42"/>
      <c r="N515" s="42"/>
      <c r="O515" s="42"/>
      <c r="P515" s="42"/>
      <c r="Q515" s="42"/>
      <c r="R515" s="42" t="s">
        <v>7324</v>
      </c>
      <c r="S515" s="42" t="s">
        <v>314</v>
      </c>
      <c r="T515" s="42" t="s">
        <v>3891</v>
      </c>
      <c r="U515" s="42" t="s">
        <v>7325</v>
      </c>
      <c r="V515" s="44" t="s">
        <v>3892</v>
      </c>
      <c r="W515" s="42" t="s">
        <v>3892</v>
      </c>
    </row>
    <row r="516" spans="1:23">
      <c r="A516" s="40">
        <v>6</v>
      </c>
      <c r="B516" s="41">
        <v>1751010542</v>
      </c>
      <c r="C516" s="42" t="s">
        <v>7329</v>
      </c>
      <c r="D516" s="42" t="s">
        <v>760</v>
      </c>
      <c r="E516" s="43" t="s">
        <v>8229</v>
      </c>
      <c r="F516" s="42"/>
      <c r="G516" s="42"/>
      <c r="H516" s="43"/>
      <c r="I516" s="42"/>
      <c r="J516" s="42"/>
      <c r="K516" s="42"/>
      <c r="L516" s="42"/>
      <c r="M516" s="42"/>
      <c r="N516" s="42"/>
      <c r="O516" s="42"/>
      <c r="P516" s="42"/>
      <c r="Q516" s="42"/>
      <c r="R516" s="42" t="s">
        <v>7324</v>
      </c>
      <c r="S516" s="42" t="s">
        <v>314</v>
      </c>
      <c r="T516" s="42" t="s">
        <v>3891</v>
      </c>
      <c r="U516" s="42" t="s">
        <v>7325</v>
      </c>
      <c r="V516" s="44" t="s">
        <v>3892</v>
      </c>
      <c r="W516" s="42" t="s">
        <v>3892</v>
      </c>
    </row>
    <row r="517" spans="1:23">
      <c r="A517" s="40">
        <v>7</v>
      </c>
      <c r="B517" s="41">
        <v>1551013491</v>
      </c>
      <c r="C517" s="42" t="s">
        <v>7330</v>
      </c>
      <c r="D517" s="42" t="s">
        <v>760</v>
      </c>
      <c r="E517" s="43" t="s">
        <v>8230</v>
      </c>
      <c r="F517" s="42"/>
      <c r="G517" s="42"/>
      <c r="H517" s="43"/>
      <c r="I517" s="42"/>
      <c r="J517" s="42"/>
      <c r="K517" s="42"/>
      <c r="L517" s="42"/>
      <c r="M517" s="42"/>
      <c r="N517" s="42"/>
      <c r="O517" s="42"/>
      <c r="P517" s="42"/>
      <c r="Q517" s="42"/>
      <c r="R517" s="42" t="s">
        <v>7324</v>
      </c>
      <c r="S517" s="42" t="s">
        <v>314</v>
      </c>
      <c r="T517" s="42" t="s">
        <v>3891</v>
      </c>
      <c r="U517" s="42" t="s">
        <v>7325</v>
      </c>
      <c r="V517" s="44" t="s">
        <v>3892</v>
      </c>
      <c r="W517" s="42" t="s">
        <v>3892</v>
      </c>
    </row>
    <row r="518" spans="1:23">
      <c r="A518" s="40">
        <v>8</v>
      </c>
      <c r="B518" s="41">
        <v>1251012176</v>
      </c>
      <c r="C518" s="42" t="s">
        <v>7331</v>
      </c>
      <c r="D518" s="42" t="s">
        <v>760</v>
      </c>
      <c r="E518" s="43" t="s">
        <v>8231</v>
      </c>
      <c r="F518" s="42"/>
      <c r="G518" s="42"/>
      <c r="H518" s="43"/>
      <c r="I518" s="42"/>
      <c r="J518" s="42"/>
      <c r="K518" s="42"/>
      <c r="L518" s="42"/>
      <c r="M518" s="42"/>
      <c r="N518" s="42"/>
      <c r="O518" s="42"/>
      <c r="P518" s="42"/>
      <c r="Q518" s="42"/>
      <c r="R518" s="42" t="s">
        <v>7324</v>
      </c>
      <c r="S518" s="42" t="s">
        <v>314</v>
      </c>
      <c r="T518" s="42" t="s">
        <v>3891</v>
      </c>
      <c r="U518" s="42" t="s">
        <v>7325</v>
      </c>
      <c r="V518" s="44" t="s">
        <v>3892</v>
      </c>
      <c r="W518" s="42" t="s">
        <v>3892</v>
      </c>
    </row>
    <row r="519" spans="1:23">
      <c r="A519" s="40">
        <v>9</v>
      </c>
      <c r="B519" s="41">
        <v>1351012483</v>
      </c>
      <c r="C519" s="42" t="s">
        <v>7332</v>
      </c>
      <c r="D519" s="42" t="s">
        <v>760</v>
      </c>
      <c r="E519" s="43" t="s">
        <v>8232</v>
      </c>
      <c r="F519" s="42"/>
      <c r="G519" s="42"/>
      <c r="H519" s="43"/>
      <c r="I519" s="42"/>
      <c r="J519" s="42"/>
      <c r="K519" s="42"/>
      <c r="L519" s="42"/>
      <c r="M519" s="42"/>
      <c r="N519" s="42"/>
      <c r="O519" s="42"/>
      <c r="P519" s="42"/>
      <c r="Q519" s="42"/>
      <c r="R519" s="42" t="s">
        <v>7324</v>
      </c>
      <c r="S519" s="42" t="s">
        <v>314</v>
      </c>
      <c r="T519" s="42" t="s">
        <v>3891</v>
      </c>
      <c r="U519" s="42" t="s">
        <v>7325</v>
      </c>
      <c r="V519" s="44" t="s">
        <v>3892</v>
      </c>
      <c r="W519" s="42" t="s">
        <v>3892</v>
      </c>
    </row>
    <row r="520" spans="1:23">
      <c r="A520" s="40">
        <v>10</v>
      </c>
      <c r="B520" s="41">
        <v>1451011985</v>
      </c>
      <c r="C520" s="42" t="s">
        <v>7333</v>
      </c>
      <c r="D520" s="42" t="s">
        <v>760</v>
      </c>
      <c r="E520" s="43" t="s">
        <v>8233</v>
      </c>
      <c r="F520" s="42"/>
      <c r="G520" s="42"/>
      <c r="H520" s="43"/>
      <c r="I520" s="42"/>
      <c r="J520" s="42"/>
      <c r="K520" s="42"/>
      <c r="L520" s="42"/>
      <c r="M520" s="42"/>
      <c r="N520" s="42"/>
      <c r="O520" s="42"/>
      <c r="P520" s="42"/>
      <c r="Q520" s="42"/>
      <c r="R520" s="42" t="s">
        <v>7324</v>
      </c>
      <c r="S520" s="42" t="s">
        <v>314</v>
      </c>
      <c r="T520" s="42" t="s">
        <v>3891</v>
      </c>
      <c r="U520" s="42" t="s">
        <v>7325</v>
      </c>
      <c r="V520" s="44" t="s">
        <v>3892</v>
      </c>
      <c r="W520" s="42" t="s">
        <v>3892</v>
      </c>
    </row>
    <row r="521" spans="1:23">
      <c r="A521" s="40">
        <v>11</v>
      </c>
      <c r="B521" s="41">
        <v>1651011612</v>
      </c>
      <c r="C521" s="42" t="s">
        <v>7334</v>
      </c>
      <c r="D521" s="42" t="s">
        <v>760</v>
      </c>
      <c r="E521" s="43" t="s">
        <v>8234</v>
      </c>
      <c r="F521" s="42"/>
      <c r="G521" s="42"/>
      <c r="H521" s="43"/>
      <c r="I521" s="42"/>
      <c r="J521" s="42"/>
      <c r="K521" s="42"/>
      <c r="L521" s="42"/>
      <c r="M521" s="42"/>
      <c r="N521" s="42"/>
      <c r="O521" s="42"/>
      <c r="P521" s="42"/>
      <c r="Q521" s="42"/>
      <c r="R521" s="42" t="s">
        <v>7324</v>
      </c>
      <c r="S521" s="42" t="s">
        <v>314</v>
      </c>
      <c r="T521" s="42" t="s">
        <v>3891</v>
      </c>
      <c r="U521" s="42" t="s">
        <v>7325</v>
      </c>
      <c r="V521" s="44" t="s">
        <v>3892</v>
      </c>
      <c r="W521" s="42" t="s">
        <v>3892</v>
      </c>
    </row>
    <row r="522" spans="1:23">
      <c r="A522" s="40">
        <v>12</v>
      </c>
      <c r="B522" s="41">
        <v>1451013089</v>
      </c>
      <c r="C522" s="42" t="s">
        <v>7335</v>
      </c>
      <c r="D522" s="42" t="s">
        <v>760</v>
      </c>
      <c r="E522" s="43" t="s">
        <v>8235</v>
      </c>
      <c r="F522" s="42"/>
      <c r="G522" s="42"/>
      <c r="H522" s="43"/>
      <c r="I522" s="42"/>
      <c r="J522" s="42"/>
      <c r="K522" s="42"/>
      <c r="L522" s="42"/>
      <c r="M522" s="42"/>
      <c r="N522" s="42"/>
      <c r="O522" s="42"/>
      <c r="P522" s="42"/>
      <c r="Q522" s="42"/>
      <c r="R522" s="42" t="s">
        <v>7324</v>
      </c>
      <c r="S522" s="42" t="s">
        <v>314</v>
      </c>
      <c r="T522" s="42" t="s">
        <v>3891</v>
      </c>
      <c r="U522" s="42" t="s">
        <v>7325</v>
      </c>
      <c r="V522" s="44" t="s">
        <v>3892</v>
      </c>
      <c r="W522" s="42" t="s">
        <v>3892</v>
      </c>
    </row>
    <row r="523" spans="1:23">
      <c r="A523" s="40">
        <v>13</v>
      </c>
      <c r="B523" s="41">
        <v>1251012179</v>
      </c>
      <c r="C523" s="42" t="s">
        <v>7336</v>
      </c>
      <c r="D523" s="42" t="s">
        <v>760</v>
      </c>
      <c r="E523" s="43" t="s">
        <v>8236</v>
      </c>
      <c r="F523" s="42"/>
      <c r="G523" s="42"/>
      <c r="H523" s="43"/>
      <c r="I523" s="42"/>
      <c r="J523" s="42"/>
      <c r="K523" s="42"/>
      <c r="L523" s="42"/>
      <c r="M523" s="42"/>
      <c r="N523" s="42"/>
      <c r="O523" s="42"/>
      <c r="P523" s="42"/>
      <c r="Q523" s="42"/>
      <c r="R523" s="42" t="s">
        <v>7324</v>
      </c>
      <c r="S523" s="42" t="s">
        <v>314</v>
      </c>
      <c r="T523" s="42" t="s">
        <v>3891</v>
      </c>
      <c r="U523" s="42" t="s">
        <v>7325</v>
      </c>
      <c r="V523" s="44" t="s">
        <v>3892</v>
      </c>
      <c r="W523" s="42" t="s">
        <v>3892</v>
      </c>
    </row>
    <row r="524" spans="1:23">
      <c r="A524" s="40">
        <v>14</v>
      </c>
      <c r="B524" s="41">
        <v>1451013104</v>
      </c>
      <c r="C524" s="42" t="s">
        <v>7337</v>
      </c>
      <c r="D524" s="42" t="s">
        <v>760</v>
      </c>
      <c r="E524" s="43" t="s">
        <v>8237</v>
      </c>
      <c r="F524" s="42"/>
      <c r="G524" s="42"/>
      <c r="H524" s="43"/>
      <c r="I524" s="42"/>
      <c r="J524" s="42"/>
      <c r="K524" s="42"/>
      <c r="L524" s="42"/>
      <c r="M524" s="42"/>
      <c r="N524" s="42"/>
      <c r="O524" s="42"/>
      <c r="P524" s="42"/>
      <c r="Q524" s="42"/>
      <c r="R524" s="42" t="s">
        <v>7324</v>
      </c>
      <c r="S524" s="42" t="s">
        <v>314</v>
      </c>
      <c r="T524" s="42" t="s">
        <v>3891</v>
      </c>
      <c r="U524" s="42" t="s">
        <v>7325</v>
      </c>
      <c r="V524" s="44" t="s">
        <v>3892</v>
      </c>
      <c r="W524" s="42" t="s">
        <v>3892</v>
      </c>
    </row>
    <row r="525" spans="1:23">
      <c r="A525" s="40">
        <v>15</v>
      </c>
      <c r="B525" s="41">
        <v>1751012225</v>
      </c>
      <c r="C525" s="42" t="s">
        <v>7338</v>
      </c>
      <c r="D525" s="42" t="s">
        <v>760</v>
      </c>
      <c r="E525" s="43" t="s">
        <v>8238</v>
      </c>
      <c r="F525" s="42"/>
      <c r="G525" s="42"/>
      <c r="H525" s="43"/>
      <c r="I525" s="42"/>
      <c r="J525" s="42"/>
      <c r="K525" s="42"/>
      <c r="L525" s="42"/>
      <c r="M525" s="42"/>
      <c r="N525" s="42"/>
      <c r="O525" s="42"/>
      <c r="P525" s="42"/>
      <c r="Q525" s="42"/>
      <c r="R525" s="42" t="s">
        <v>7324</v>
      </c>
      <c r="S525" s="42" t="s">
        <v>314</v>
      </c>
      <c r="T525" s="42" t="s">
        <v>3891</v>
      </c>
      <c r="U525" s="42" t="s">
        <v>7325</v>
      </c>
      <c r="V525" s="44" t="s">
        <v>3892</v>
      </c>
      <c r="W525" s="42" t="s">
        <v>3892</v>
      </c>
    </row>
    <row r="526" spans="1:23">
      <c r="A526" s="40">
        <v>16</v>
      </c>
      <c r="B526" s="41">
        <v>1651011485</v>
      </c>
      <c r="C526" s="42" t="s">
        <v>7339</v>
      </c>
      <c r="D526" s="42" t="s">
        <v>760</v>
      </c>
      <c r="E526" s="43" t="s">
        <v>8239</v>
      </c>
      <c r="F526" s="42"/>
      <c r="G526" s="42"/>
      <c r="H526" s="43"/>
      <c r="I526" s="42"/>
      <c r="J526" s="42"/>
      <c r="K526" s="42"/>
      <c r="L526" s="42"/>
      <c r="M526" s="42"/>
      <c r="N526" s="42"/>
      <c r="O526" s="42"/>
      <c r="P526" s="42"/>
      <c r="Q526" s="42"/>
      <c r="R526" s="42" t="s">
        <v>7324</v>
      </c>
      <c r="S526" s="42" t="s">
        <v>314</v>
      </c>
      <c r="T526" s="42" t="s">
        <v>3891</v>
      </c>
      <c r="U526" s="42" t="s">
        <v>7325</v>
      </c>
      <c r="V526" s="44" t="s">
        <v>3892</v>
      </c>
      <c r="W526" s="42" t="s">
        <v>3892</v>
      </c>
    </row>
    <row r="527" spans="1:23">
      <c r="A527" s="40">
        <v>17</v>
      </c>
      <c r="B527" s="41">
        <v>1451011586</v>
      </c>
      <c r="C527" s="42" t="s">
        <v>7340</v>
      </c>
      <c r="D527" s="42" t="s">
        <v>760</v>
      </c>
      <c r="E527" s="43" t="s">
        <v>8240</v>
      </c>
      <c r="F527" s="42"/>
      <c r="G527" s="42"/>
      <c r="H527" s="43"/>
      <c r="I527" s="42"/>
      <c r="J527" s="42"/>
      <c r="K527" s="42"/>
      <c r="L527" s="42"/>
      <c r="M527" s="42"/>
      <c r="N527" s="42"/>
      <c r="O527" s="42"/>
      <c r="P527" s="42"/>
      <c r="Q527" s="42"/>
      <c r="R527" s="42" t="s">
        <v>7324</v>
      </c>
      <c r="S527" s="42" t="s">
        <v>314</v>
      </c>
      <c r="T527" s="42" t="s">
        <v>3891</v>
      </c>
      <c r="U527" s="42" t="s">
        <v>7325</v>
      </c>
      <c r="V527" s="44" t="s">
        <v>3892</v>
      </c>
      <c r="W527" s="42" t="s">
        <v>3892</v>
      </c>
    </row>
    <row r="528" spans="1:23">
      <c r="A528" s="40">
        <v>18</v>
      </c>
      <c r="B528" s="41">
        <v>1551012979</v>
      </c>
      <c r="C528" s="42" t="s">
        <v>7341</v>
      </c>
      <c r="D528" s="42" t="s">
        <v>760</v>
      </c>
      <c r="E528" s="43" t="s">
        <v>8241</v>
      </c>
      <c r="F528" s="42"/>
      <c r="G528" s="42"/>
      <c r="H528" s="43"/>
      <c r="I528" s="42"/>
      <c r="J528" s="42"/>
      <c r="K528" s="42"/>
      <c r="L528" s="42"/>
      <c r="M528" s="42"/>
      <c r="N528" s="42"/>
      <c r="O528" s="42"/>
      <c r="P528" s="42"/>
      <c r="Q528" s="42"/>
      <c r="R528" s="42" t="s">
        <v>7324</v>
      </c>
      <c r="S528" s="42" t="s">
        <v>314</v>
      </c>
      <c r="T528" s="42" t="s">
        <v>3891</v>
      </c>
      <c r="U528" s="42" t="s">
        <v>7325</v>
      </c>
      <c r="V528" s="44" t="s">
        <v>3892</v>
      </c>
      <c r="W528" s="42" t="s">
        <v>3892</v>
      </c>
    </row>
    <row r="529" spans="1:23">
      <c r="A529" s="40">
        <v>19</v>
      </c>
      <c r="B529" s="41">
        <v>1451013385</v>
      </c>
      <c r="C529" s="42" t="s">
        <v>7342</v>
      </c>
      <c r="D529" s="42" t="s">
        <v>760</v>
      </c>
      <c r="E529" s="43" t="s">
        <v>8242</v>
      </c>
      <c r="F529" s="42"/>
      <c r="G529" s="42"/>
      <c r="H529" s="43"/>
      <c r="I529" s="42"/>
      <c r="J529" s="42"/>
      <c r="K529" s="42"/>
      <c r="L529" s="42"/>
      <c r="M529" s="42"/>
      <c r="N529" s="42"/>
      <c r="O529" s="42"/>
      <c r="P529" s="42"/>
      <c r="Q529" s="42"/>
      <c r="R529" s="42" t="s">
        <v>7324</v>
      </c>
      <c r="S529" s="42" t="s">
        <v>314</v>
      </c>
      <c r="T529" s="42" t="s">
        <v>3891</v>
      </c>
      <c r="U529" s="42" t="s">
        <v>7325</v>
      </c>
      <c r="V529" s="44" t="s">
        <v>3892</v>
      </c>
      <c r="W529" s="42" t="s">
        <v>3892</v>
      </c>
    </row>
    <row r="530" spans="1:23">
      <c r="A530" s="40">
        <v>20</v>
      </c>
      <c r="B530" s="41">
        <v>1451011714</v>
      </c>
      <c r="C530" s="42" t="s">
        <v>7343</v>
      </c>
      <c r="D530" s="42" t="s">
        <v>3892</v>
      </c>
      <c r="E530" s="43" t="s">
        <v>7273</v>
      </c>
      <c r="F530" s="42"/>
      <c r="G530" s="42"/>
      <c r="H530" s="43"/>
      <c r="I530" s="42"/>
      <c r="J530" s="42"/>
      <c r="K530" s="42"/>
      <c r="L530" s="42"/>
      <c r="M530" s="42"/>
      <c r="N530" s="42"/>
      <c r="O530" s="42"/>
      <c r="P530" s="42"/>
      <c r="Q530" s="42"/>
      <c r="R530" s="42" t="s">
        <v>7324</v>
      </c>
      <c r="S530" s="42" t="s">
        <v>314</v>
      </c>
      <c r="T530" s="42" t="s">
        <v>3891</v>
      </c>
      <c r="U530" s="42" t="s">
        <v>7325</v>
      </c>
      <c r="V530" s="44" t="s">
        <v>3892</v>
      </c>
      <c r="W530" s="42" t="s">
        <v>3892</v>
      </c>
    </row>
    <row r="531" spans="1:23">
      <c r="A531" s="40">
        <v>21</v>
      </c>
      <c r="B531" s="41">
        <v>1851012774</v>
      </c>
      <c r="C531" s="42" t="s">
        <v>7344</v>
      </c>
      <c r="D531" s="42" t="s">
        <v>3892</v>
      </c>
      <c r="E531" s="43" t="s">
        <v>7273</v>
      </c>
      <c r="F531" s="42"/>
      <c r="G531" s="42"/>
      <c r="H531" s="43"/>
      <c r="I531" s="42"/>
      <c r="J531" s="42"/>
      <c r="K531" s="42"/>
      <c r="L531" s="42"/>
      <c r="M531" s="42"/>
      <c r="N531" s="42"/>
      <c r="O531" s="42"/>
      <c r="P531" s="42"/>
      <c r="Q531" s="42"/>
      <c r="R531" s="42" t="s">
        <v>7324</v>
      </c>
      <c r="S531" s="42" t="s">
        <v>314</v>
      </c>
      <c r="T531" s="42" t="s">
        <v>3891</v>
      </c>
      <c r="U531" s="42" t="s">
        <v>7325</v>
      </c>
      <c r="V531" s="44" t="s">
        <v>3892</v>
      </c>
      <c r="W531" s="42" t="s">
        <v>7345</v>
      </c>
    </row>
    <row r="532" spans="1:23">
      <c r="A532" s="40">
        <v>22</v>
      </c>
      <c r="B532" s="41">
        <v>1451011639</v>
      </c>
      <c r="C532" s="42" t="s">
        <v>7346</v>
      </c>
      <c r="D532" s="42" t="s">
        <v>3892</v>
      </c>
      <c r="E532" s="43" t="s">
        <v>7273</v>
      </c>
      <c r="F532" s="42"/>
      <c r="G532" s="42"/>
      <c r="H532" s="43"/>
      <c r="I532" s="42"/>
      <c r="J532" s="42"/>
      <c r="K532" s="42"/>
      <c r="L532" s="42"/>
      <c r="M532" s="42"/>
      <c r="N532" s="42"/>
      <c r="O532" s="42"/>
      <c r="P532" s="42"/>
      <c r="Q532" s="42"/>
      <c r="R532" s="42" t="s">
        <v>7324</v>
      </c>
      <c r="S532" s="42" t="s">
        <v>314</v>
      </c>
      <c r="T532" s="42" t="s">
        <v>3891</v>
      </c>
      <c r="U532" s="42" t="s">
        <v>7325</v>
      </c>
      <c r="V532" s="44" t="s">
        <v>3892</v>
      </c>
      <c r="W532" s="42" t="s">
        <v>7345</v>
      </c>
    </row>
    <row r="533" spans="1:23">
      <c r="A533" s="40">
        <v>23</v>
      </c>
      <c r="B533" s="41">
        <v>1851013157</v>
      </c>
      <c r="C533" s="42" t="s">
        <v>7347</v>
      </c>
      <c r="D533" s="42" t="s">
        <v>760</v>
      </c>
      <c r="E533" s="43" t="s">
        <v>8243</v>
      </c>
      <c r="F533" s="42"/>
      <c r="G533" s="42"/>
      <c r="H533" s="43"/>
      <c r="I533" s="42"/>
      <c r="J533" s="42"/>
      <c r="K533" s="42"/>
      <c r="L533" s="42"/>
      <c r="M533" s="42"/>
      <c r="N533" s="42"/>
      <c r="O533" s="42"/>
      <c r="P533" s="42"/>
      <c r="Q533" s="42"/>
      <c r="R533" s="42" t="s">
        <v>7324</v>
      </c>
      <c r="S533" s="42" t="s">
        <v>314</v>
      </c>
      <c r="T533" s="42" t="s">
        <v>3891</v>
      </c>
      <c r="U533" s="42" t="s">
        <v>7325</v>
      </c>
      <c r="V533" s="44" t="s">
        <v>3892</v>
      </c>
      <c r="W533" s="42" t="s">
        <v>3892</v>
      </c>
    </row>
    <row r="534" spans="1:23">
      <c r="A534" s="40">
        <v>24</v>
      </c>
      <c r="B534" s="41">
        <v>1451011742</v>
      </c>
      <c r="C534" s="42" t="s">
        <v>7348</v>
      </c>
      <c r="D534" s="42" t="s">
        <v>760</v>
      </c>
      <c r="E534" s="43" t="s">
        <v>8244</v>
      </c>
      <c r="F534" s="42"/>
      <c r="G534" s="42"/>
      <c r="H534" s="43"/>
      <c r="I534" s="42"/>
      <c r="J534" s="42"/>
      <c r="K534" s="42"/>
      <c r="L534" s="42"/>
      <c r="M534" s="42"/>
      <c r="N534" s="42"/>
      <c r="O534" s="42"/>
      <c r="P534" s="42"/>
      <c r="Q534" s="42"/>
      <c r="R534" s="42" t="s">
        <v>7324</v>
      </c>
      <c r="S534" s="42" t="s">
        <v>314</v>
      </c>
      <c r="T534" s="42" t="s">
        <v>3891</v>
      </c>
      <c r="U534" s="42" t="s">
        <v>7325</v>
      </c>
      <c r="V534" s="44" t="s">
        <v>3892</v>
      </c>
      <c r="W534" s="42" t="s">
        <v>3892</v>
      </c>
    </row>
    <row r="535" spans="1:23">
      <c r="A535" s="40">
        <v>25</v>
      </c>
      <c r="B535" s="41">
        <v>1651041626</v>
      </c>
      <c r="C535" s="42" t="s">
        <v>7349</v>
      </c>
      <c r="D535" s="42" t="s">
        <v>760</v>
      </c>
      <c r="E535" s="43" t="s">
        <v>8245</v>
      </c>
      <c r="F535" s="42"/>
      <c r="G535" s="42"/>
      <c r="H535" s="43"/>
      <c r="I535" s="42"/>
      <c r="J535" s="42"/>
      <c r="K535" s="42"/>
      <c r="L535" s="42"/>
      <c r="M535" s="42"/>
      <c r="N535" s="42"/>
      <c r="O535" s="42"/>
      <c r="P535" s="42"/>
      <c r="Q535" s="42"/>
      <c r="R535" s="42" t="s">
        <v>7324</v>
      </c>
      <c r="S535" s="42" t="s">
        <v>314</v>
      </c>
      <c r="T535" s="42" t="s">
        <v>3891</v>
      </c>
      <c r="U535" s="42" t="s">
        <v>7325</v>
      </c>
      <c r="V535" s="44" t="s">
        <v>3892</v>
      </c>
      <c r="W535" s="42" t="s">
        <v>3892</v>
      </c>
    </row>
    <row r="536" spans="1:23">
      <c r="A536" s="40">
        <v>26</v>
      </c>
      <c r="B536" s="41">
        <v>1751010236</v>
      </c>
      <c r="C536" s="42" t="s">
        <v>7350</v>
      </c>
      <c r="D536" s="42" t="s">
        <v>760</v>
      </c>
      <c r="E536" s="43" t="s">
        <v>8246</v>
      </c>
      <c r="F536" s="42"/>
      <c r="G536" s="42"/>
      <c r="H536" s="43"/>
      <c r="I536" s="42"/>
      <c r="J536" s="42"/>
      <c r="K536" s="42"/>
      <c r="L536" s="42"/>
      <c r="M536" s="42"/>
      <c r="N536" s="42"/>
      <c r="O536" s="42"/>
      <c r="P536" s="42"/>
      <c r="Q536" s="42"/>
      <c r="R536" s="42" t="s">
        <v>7324</v>
      </c>
      <c r="S536" s="42" t="s">
        <v>314</v>
      </c>
      <c r="T536" s="42" t="s">
        <v>3891</v>
      </c>
      <c r="U536" s="42" t="s">
        <v>7325</v>
      </c>
      <c r="V536" s="44" t="s">
        <v>3892</v>
      </c>
      <c r="W536" s="42" t="s">
        <v>3892</v>
      </c>
    </row>
    <row r="537" spans="1:23">
      <c r="A537" s="40">
        <v>27</v>
      </c>
      <c r="B537" s="41">
        <v>1451011877</v>
      </c>
      <c r="C537" s="42" t="s">
        <v>7351</v>
      </c>
      <c r="D537" s="42" t="s">
        <v>3892</v>
      </c>
      <c r="E537" s="43" t="s">
        <v>7273</v>
      </c>
      <c r="F537" s="42"/>
      <c r="G537" s="42"/>
      <c r="H537" s="43"/>
      <c r="I537" s="42"/>
      <c r="J537" s="42"/>
      <c r="K537" s="42"/>
      <c r="L537" s="42"/>
      <c r="M537" s="42"/>
      <c r="N537" s="42"/>
      <c r="O537" s="42"/>
      <c r="P537" s="42"/>
      <c r="Q537" s="42"/>
      <c r="R537" s="42" t="s">
        <v>7324</v>
      </c>
      <c r="S537" s="42" t="s">
        <v>314</v>
      </c>
      <c r="T537" s="42" t="s">
        <v>3891</v>
      </c>
      <c r="U537" s="42" t="s">
        <v>7325</v>
      </c>
      <c r="V537" s="44" t="s">
        <v>3892</v>
      </c>
      <c r="W537" s="42" t="s">
        <v>7345</v>
      </c>
    </row>
    <row r="538" spans="1:23">
      <c r="A538" s="40">
        <v>28</v>
      </c>
      <c r="B538" s="41">
        <v>1551013023</v>
      </c>
      <c r="C538" s="42" t="s">
        <v>7352</v>
      </c>
      <c r="D538" s="42" t="s">
        <v>760</v>
      </c>
      <c r="E538" s="43" t="s">
        <v>8247</v>
      </c>
      <c r="F538" s="42"/>
      <c r="G538" s="42"/>
      <c r="H538" s="43"/>
      <c r="I538" s="42"/>
      <c r="J538" s="42"/>
      <c r="K538" s="42"/>
      <c r="L538" s="42"/>
      <c r="M538" s="42"/>
      <c r="N538" s="42"/>
      <c r="O538" s="42"/>
      <c r="P538" s="42"/>
      <c r="Q538" s="42"/>
      <c r="R538" s="42" t="s">
        <v>7324</v>
      </c>
      <c r="S538" s="42" t="s">
        <v>314</v>
      </c>
      <c r="T538" s="42" t="s">
        <v>3891</v>
      </c>
      <c r="U538" s="42" t="s">
        <v>7325</v>
      </c>
      <c r="V538" s="44" t="s">
        <v>3892</v>
      </c>
      <c r="W538" s="42" t="s">
        <v>3892</v>
      </c>
    </row>
    <row r="539" spans="1:23">
      <c r="A539" s="40">
        <v>29</v>
      </c>
      <c r="B539" s="41">
        <v>1651011365</v>
      </c>
      <c r="C539" s="42" t="s">
        <v>7353</v>
      </c>
      <c r="D539" s="42" t="s">
        <v>760</v>
      </c>
      <c r="E539" s="43" t="s">
        <v>8248</v>
      </c>
      <c r="F539" s="42"/>
      <c r="G539" s="42"/>
      <c r="H539" s="43"/>
      <c r="I539" s="42"/>
      <c r="J539" s="42"/>
      <c r="K539" s="42"/>
      <c r="L539" s="42"/>
      <c r="M539" s="42"/>
      <c r="N539" s="42"/>
      <c r="O539" s="42"/>
      <c r="P539" s="42"/>
      <c r="Q539" s="42"/>
      <c r="R539" s="42" t="s">
        <v>7324</v>
      </c>
      <c r="S539" s="42" t="s">
        <v>314</v>
      </c>
      <c r="T539" s="42" t="s">
        <v>3891</v>
      </c>
      <c r="U539" s="42" t="s">
        <v>7325</v>
      </c>
      <c r="V539" s="44" t="s">
        <v>3892</v>
      </c>
      <c r="W539" s="42" t="s">
        <v>3892</v>
      </c>
    </row>
    <row r="540" spans="1:23">
      <c r="A540" s="40">
        <v>30</v>
      </c>
      <c r="B540" s="41">
        <v>1651011706</v>
      </c>
      <c r="C540" s="42" t="s">
        <v>7354</v>
      </c>
      <c r="D540" s="42" t="s">
        <v>760</v>
      </c>
      <c r="E540" s="43" t="s">
        <v>8249</v>
      </c>
      <c r="F540" s="42"/>
      <c r="G540" s="42"/>
      <c r="H540" s="43"/>
      <c r="I540" s="42"/>
      <c r="J540" s="42"/>
      <c r="K540" s="42"/>
      <c r="L540" s="42"/>
      <c r="M540" s="42"/>
      <c r="N540" s="42"/>
      <c r="O540" s="42"/>
      <c r="P540" s="42"/>
      <c r="Q540" s="42"/>
      <c r="R540" s="42" t="s">
        <v>7324</v>
      </c>
      <c r="S540" s="42" t="s">
        <v>314</v>
      </c>
      <c r="T540" s="42" t="s">
        <v>3891</v>
      </c>
      <c r="U540" s="42" t="s">
        <v>7325</v>
      </c>
      <c r="V540" s="44" t="s">
        <v>3892</v>
      </c>
      <c r="W540" s="42" t="s">
        <v>3892</v>
      </c>
    </row>
    <row r="541" spans="1:23">
      <c r="A541" s="40">
        <v>31</v>
      </c>
      <c r="B541" s="41">
        <v>1451012900</v>
      </c>
      <c r="C541" s="42" t="s">
        <v>7355</v>
      </c>
      <c r="D541" s="42" t="s">
        <v>760</v>
      </c>
      <c r="E541" s="43" t="s">
        <v>8250</v>
      </c>
      <c r="F541" s="42"/>
      <c r="G541" s="42"/>
      <c r="H541" s="43"/>
      <c r="I541" s="42"/>
      <c r="J541" s="42"/>
      <c r="K541" s="42"/>
      <c r="L541" s="42"/>
      <c r="M541" s="42"/>
      <c r="N541" s="42"/>
      <c r="O541" s="42"/>
      <c r="P541" s="42"/>
      <c r="Q541" s="42"/>
      <c r="R541" s="42" t="s">
        <v>7324</v>
      </c>
      <c r="S541" s="42" t="s">
        <v>314</v>
      </c>
      <c r="T541" s="42" t="s">
        <v>3891</v>
      </c>
      <c r="U541" s="42" t="s">
        <v>7325</v>
      </c>
      <c r="V541" s="44" t="s">
        <v>3892</v>
      </c>
      <c r="W541" s="42" t="s">
        <v>3892</v>
      </c>
    </row>
    <row r="542" spans="1:23">
      <c r="A542" s="40">
        <v>32</v>
      </c>
      <c r="B542" s="41">
        <v>1451011736</v>
      </c>
      <c r="C542" s="42" t="s">
        <v>7356</v>
      </c>
      <c r="D542" s="42" t="s">
        <v>760</v>
      </c>
      <c r="E542" s="43" t="s">
        <v>8251</v>
      </c>
      <c r="F542" s="42"/>
      <c r="G542" s="42"/>
      <c r="H542" s="43"/>
      <c r="I542" s="42"/>
      <c r="J542" s="42"/>
      <c r="K542" s="42"/>
      <c r="L542" s="42"/>
      <c r="M542" s="42"/>
      <c r="N542" s="42"/>
      <c r="O542" s="42"/>
      <c r="P542" s="42"/>
      <c r="Q542" s="42"/>
      <c r="R542" s="42" t="s">
        <v>7324</v>
      </c>
      <c r="S542" s="42" t="s">
        <v>314</v>
      </c>
      <c r="T542" s="42" t="s">
        <v>3891</v>
      </c>
      <c r="U542" s="42" t="s">
        <v>7325</v>
      </c>
      <c r="V542" s="44" t="s">
        <v>3892</v>
      </c>
      <c r="W542" s="42" t="s">
        <v>3892</v>
      </c>
    </row>
    <row r="543" spans="1:23">
      <c r="A543" s="40">
        <v>33</v>
      </c>
      <c r="B543" s="41">
        <v>1551013009</v>
      </c>
      <c r="C543" s="42" t="s">
        <v>7357</v>
      </c>
      <c r="D543" s="42" t="s">
        <v>760</v>
      </c>
      <c r="E543" s="43" t="s">
        <v>8252</v>
      </c>
      <c r="F543" s="42"/>
      <c r="G543" s="42"/>
      <c r="H543" s="43"/>
      <c r="I543" s="42"/>
      <c r="J543" s="42"/>
      <c r="K543" s="42"/>
      <c r="L543" s="42"/>
      <c r="M543" s="42"/>
      <c r="N543" s="42"/>
      <c r="O543" s="42"/>
      <c r="P543" s="42"/>
      <c r="Q543" s="42"/>
      <c r="R543" s="42" t="s">
        <v>7324</v>
      </c>
      <c r="S543" s="42" t="s">
        <v>314</v>
      </c>
      <c r="T543" s="42" t="s">
        <v>3891</v>
      </c>
      <c r="U543" s="42" t="s">
        <v>7325</v>
      </c>
      <c r="V543" s="44" t="s">
        <v>3892</v>
      </c>
      <c r="W543" s="42" t="s">
        <v>3892</v>
      </c>
    </row>
    <row r="544" spans="1:23">
      <c r="A544" s="40">
        <v>34</v>
      </c>
      <c r="B544" s="41">
        <v>1451011751</v>
      </c>
      <c r="C544" s="42" t="s">
        <v>7358</v>
      </c>
      <c r="D544" s="42" t="s">
        <v>3892</v>
      </c>
      <c r="E544" s="43" t="s">
        <v>7273</v>
      </c>
      <c r="F544" s="42"/>
      <c r="G544" s="42"/>
      <c r="H544" s="43"/>
      <c r="I544" s="42"/>
      <c r="J544" s="42"/>
      <c r="K544" s="42"/>
      <c r="L544" s="42"/>
      <c r="M544" s="42"/>
      <c r="N544" s="42"/>
      <c r="O544" s="42"/>
      <c r="P544" s="42"/>
      <c r="Q544" s="42"/>
      <c r="R544" s="42" t="s">
        <v>7324</v>
      </c>
      <c r="S544" s="42" t="s">
        <v>314</v>
      </c>
      <c r="T544" s="42" t="s">
        <v>3891</v>
      </c>
      <c r="U544" s="42" t="s">
        <v>7325</v>
      </c>
      <c r="V544" s="44" t="s">
        <v>3892</v>
      </c>
      <c r="W544" s="42" t="s">
        <v>7345</v>
      </c>
    </row>
    <row r="545" spans="1:23">
      <c r="A545" s="40">
        <v>35</v>
      </c>
      <c r="B545" s="41">
        <v>1551013186</v>
      </c>
      <c r="C545" s="42" t="s">
        <v>7359</v>
      </c>
      <c r="D545" s="42" t="s">
        <v>765</v>
      </c>
      <c r="E545" s="43" t="s">
        <v>8253</v>
      </c>
      <c r="F545" s="42"/>
      <c r="G545" s="42"/>
      <c r="H545" s="43"/>
      <c r="I545" s="42"/>
      <c r="J545" s="42"/>
      <c r="K545" s="42"/>
      <c r="L545" s="42"/>
      <c r="M545" s="42"/>
      <c r="N545" s="42"/>
      <c r="O545" s="42"/>
      <c r="P545" s="42"/>
      <c r="Q545" s="42"/>
      <c r="R545" s="42" t="s">
        <v>7324</v>
      </c>
      <c r="S545" s="42" t="s">
        <v>314</v>
      </c>
      <c r="T545" s="42" t="s">
        <v>3891</v>
      </c>
      <c r="U545" s="42" t="s">
        <v>7325</v>
      </c>
      <c r="V545" s="44" t="s">
        <v>3892</v>
      </c>
      <c r="W545" s="42" t="s">
        <v>3892</v>
      </c>
    </row>
    <row r="546" spans="1:23">
      <c r="A546" s="40">
        <v>36</v>
      </c>
      <c r="B546" s="41">
        <v>1651011566</v>
      </c>
      <c r="C546" s="42" t="s">
        <v>7360</v>
      </c>
      <c r="D546" s="42" t="s">
        <v>765</v>
      </c>
      <c r="E546" s="43" t="s">
        <v>8254</v>
      </c>
      <c r="F546" s="42"/>
      <c r="G546" s="42"/>
      <c r="H546" s="43"/>
      <c r="I546" s="42"/>
      <c r="J546" s="42"/>
      <c r="K546" s="42"/>
      <c r="L546" s="42"/>
      <c r="M546" s="42"/>
      <c r="N546" s="42"/>
      <c r="O546" s="42"/>
      <c r="P546" s="42"/>
      <c r="Q546" s="42"/>
      <c r="R546" s="42" t="s">
        <v>7324</v>
      </c>
      <c r="S546" s="42" t="s">
        <v>314</v>
      </c>
      <c r="T546" s="42" t="s">
        <v>3891</v>
      </c>
      <c r="U546" s="42" t="s">
        <v>7325</v>
      </c>
      <c r="V546" s="44" t="s">
        <v>3892</v>
      </c>
      <c r="W546" s="42" t="s">
        <v>3892</v>
      </c>
    </row>
    <row r="547" spans="1:23">
      <c r="A547" s="40">
        <v>37</v>
      </c>
      <c r="B547" s="41">
        <v>1551013300</v>
      </c>
      <c r="C547" s="42" t="s">
        <v>7361</v>
      </c>
      <c r="D547" s="42" t="s">
        <v>760</v>
      </c>
      <c r="E547" s="43" t="s">
        <v>8255</v>
      </c>
      <c r="F547" s="42"/>
      <c r="G547" s="42"/>
      <c r="H547" s="43"/>
      <c r="I547" s="42"/>
      <c r="J547" s="42"/>
      <c r="K547" s="42"/>
      <c r="L547" s="42"/>
      <c r="M547" s="42"/>
      <c r="N547" s="42"/>
      <c r="O547" s="42"/>
      <c r="P547" s="42"/>
      <c r="Q547" s="42"/>
      <c r="R547" s="42" t="s">
        <v>7324</v>
      </c>
      <c r="S547" s="42" t="s">
        <v>314</v>
      </c>
      <c r="T547" s="42" t="s">
        <v>3891</v>
      </c>
      <c r="U547" s="42" t="s">
        <v>7325</v>
      </c>
      <c r="V547" s="44" t="s">
        <v>3892</v>
      </c>
      <c r="W547" s="42" t="s">
        <v>3892</v>
      </c>
    </row>
    <row r="548" spans="1:23">
      <c r="A548" s="40">
        <v>38</v>
      </c>
      <c r="B548" s="41">
        <v>1651012985</v>
      </c>
      <c r="C548" s="42" t="s">
        <v>7362</v>
      </c>
      <c r="D548" s="42" t="s">
        <v>765</v>
      </c>
      <c r="E548" s="43" t="s">
        <v>8256</v>
      </c>
      <c r="F548" s="42"/>
      <c r="G548" s="42"/>
      <c r="H548" s="43"/>
      <c r="I548" s="42"/>
      <c r="J548" s="42"/>
      <c r="K548" s="42"/>
      <c r="L548" s="42"/>
      <c r="M548" s="42"/>
      <c r="N548" s="42"/>
      <c r="O548" s="42"/>
      <c r="P548" s="42"/>
      <c r="Q548" s="42"/>
      <c r="R548" s="42" t="s">
        <v>7324</v>
      </c>
      <c r="S548" s="42" t="s">
        <v>314</v>
      </c>
      <c r="T548" s="42" t="s">
        <v>3891</v>
      </c>
      <c r="U548" s="42" t="s">
        <v>7325</v>
      </c>
      <c r="V548" s="44" t="s">
        <v>3892</v>
      </c>
      <c r="W548" s="42" t="s">
        <v>3892</v>
      </c>
    </row>
    <row r="549" spans="1:23">
      <c r="A549" s="40">
        <v>39</v>
      </c>
      <c r="B549" s="41">
        <v>1351012518</v>
      </c>
      <c r="C549" s="42" t="s">
        <v>7363</v>
      </c>
      <c r="D549" s="42" t="s">
        <v>760</v>
      </c>
      <c r="E549" s="43" t="s">
        <v>8257</v>
      </c>
      <c r="F549" s="42"/>
      <c r="G549" s="42"/>
      <c r="H549" s="43"/>
      <c r="I549" s="42"/>
      <c r="J549" s="42"/>
      <c r="K549" s="42"/>
      <c r="L549" s="42"/>
      <c r="M549" s="42"/>
      <c r="N549" s="42"/>
      <c r="O549" s="42"/>
      <c r="P549" s="42"/>
      <c r="Q549" s="42"/>
      <c r="R549" s="42" t="s">
        <v>7324</v>
      </c>
      <c r="S549" s="42" t="s">
        <v>314</v>
      </c>
      <c r="T549" s="42" t="s">
        <v>3891</v>
      </c>
      <c r="U549" s="42" t="s">
        <v>7325</v>
      </c>
      <c r="V549" s="44" t="s">
        <v>3892</v>
      </c>
      <c r="W549" s="42" t="s">
        <v>3892</v>
      </c>
    </row>
    <row r="550" spans="1:23">
      <c r="A550" s="40">
        <v>40</v>
      </c>
      <c r="B550" s="41">
        <v>1451012912</v>
      </c>
      <c r="C550" s="42" t="s">
        <v>7364</v>
      </c>
      <c r="D550" s="42" t="s">
        <v>3892</v>
      </c>
      <c r="E550" s="43" t="s">
        <v>7273</v>
      </c>
      <c r="F550" s="42"/>
      <c r="G550" s="42"/>
      <c r="H550" s="43"/>
      <c r="I550" s="42"/>
      <c r="J550" s="42"/>
      <c r="K550" s="42"/>
      <c r="L550" s="42"/>
      <c r="M550" s="42"/>
      <c r="N550" s="42"/>
      <c r="O550" s="42"/>
      <c r="P550" s="42"/>
      <c r="Q550" s="42"/>
      <c r="R550" s="42" t="s">
        <v>7324</v>
      </c>
      <c r="S550" s="42" t="s">
        <v>314</v>
      </c>
      <c r="T550" s="42" t="s">
        <v>3891</v>
      </c>
      <c r="U550" s="42" t="s">
        <v>7325</v>
      </c>
      <c r="V550" s="44" t="s">
        <v>3892</v>
      </c>
      <c r="W550" s="42" t="s">
        <v>3892</v>
      </c>
    </row>
    <row r="551" spans="1:23">
      <c r="A551" s="40">
        <v>41</v>
      </c>
      <c r="B551" s="41">
        <v>1351012523</v>
      </c>
      <c r="C551" s="42" t="s">
        <v>7365</v>
      </c>
      <c r="D551" s="42" t="s">
        <v>765</v>
      </c>
      <c r="E551" s="43" t="s">
        <v>8258</v>
      </c>
      <c r="F551" s="42"/>
      <c r="G551" s="42"/>
      <c r="H551" s="43"/>
      <c r="I551" s="42"/>
      <c r="J551" s="42"/>
      <c r="K551" s="42"/>
      <c r="L551" s="42"/>
      <c r="M551" s="42"/>
      <c r="N551" s="42"/>
      <c r="O551" s="42"/>
      <c r="P551" s="42"/>
      <c r="Q551" s="42"/>
      <c r="R551" s="42" t="s">
        <v>7324</v>
      </c>
      <c r="S551" s="42" t="s">
        <v>314</v>
      </c>
      <c r="T551" s="42" t="s">
        <v>3891</v>
      </c>
      <c r="U551" s="42" t="s">
        <v>7325</v>
      </c>
      <c r="V551" s="44" t="s">
        <v>3892</v>
      </c>
      <c r="W551" s="42" t="s">
        <v>3892</v>
      </c>
    </row>
    <row r="552" spans="1:23">
      <c r="A552" s="40">
        <v>42</v>
      </c>
      <c r="B552" s="41">
        <v>1451013401</v>
      </c>
      <c r="C552" s="42" t="s">
        <v>7366</v>
      </c>
      <c r="D552" s="42" t="s">
        <v>760</v>
      </c>
      <c r="E552" s="43" t="s">
        <v>8259</v>
      </c>
      <c r="F552" s="42"/>
      <c r="G552" s="42"/>
      <c r="H552" s="43"/>
      <c r="I552" s="42"/>
      <c r="J552" s="42"/>
      <c r="K552" s="42"/>
      <c r="L552" s="42"/>
      <c r="M552" s="42"/>
      <c r="N552" s="42"/>
      <c r="O552" s="42"/>
      <c r="P552" s="42"/>
      <c r="Q552" s="42"/>
      <c r="R552" s="42" t="s">
        <v>7324</v>
      </c>
      <c r="S552" s="42" t="s">
        <v>314</v>
      </c>
      <c r="T552" s="42" t="s">
        <v>3891</v>
      </c>
      <c r="U552" s="42" t="s">
        <v>7325</v>
      </c>
      <c r="V552" s="44" t="s">
        <v>3892</v>
      </c>
      <c r="W552" s="42" t="s">
        <v>3892</v>
      </c>
    </row>
    <row r="553" spans="1:23">
      <c r="A553" s="40">
        <v>43</v>
      </c>
      <c r="B553" s="41">
        <v>1351012529</v>
      </c>
      <c r="C553" s="42" t="s">
        <v>7367</v>
      </c>
      <c r="D553" s="42" t="s">
        <v>760</v>
      </c>
      <c r="E553" s="43" t="s">
        <v>8260</v>
      </c>
      <c r="F553" s="42"/>
      <c r="G553" s="42"/>
      <c r="H553" s="43"/>
      <c r="I553" s="42"/>
      <c r="J553" s="42"/>
      <c r="K553" s="42"/>
      <c r="L553" s="42"/>
      <c r="M553" s="42"/>
      <c r="N553" s="42"/>
      <c r="O553" s="42"/>
      <c r="P553" s="42"/>
      <c r="Q553" s="42"/>
      <c r="R553" s="42" t="s">
        <v>7324</v>
      </c>
      <c r="S553" s="42" t="s">
        <v>314</v>
      </c>
      <c r="T553" s="42" t="s">
        <v>3891</v>
      </c>
      <c r="U553" s="42" t="s">
        <v>7325</v>
      </c>
      <c r="V553" s="44" t="s">
        <v>3892</v>
      </c>
      <c r="W553" s="42" t="s">
        <v>3892</v>
      </c>
    </row>
    <row r="554" spans="1:23">
      <c r="A554" s="40">
        <v>44</v>
      </c>
      <c r="B554" s="41">
        <v>1651132884</v>
      </c>
      <c r="C554" s="42" t="s">
        <v>7368</v>
      </c>
      <c r="D554" s="42" t="s">
        <v>760</v>
      </c>
      <c r="E554" s="43" t="s">
        <v>8261</v>
      </c>
      <c r="F554" s="42"/>
      <c r="G554" s="42"/>
      <c r="H554" s="43"/>
      <c r="I554" s="42"/>
      <c r="J554" s="42"/>
      <c r="K554" s="42"/>
      <c r="L554" s="42"/>
      <c r="M554" s="42"/>
      <c r="N554" s="42"/>
      <c r="O554" s="42"/>
      <c r="P554" s="42"/>
      <c r="Q554" s="42"/>
      <c r="R554" s="42" t="s">
        <v>7324</v>
      </c>
      <c r="S554" s="42" t="s">
        <v>314</v>
      </c>
      <c r="T554" s="42" t="s">
        <v>3891</v>
      </c>
      <c r="U554" s="42" t="s">
        <v>7325</v>
      </c>
      <c r="V554" s="44" t="s">
        <v>3892</v>
      </c>
      <c r="W554" s="42" t="s">
        <v>3892</v>
      </c>
    </row>
    <row r="555" spans="1:23">
      <c r="A555" s="40">
        <v>45</v>
      </c>
      <c r="B555" s="41">
        <v>1551013274</v>
      </c>
      <c r="C555" s="42" t="s">
        <v>7369</v>
      </c>
      <c r="D555" s="42" t="s">
        <v>760</v>
      </c>
      <c r="E555" s="43" t="s">
        <v>8262</v>
      </c>
      <c r="F555" s="42"/>
      <c r="G555" s="42"/>
      <c r="H555" s="43"/>
      <c r="I555" s="42"/>
      <c r="J555" s="42"/>
      <c r="K555" s="42"/>
      <c r="L555" s="42"/>
      <c r="M555" s="42"/>
      <c r="N555" s="42"/>
      <c r="O555" s="42"/>
      <c r="P555" s="42"/>
      <c r="Q555" s="42"/>
      <c r="R555" s="42" t="s">
        <v>7324</v>
      </c>
      <c r="S555" s="42" t="s">
        <v>314</v>
      </c>
      <c r="T555" s="42" t="s">
        <v>3891</v>
      </c>
      <c r="U555" s="42" t="s">
        <v>7325</v>
      </c>
      <c r="V555" s="44" t="s">
        <v>3892</v>
      </c>
      <c r="W555" s="42" t="s">
        <v>3892</v>
      </c>
    </row>
    <row r="556" spans="1:23">
      <c r="A556" s="40">
        <v>46</v>
      </c>
      <c r="B556" s="41">
        <v>1651042119</v>
      </c>
      <c r="C556" s="42" t="s">
        <v>7370</v>
      </c>
      <c r="D556" s="42" t="s">
        <v>760</v>
      </c>
      <c r="E556" s="43" t="s">
        <v>8263</v>
      </c>
      <c r="F556" s="42"/>
      <c r="G556" s="42"/>
      <c r="H556" s="43"/>
      <c r="I556" s="42"/>
      <c r="J556" s="42"/>
      <c r="K556" s="42"/>
      <c r="L556" s="42"/>
      <c r="M556" s="42"/>
      <c r="N556" s="42"/>
      <c r="O556" s="42"/>
      <c r="P556" s="42"/>
      <c r="Q556" s="42"/>
      <c r="R556" s="42" t="s">
        <v>7324</v>
      </c>
      <c r="S556" s="42" t="s">
        <v>314</v>
      </c>
      <c r="T556" s="42" t="s">
        <v>3891</v>
      </c>
      <c r="U556" s="42" t="s">
        <v>7325</v>
      </c>
      <c r="V556" s="44" t="s">
        <v>3892</v>
      </c>
      <c r="W556" s="42" t="s">
        <v>3892</v>
      </c>
    </row>
    <row r="557" spans="1:23">
      <c r="A557" s="40">
        <v>47</v>
      </c>
      <c r="B557" s="41">
        <v>1851012851</v>
      </c>
      <c r="C557" s="42" t="s">
        <v>352</v>
      </c>
      <c r="D557" s="42" t="s">
        <v>3892</v>
      </c>
      <c r="E557" s="43" t="s">
        <v>7273</v>
      </c>
      <c r="F557" s="42"/>
      <c r="G557" s="42"/>
      <c r="H557" s="43"/>
      <c r="I557" s="42"/>
      <c r="J557" s="42"/>
      <c r="K557" s="42"/>
      <c r="L557" s="42"/>
      <c r="M557" s="42"/>
      <c r="N557" s="42"/>
      <c r="O557" s="42"/>
      <c r="P557" s="42"/>
      <c r="Q557" s="42"/>
      <c r="R557" s="42" t="s">
        <v>7324</v>
      </c>
      <c r="S557" s="42" t="s">
        <v>314</v>
      </c>
      <c r="T557" s="42" t="s">
        <v>3891</v>
      </c>
      <c r="U557" s="42" t="s">
        <v>7325</v>
      </c>
      <c r="V557" s="44" t="s">
        <v>3892</v>
      </c>
      <c r="W557" s="42" t="s">
        <v>3892</v>
      </c>
    </row>
    <row r="558" spans="1:23">
      <c r="A558" s="40">
        <v>48</v>
      </c>
      <c r="B558" s="41">
        <v>1451011729</v>
      </c>
      <c r="C558" s="42" t="s">
        <v>7371</v>
      </c>
      <c r="D558" s="42" t="s">
        <v>760</v>
      </c>
      <c r="E558" s="43" t="s">
        <v>8264</v>
      </c>
      <c r="F558" s="42"/>
      <c r="G558" s="42"/>
      <c r="H558" s="43"/>
      <c r="I558" s="42"/>
      <c r="J558" s="42"/>
      <c r="K558" s="42"/>
      <c r="L558" s="42"/>
      <c r="M558" s="42"/>
      <c r="N558" s="42"/>
      <c r="O558" s="42"/>
      <c r="P558" s="42"/>
      <c r="Q558" s="42"/>
      <c r="R558" s="42" t="s">
        <v>7324</v>
      </c>
      <c r="S558" s="42" t="s">
        <v>314</v>
      </c>
      <c r="T558" s="42" t="s">
        <v>3891</v>
      </c>
      <c r="U558" s="42" t="s">
        <v>7325</v>
      </c>
      <c r="V558" s="44" t="s">
        <v>3892</v>
      </c>
      <c r="W558" s="42" t="s">
        <v>3892</v>
      </c>
    </row>
    <row r="559" spans="1:23">
      <c r="A559" s="40">
        <v>49</v>
      </c>
      <c r="B559" s="41">
        <v>1651011507</v>
      </c>
      <c r="C559" s="42" t="s">
        <v>7372</v>
      </c>
      <c r="D559" s="42" t="s">
        <v>760</v>
      </c>
      <c r="E559" s="43" t="s">
        <v>8265</v>
      </c>
      <c r="F559" s="42"/>
      <c r="G559" s="42"/>
      <c r="H559" s="43"/>
      <c r="I559" s="42"/>
      <c r="J559" s="42"/>
      <c r="K559" s="42"/>
      <c r="L559" s="42"/>
      <c r="M559" s="42"/>
      <c r="N559" s="42"/>
      <c r="O559" s="42"/>
      <c r="P559" s="42"/>
      <c r="Q559" s="42"/>
      <c r="R559" s="42" t="s">
        <v>7324</v>
      </c>
      <c r="S559" s="42" t="s">
        <v>314</v>
      </c>
      <c r="T559" s="42" t="s">
        <v>3891</v>
      </c>
      <c r="U559" s="42" t="s">
        <v>7325</v>
      </c>
      <c r="V559" s="44" t="s">
        <v>3892</v>
      </c>
      <c r="W559" s="42" t="s">
        <v>3892</v>
      </c>
    </row>
    <row r="560" spans="1:23">
      <c r="A560" s="40">
        <v>50</v>
      </c>
      <c r="B560" s="41">
        <v>1651012039</v>
      </c>
      <c r="C560" s="42" t="s">
        <v>7373</v>
      </c>
      <c r="D560" s="42" t="s">
        <v>760</v>
      </c>
      <c r="E560" s="43" t="s">
        <v>8266</v>
      </c>
      <c r="F560" s="42"/>
      <c r="G560" s="42"/>
      <c r="H560" s="43"/>
      <c r="I560" s="42"/>
      <c r="J560" s="42"/>
      <c r="K560" s="42"/>
      <c r="L560" s="42"/>
      <c r="M560" s="42"/>
      <c r="N560" s="42"/>
      <c r="O560" s="42"/>
      <c r="P560" s="42"/>
      <c r="Q560" s="42"/>
      <c r="R560" s="42" t="s">
        <v>7324</v>
      </c>
      <c r="S560" s="42" t="s">
        <v>314</v>
      </c>
      <c r="T560" s="42" t="s">
        <v>3891</v>
      </c>
      <c r="U560" s="42" t="s">
        <v>7325</v>
      </c>
      <c r="V560" s="44" t="s">
        <v>3892</v>
      </c>
      <c r="W560" s="42" t="s">
        <v>3892</v>
      </c>
    </row>
    <row r="561" spans="1:23">
      <c r="A561" s="40">
        <v>51</v>
      </c>
      <c r="B561" s="41">
        <v>1651012097</v>
      </c>
      <c r="C561" s="42" t="s">
        <v>7374</v>
      </c>
      <c r="D561" s="42" t="s">
        <v>760</v>
      </c>
      <c r="E561" s="43" t="s">
        <v>8267</v>
      </c>
      <c r="F561" s="42"/>
      <c r="G561" s="42"/>
      <c r="H561" s="43"/>
      <c r="I561" s="42"/>
      <c r="J561" s="42"/>
      <c r="K561" s="42"/>
      <c r="L561" s="42"/>
      <c r="M561" s="42"/>
      <c r="N561" s="42"/>
      <c r="O561" s="42"/>
      <c r="P561" s="42"/>
      <c r="Q561" s="42"/>
      <c r="R561" s="42" t="s">
        <v>7324</v>
      </c>
      <c r="S561" s="42" t="s">
        <v>314</v>
      </c>
      <c r="T561" s="42" t="s">
        <v>3891</v>
      </c>
      <c r="U561" s="42" t="s">
        <v>7325</v>
      </c>
      <c r="V561" s="44" t="s">
        <v>3892</v>
      </c>
      <c r="W561" s="42" t="s">
        <v>3892</v>
      </c>
    </row>
    <row r="562" spans="1:23">
      <c r="A562" s="40">
        <v>52</v>
      </c>
      <c r="B562" s="41">
        <v>1451011741</v>
      </c>
      <c r="C562" s="42" t="s">
        <v>7375</v>
      </c>
      <c r="D562" s="42" t="s">
        <v>760</v>
      </c>
      <c r="E562" s="43" t="s">
        <v>8268</v>
      </c>
      <c r="F562" s="42"/>
      <c r="G562" s="42"/>
      <c r="H562" s="43"/>
      <c r="I562" s="42"/>
      <c r="J562" s="42"/>
      <c r="K562" s="42"/>
      <c r="L562" s="42"/>
      <c r="M562" s="42"/>
      <c r="N562" s="42"/>
      <c r="O562" s="42"/>
      <c r="P562" s="42"/>
      <c r="Q562" s="42"/>
      <c r="R562" s="42" t="s">
        <v>7324</v>
      </c>
      <c r="S562" s="42" t="s">
        <v>314</v>
      </c>
      <c r="T562" s="42" t="s">
        <v>3891</v>
      </c>
      <c r="U562" s="42" t="s">
        <v>7325</v>
      </c>
      <c r="V562" s="44" t="s">
        <v>3892</v>
      </c>
      <c r="W562" s="42" t="s">
        <v>3892</v>
      </c>
    </row>
    <row r="563" spans="1:23">
      <c r="A563" s="40">
        <v>53</v>
      </c>
      <c r="B563" s="41">
        <v>1551013313</v>
      </c>
      <c r="C563" s="42" t="s">
        <v>7376</v>
      </c>
      <c r="D563" s="42" t="s">
        <v>765</v>
      </c>
      <c r="E563" s="43" t="s">
        <v>8269</v>
      </c>
      <c r="F563" s="42"/>
      <c r="G563" s="42"/>
      <c r="H563" s="43"/>
      <c r="I563" s="42"/>
      <c r="J563" s="42"/>
      <c r="K563" s="42"/>
      <c r="L563" s="42"/>
      <c r="M563" s="42"/>
      <c r="N563" s="42"/>
      <c r="O563" s="42"/>
      <c r="P563" s="42"/>
      <c r="Q563" s="42"/>
      <c r="R563" s="42" t="s">
        <v>7324</v>
      </c>
      <c r="S563" s="42" t="s">
        <v>314</v>
      </c>
      <c r="T563" s="42" t="s">
        <v>3891</v>
      </c>
      <c r="U563" s="42" t="s">
        <v>7325</v>
      </c>
      <c r="V563" s="44" t="s">
        <v>3892</v>
      </c>
      <c r="W563" s="42" t="s">
        <v>3892</v>
      </c>
    </row>
    <row r="564" spans="1:23">
      <c r="A564" s="40">
        <v>54</v>
      </c>
      <c r="B564" s="41">
        <v>1751010585</v>
      </c>
      <c r="C564" s="42" t="s">
        <v>7377</v>
      </c>
      <c r="D564" s="42" t="s">
        <v>760</v>
      </c>
      <c r="E564" s="43" t="s">
        <v>8270</v>
      </c>
      <c r="F564" s="42"/>
      <c r="G564" s="42"/>
      <c r="H564" s="43"/>
      <c r="I564" s="42"/>
      <c r="J564" s="42"/>
      <c r="K564" s="42"/>
      <c r="L564" s="42"/>
      <c r="M564" s="42"/>
      <c r="N564" s="42"/>
      <c r="O564" s="42"/>
      <c r="P564" s="42"/>
      <c r="Q564" s="42"/>
      <c r="R564" s="42" t="s">
        <v>7324</v>
      </c>
      <c r="S564" s="42" t="s">
        <v>314</v>
      </c>
      <c r="T564" s="42" t="s">
        <v>3891</v>
      </c>
      <c r="U564" s="42" t="s">
        <v>7325</v>
      </c>
      <c r="V564" s="44" t="s">
        <v>3892</v>
      </c>
      <c r="W564" s="42" t="s">
        <v>3892</v>
      </c>
    </row>
    <row r="565" spans="1:23">
      <c r="A565" s="40">
        <v>55</v>
      </c>
      <c r="B565" s="41">
        <v>1551012983</v>
      </c>
      <c r="C565" s="42" t="s">
        <v>7378</v>
      </c>
      <c r="D565" s="42" t="s">
        <v>760</v>
      </c>
      <c r="E565" s="43" t="s">
        <v>8271</v>
      </c>
      <c r="F565" s="42"/>
      <c r="G565" s="42"/>
      <c r="H565" s="43"/>
      <c r="I565" s="42"/>
      <c r="J565" s="42"/>
      <c r="K565" s="42"/>
      <c r="L565" s="42"/>
      <c r="M565" s="42"/>
      <c r="N565" s="42"/>
      <c r="O565" s="42"/>
      <c r="P565" s="42"/>
      <c r="Q565" s="42"/>
      <c r="R565" s="42" t="s">
        <v>7324</v>
      </c>
      <c r="S565" s="42" t="s">
        <v>314</v>
      </c>
      <c r="T565" s="42" t="s">
        <v>3891</v>
      </c>
      <c r="U565" s="42" t="s">
        <v>7325</v>
      </c>
      <c r="V565" s="44" t="s">
        <v>3892</v>
      </c>
      <c r="W565" s="42" t="s">
        <v>3892</v>
      </c>
    </row>
    <row r="566" spans="1:23">
      <c r="A566" s="40">
        <v>56</v>
      </c>
      <c r="B566" s="41">
        <v>1451011523</v>
      </c>
      <c r="C566" s="42" t="s">
        <v>7379</v>
      </c>
      <c r="D566" s="42" t="s">
        <v>765</v>
      </c>
      <c r="E566" s="43" t="s">
        <v>8272</v>
      </c>
      <c r="F566" s="42"/>
      <c r="G566" s="42"/>
      <c r="H566" s="43"/>
      <c r="I566" s="42"/>
      <c r="J566" s="42"/>
      <c r="K566" s="42"/>
      <c r="L566" s="42"/>
      <c r="M566" s="42"/>
      <c r="N566" s="42"/>
      <c r="O566" s="42"/>
      <c r="P566" s="42"/>
      <c r="Q566" s="42"/>
      <c r="R566" s="42" t="s">
        <v>7324</v>
      </c>
      <c r="S566" s="42" t="s">
        <v>314</v>
      </c>
      <c r="T566" s="42" t="s">
        <v>3891</v>
      </c>
      <c r="U566" s="42" t="s">
        <v>7325</v>
      </c>
      <c r="V566" s="44" t="s">
        <v>3892</v>
      </c>
      <c r="W566" s="42" t="s">
        <v>3892</v>
      </c>
    </row>
    <row r="567" spans="1:23">
      <c r="A567" s="40">
        <v>57</v>
      </c>
      <c r="B567" s="41">
        <v>1351013034</v>
      </c>
      <c r="C567" s="42" t="s">
        <v>7380</v>
      </c>
      <c r="D567" s="42" t="s">
        <v>760</v>
      </c>
      <c r="E567" s="43" t="s">
        <v>8273</v>
      </c>
      <c r="F567" s="42"/>
      <c r="G567" s="42"/>
      <c r="H567" s="43"/>
      <c r="I567" s="42"/>
      <c r="J567" s="42"/>
      <c r="K567" s="42"/>
      <c r="L567" s="42"/>
      <c r="M567" s="42"/>
      <c r="N567" s="42"/>
      <c r="O567" s="42"/>
      <c r="P567" s="42"/>
      <c r="Q567" s="42"/>
      <c r="R567" s="42" t="s">
        <v>7324</v>
      </c>
      <c r="S567" s="42" t="s">
        <v>314</v>
      </c>
      <c r="T567" s="42" t="s">
        <v>3891</v>
      </c>
      <c r="U567" s="42" t="s">
        <v>7325</v>
      </c>
      <c r="V567" s="44" t="s">
        <v>3892</v>
      </c>
      <c r="W567" s="42" t="s">
        <v>3892</v>
      </c>
    </row>
    <row r="568" spans="1:23">
      <c r="A568" s="40">
        <v>58</v>
      </c>
      <c r="B568" s="41">
        <v>1451013071</v>
      </c>
      <c r="C568" s="42" t="s">
        <v>7381</v>
      </c>
      <c r="D568" s="42" t="s">
        <v>760</v>
      </c>
      <c r="E568" s="43" t="s">
        <v>8274</v>
      </c>
      <c r="F568" s="42"/>
      <c r="G568" s="42"/>
      <c r="H568" s="43"/>
      <c r="I568" s="42"/>
      <c r="J568" s="42"/>
      <c r="K568" s="42"/>
      <c r="L568" s="42"/>
      <c r="M568" s="42"/>
      <c r="N568" s="42"/>
      <c r="O568" s="42"/>
      <c r="P568" s="42"/>
      <c r="Q568" s="42"/>
      <c r="R568" s="42" t="s">
        <v>7324</v>
      </c>
      <c r="S568" s="42" t="s">
        <v>314</v>
      </c>
      <c r="T568" s="42" t="s">
        <v>3891</v>
      </c>
      <c r="U568" s="42" t="s">
        <v>7325</v>
      </c>
      <c r="V568" s="44" t="s">
        <v>3892</v>
      </c>
      <c r="W568" s="42" t="s">
        <v>3892</v>
      </c>
    </row>
    <row r="569" spans="1:23">
      <c r="A569" s="40">
        <v>59</v>
      </c>
      <c r="B569" s="41">
        <v>1351012558</v>
      </c>
      <c r="C569" s="42" t="s">
        <v>7382</v>
      </c>
      <c r="D569" s="42" t="s">
        <v>760</v>
      </c>
      <c r="E569" s="43" t="s">
        <v>8275</v>
      </c>
      <c r="F569" s="42"/>
      <c r="G569" s="42"/>
      <c r="H569" s="43"/>
      <c r="I569" s="42"/>
      <c r="J569" s="42"/>
      <c r="K569" s="42"/>
      <c r="L569" s="42"/>
      <c r="M569" s="42"/>
      <c r="N569" s="42"/>
      <c r="O569" s="42"/>
      <c r="P569" s="42"/>
      <c r="Q569" s="42"/>
      <c r="R569" s="42" t="s">
        <v>7324</v>
      </c>
      <c r="S569" s="42" t="s">
        <v>314</v>
      </c>
      <c r="T569" s="42" t="s">
        <v>3891</v>
      </c>
      <c r="U569" s="42" t="s">
        <v>7325</v>
      </c>
      <c r="V569" s="44" t="s">
        <v>3892</v>
      </c>
      <c r="W569" s="42" t="s">
        <v>3892</v>
      </c>
    </row>
    <row r="570" spans="1:23">
      <c r="A570" s="40">
        <v>60</v>
      </c>
      <c r="B570" s="41">
        <v>1351012560</v>
      </c>
      <c r="C570" s="42" t="s">
        <v>7383</v>
      </c>
      <c r="D570" s="42" t="s">
        <v>760</v>
      </c>
      <c r="E570" s="43" t="s">
        <v>8276</v>
      </c>
      <c r="F570" s="42"/>
      <c r="G570" s="42"/>
      <c r="H570" s="43"/>
      <c r="I570" s="42"/>
      <c r="J570" s="42"/>
      <c r="K570" s="42"/>
      <c r="L570" s="42"/>
      <c r="M570" s="42"/>
      <c r="N570" s="42"/>
      <c r="O570" s="42"/>
      <c r="P570" s="42"/>
      <c r="Q570" s="42"/>
      <c r="R570" s="42" t="s">
        <v>7324</v>
      </c>
      <c r="S570" s="42" t="s">
        <v>314</v>
      </c>
      <c r="T570" s="42" t="s">
        <v>3891</v>
      </c>
      <c r="U570" s="42" t="s">
        <v>7325</v>
      </c>
      <c r="V570" s="44" t="s">
        <v>3892</v>
      </c>
      <c r="W570" s="42" t="s">
        <v>3892</v>
      </c>
    </row>
    <row r="571" spans="1:23">
      <c r="A571" s="40">
        <v>61</v>
      </c>
      <c r="B571" s="41">
        <v>1351012562</v>
      </c>
      <c r="C571" s="42" t="s">
        <v>7384</v>
      </c>
      <c r="D571" s="42" t="s">
        <v>760</v>
      </c>
      <c r="E571" s="43" t="s">
        <v>8277</v>
      </c>
      <c r="F571" s="42"/>
      <c r="G571" s="42"/>
      <c r="H571" s="43"/>
      <c r="I571" s="42"/>
      <c r="J571" s="42"/>
      <c r="K571" s="42"/>
      <c r="L571" s="42"/>
      <c r="M571" s="42"/>
      <c r="N571" s="42"/>
      <c r="O571" s="42"/>
      <c r="P571" s="42"/>
      <c r="Q571" s="42"/>
      <c r="R571" s="42" t="s">
        <v>7324</v>
      </c>
      <c r="S571" s="42" t="s">
        <v>314</v>
      </c>
      <c r="T571" s="42" t="s">
        <v>3891</v>
      </c>
      <c r="U571" s="42" t="s">
        <v>7325</v>
      </c>
      <c r="V571" s="44" t="s">
        <v>3892</v>
      </c>
      <c r="W571" s="42" t="s">
        <v>3892</v>
      </c>
    </row>
    <row r="572" spans="1:23">
      <c r="A572" s="40">
        <v>62</v>
      </c>
      <c r="B572" s="41">
        <v>1651012858</v>
      </c>
      <c r="C572" s="42" t="s">
        <v>7385</v>
      </c>
      <c r="D572" s="42" t="s">
        <v>760</v>
      </c>
      <c r="E572" s="43" t="s">
        <v>8278</v>
      </c>
      <c r="F572" s="42"/>
      <c r="G572" s="42"/>
      <c r="H572" s="43"/>
      <c r="I572" s="42"/>
      <c r="J572" s="42"/>
      <c r="K572" s="42"/>
      <c r="L572" s="42"/>
      <c r="M572" s="42"/>
      <c r="N572" s="42"/>
      <c r="O572" s="42"/>
      <c r="P572" s="42"/>
      <c r="Q572" s="42"/>
      <c r="R572" s="42" t="s">
        <v>7324</v>
      </c>
      <c r="S572" s="42" t="s">
        <v>314</v>
      </c>
      <c r="T572" s="42" t="s">
        <v>3891</v>
      </c>
      <c r="U572" s="42" t="s">
        <v>7325</v>
      </c>
      <c r="V572" s="44" t="s">
        <v>3892</v>
      </c>
      <c r="W572" s="42" t="s">
        <v>3892</v>
      </c>
    </row>
    <row r="573" spans="1:23">
      <c r="A573" s="40">
        <v>63</v>
      </c>
      <c r="B573" s="41">
        <v>1651012972</v>
      </c>
      <c r="C573" s="42" t="s">
        <v>7386</v>
      </c>
      <c r="D573" s="42" t="s">
        <v>760</v>
      </c>
      <c r="E573" s="43" t="s">
        <v>8279</v>
      </c>
      <c r="F573" s="42"/>
      <c r="G573" s="42"/>
      <c r="H573" s="43"/>
      <c r="I573" s="42"/>
      <c r="J573" s="42"/>
      <c r="K573" s="42"/>
      <c r="L573" s="42"/>
      <c r="M573" s="42"/>
      <c r="N573" s="42"/>
      <c r="O573" s="42"/>
      <c r="P573" s="42"/>
      <c r="Q573" s="42"/>
      <c r="R573" s="42" t="s">
        <v>7324</v>
      </c>
      <c r="S573" s="42" t="s">
        <v>314</v>
      </c>
      <c r="T573" s="42" t="s">
        <v>3891</v>
      </c>
      <c r="U573" s="42" t="s">
        <v>7325</v>
      </c>
      <c r="V573" s="44" t="s">
        <v>3892</v>
      </c>
      <c r="W573" s="42" t="s">
        <v>3892</v>
      </c>
    </row>
    <row r="574" spans="1:23">
      <c r="A574" s="40">
        <v>64</v>
      </c>
      <c r="B574" s="41">
        <v>1751010288</v>
      </c>
      <c r="C574" s="42" t="s">
        <v>7387</v>
      </c>
      <c r="D574" s="42" t="s">
        <v>760</v>
      </c>
      <c r="E574" s="43" t="s">
        <v>8280</v>
      </c>
      <c r="F574" s="42"/>
      <c r="G574" s="42"/>
      <c r="H574" s="43"/>
      <c r="I574" s="42"/>
      <c r="J574" s="42"/>
      <c r="K574" s="42"/>
      <c r="L574" s="42"/>
      <c r="M574" s="42"/>
      <c r="N574" s="42"/>
      <c r="O574" s="42"/>
      <c r="P574" s="42"/>
      <c r="Q574" s="42"/>
      <c r="R574" s="42" t="s">
        <v>7324</v>
      </c>
      <c r="S574" s="42" t="s">
        <v>314</v>
      </c>
      <c r="T574" s="42" t="s">
        <v>3891</v>
      </c>
      <c r="U574" s="42" t="s">
        <v>7325</v>
      </c>
      <c r="V574" s="44" t="s">
        <v>3892</v>
      </c>
      <c r="W574" s="42" t="s">
        <v>3892</v>
      </c>
    </row>
    <row r="575" spans="1:23">
      <c r="A575" s="40">
        <v>65</v>
      </c>
      <c r="B575" s="41">
        <v>1551013212</v>
      </c>
      <c r="C575" s="42" t="s">
        <v>7388</v>
      </c>
      <c r="D575" s="42" t="s">
        <v>760</v>
      </c>
      <c r="E575" s="43" t="s">
        <v>8281</v>
      </c>
      <c r="F575" s="42"/>
      <c r="G575" s="42"/>
      <c r="H575" s="43"/>
      <c r="I575" s="42"/>
      <c r="J575" s="42"/>
      <c r="K575" s="42"/>
      <c r="L575" s="42"/>
      <c r="M575" s="42"/>
      <c r="N575" s="42"/>
      <c r="O575" s="42"/>
      <c r="P575" s="42"/>
      <c r="Q575" s="42"/>
      <c r="R575" s="42" t="s">
        <v>7324</v>
      </c>
      <c r="S575" s="42" t="s">
        <v>314</v>
      </c>
      <c r="T575" s="42" t="s">
        <v>3891</v>
      </c>
      <c r="U575" s="42" t="s">
        <v>7325</v>
      </c>
      <c r="V575" s="44" t="s">
        <v>3892</v>
      </c>
      <c r="W575" s="42" t="s">
        <v>3892</v>
      </c>
    </row>
    <row r="576" spans="1:23">
      <c r="A576" s="40">
        <v>66</v>
      </c>
      <c r="B576" s="41">
        <v>1651012078</v>
      </c>
      <c r="C576" s="42" t="s">
        <v>7389</v>
      </c>
      <c r="D576" s="42" t="s">
        <v>760</v>
      </c>
      <c r="E576" s="43" t="s">
        <v>8282</v>
      </c>
      <c r="F576" s="42"/>
      <c r="G576" s="42"/>
      <c r="H576" s="43"/>
      <c r="I576" s="42"/>
      <c r="J576" s="42"/>
      <c r="K576" s="42"/>
      <c r="L576" s="42"/>
      <c r="M576" s="42"/>
      <c r="N576" s="42"/>
      <c r="O576" s="42"/>
      <c r="P576" s="42"/>
      <c r="Q576" s="42"/>
      <c r="R576" s="42" t="s">
        <v>7324</v>
      </c>
      <c r="S576" s="42" t="s">
        <v>314</v>
      </c>
      <c r="T576" s="42" t="s">
        <v>3891</v>
      </c>
      <c r="U576" s="42" t="s">
        <v>7325</v>
      </c>
      <c r="V576" s="44" t="s">
        <v>3892</v>
      </c>
      <c r="W576" s="42" t="s">
        <v>3892</v>
      </c>
    </row>
    <row r="577" spans="1:23">
      <c r="A577" s="40">
        <v>67</v>
      </c>
      <c r="B577" s="41">
        <v>1651011562</v>
      </c>
      <c r="C577" s="42" t="s">
        <v>7390</v>
      </c>
      <c r="D577" s="42" t="s">
        <v>760</v>
      </c>
      <c r="E577" s="43" t="s">
        <v>8283</v>
      </c>
      <c r="F577" s="42"/>
      <c r="G577" s="42"/>
      <c r="H577" s="43"/>
      <c r="I577" s="42"/>
      <c r="J577" s="42"/>
      <c r="K577" s="42"/>
      <c r="L577" s="42"/>
      <c r="M577" s="42"/>
      <c r="N577" s="42"/>
      <c r="O577" s="42"/>
      <c r="P577" s="42"/>
      <c r="Q577" s="42"/>
      <c r="R577" s="42" t="s">
        <v>7324</v>
      </c>
      <c r="S577" s="42" t="s">
        <v>314</v>
      </c>
      <c r="T577" s="42" t="s">
        <v>3891</v>
      </c>
      <c r="U577" s="42" t="s">
        <v>7325</v>
      </c>
      <c r="V577" s="44" t="s">
        <v>3892</v>
      </c>
      <c r="W577" s="42" t="s">
        <v>3892</v>
      </c>
    </row>
    <row r="578" spans="1:23">
      <c r="A578" s="40">
        <v>68</v>
      </c>
      <c r="B578" s="41">
        <v>1651012846</v>
      </c>
      <c r="C578" s="42" t="s">
        <v>7391</v>
      </c>
      <c r="D578" s="42" t="s">
        <v>760</v>
      </c>
      <c r="E578" s="43" t="s">
        <v>8284</v>
      </c>
      <c r="F578" s="42"/>
      <c r="G578" s="42"/>
      <c r="H578" s="43"/>
      <c r="I578" s="42"/>
      <c r="J578" s="42"/>
      <c r="K578" s="42"/>
      <c r="L578" s="42"/>
      <c r="M578" s="42"/>
      <c r="N578" s="42"/>
      <c r="O578" s="42"/>
      <c r="P578" s="42"/>
      <c r="Q578" s="42"/>
      <c r="R578" s="42" t="s">
        <v>7324</v>
      </c>
      <c r="S578" s="42" t="s">
        <v>314</v>
      </c>
      <c r="T578" s="42" t="s">
        <v>3891</v>
      </c>
      <c r="U578" s="42" t="s">
        <v>7325</v>
      </c>
      <c r="V578" s="44" t="s">
        <v>3892</v>
      </c>
      <c r="W578" s="42" t="s">
        <v>3892</v>
      </c>
    </row>
    <row r="579" spans="1:23">
      <c r="A579" s="40">
        <v>69</v>
      </c>
      <c r="B579" s="41">
        <v>1351012573</v>
      </c>
      <c r="C579" s="42" t="s">
        <v>7392</v>
      </c>
      <c r="D579" s="42" t="s">
        <v>3892</v>
      </c>
      <c r="E579" s="43" t="s">
        <v>7273</v>
      </c>
      <c r="F579" s="42"/>
      <c r="G579" s="42"/>
      <c r="H579" s="43"/>
      <c r="I579" s="42"/>
      <c r="J579" s="42"/>
      <c r="K579" s="42"/>
      <c r="L579" s="42"/>
      <c r="M579" s="42"/>
      <c r="N579" s="42"/>
      <c r="O579" s="42"/>
      <c r="P579" s="42"/>
      <c r="Q579" s="42"/>
      <c r="R579" s="42" t="s">
        <v>7324</v>
      </c>
      <c r="S579" s="42" t="s">
        <v>314</v>
      </c>
      <c r="T579" s="42" t="s">
        <v>3891</v>
      </c>
      <c r="U579" s="42" t="s">
        <v>7325</v>
      </c>
      <c r="V579" s="44" t="s">
        <v>3892</v>
      </c>
      <c r="W579" s="42" t="s">
        <v>7345</v>
      </c>
    </row>
    <row r="580" spans="1:23">
      <c r="A580" s="40">
        <v>70</v>
      </c>
      <c r="B580" s="41">
        <v>1651012859</v>
      </c>
      <c r="C580" s="42" t="s">
        <v>7393</v>
      </c>
      <c r="D580" s="42" t="s">
        <v>3892</v>
      </c>
      <c r="E580" s="43" t="s">
        <v>7273</v>
      </c>
      <c r="F580" s="42"/>
      <c r="G580" s="42"/>
      <c r="H580" s="43"/>
      <c r="I580" s="42"/>
      <c r="J580" s="42"/>
      <c r="K580" s="42"/>
      <c r="L580" s="42"/>
      <c r="M580" s="42"/>
      <c r="N580" s="42"/>
      <c r="O580" s="42"/>
      <c r="P580" s="42"/>
      <c r="Q580" s="42"/>
      <c r="R580" s="42" t="s">
        <v>7324</v>
      </c>
      <c r="S580" s="42" t="s">
        <v>314</v>
      </c>
      <c r="T580" s="42" t="s">
        <v>3891</v>
      </c>
      <c r="U580" s="42" t="s">
        <v>7325</v>
      </c>
      <c r="V580" s="44" t="s">
        <v>3892</v>
      </c>
      <c r="W580" s="42" t="s">
        <v>7345</v>
      </c>
    </row>
    <row r="581" spans="1:23">
      <c r="A581" s="40">
        <v>71</v>
      </c>
      <c r="B581" s="41">
        <v>1551012852</v>
      </c>
      <c r="C581" s="42" t="s">
        <v>7394</v>
      </c>
      <c r="D581" s="42" t="s">
        <v>760</v>
      </c>
      <c r="E581" s="43" t="s">
        <v>8285</v>
      </c>
      <c r="F581" s="42"/>
      <c r="G581" s="42"/>
      <c r="H581" s="43"/>
      <c r="I581" s="42"/>
      <c r="J581" s="42"/>
      <c r="K581" s="42"/>
      <c r="L581" s="42"/>
      <c r="M581" s="42"/>
      <c r="N581" s="42"/>
      <c r="O581" s="42"/>
      <c r="P581" s="42"/>
      <c r="Q581" s="42"/>
      <c r="R581" s="42" t="s">
        <v>7324</v>
      </c>
      <c r="S581" s="42" t="s">
        <v>314</v>
      </c>
      <c r="T581" s="42" t="s">
        <v>3891</v>
      </c>
      <c r="U581" s="42" t="s">
        <v>7325</v>
      </c>
      <c r="V581" s="44" t="s">
        <v>3892</v>
      </c>
      <c r="W581" s="42" t="s">
        <v>3892</v>
      </c>
    </row>
    <row r="582" spans="1:23">
      <c r="A582" s="40">
        <v>72</v>
      </c>
      <c r="B582" s="41">
        <v>1651012844</v>
      </c>
      <c r="C582" s="42" t="s">
        <v>7395</v>
      </c>
      <c r="D582" s="42" t="s">
        <v>765</v>
      </c>
      <c r="E582" s="43" t="s">
        <v>8286</v>
      </c>
      <c r="F582" s="42"/>
      <c r="G582" s="42"/>
      <c r="H582" s="43"/>
      <c r="I582" s="42"/>
      <c r="J582" s="42"/>
      <c r="K582" s="42"/>
      <c r="L582" s="42"/>
      <c r="M582" s="42"/>
      <c r="N582" s="42"/>
      <c r="O582" s="42"/>
      <c r="P582" s="42"/>
      <c r="Q582" s="42"/>
      <c r="R582" s="42" t="s">
        <v>7324</v>
      </c>
      <c r="S582" s="42" t="s">
        <v>314</v>
      </c>
      <c r="T582" s="42" t="s">
        <v>3891</v>
      </c>
      <c r="U582" s="42" t="s">
        <v>7325</v>
      </c>
      <c r="V582" s="44" t="s">
        <v>3892</v>
      </c>
      <c r="W582" s="42" t="s">
        <v>3892</v>
      </c>
    </row>
    <row r="583" spans="1:23">
      <c r="A583" s="40">
        <v>73</v>
      </c>
      <c r="B583" s="41">
        <v>1551012862</v>
      </c>
      <c r="C583" s="42" t="s">
        <v>7396</v>
      </c>
      <c r="D583" s="42" t="s">
        <v>760</v>
      </c>
      <c r="E583" s="43" t="s">
        <v>8287</v>
      </c>
      <c r="F583" s="42"/>
      <c r="G583" s="42"/>
      <c r="H583" s="43"/>
      <c r="I583" s="42"/>
      <c r="J583" s="42"/>
      <c r="K583" s="42"/>
      <c r="L583" s="42"/>
      <c r="M583" s="42"/>
      <c r="N583" s="42"/>
      <c r="O583" s="42"/>
      <c r="P583" s="42"/>
      <c r="Q583" s="42"/>
      <c r="R583" s="42" t="s">
        <v>7324</v>
      </c>
      <c r="S583" s="42" t="s">
        <v>314</v>
      </c>
      <c r="T583" s="42" t="s">
        <v>3891</v>
      </c>
      <c r="U583" s="42" t="s">
        <v>7325</v>
      </c>
      <c r="V583" s="44" t="s">
        <v>3892</v>
      </c>
      <c r="W583" s="42" t="s">
        <v>3892</v>
      </c>
    </row>
    <row r="584" spans="1:23">
      <c r="A584" s="40">
        <v>74</v>
      </c>
      <c r="B584" s="41">
        <v>1551013052</v>
      </c>
      <c r="C584" s="42" t="s">
        <v>7397</v>
      </c>
      <c r="D584" s="42" t="s">
        <v>760</v>
      </c>
      <c r="E584" s="43" t="s">
        <v>8288</v>
      </c>
      <c r="F584" s="42"/>
      <c r="G584" s="42"/>
      <c r="H584" s="43"/>
      <c r="I584" s="42"/>
      <c r="J584" s="42"/>
      <c r="K584" s="42"/>
      <c r="L584" s="42"/>
      <c r="M584" s="42"/>
      <c r="N584" s="42"/>
      <c r="O584" s="42"/>
      <c r="P584" s="42"/>
      <c r="Q584" s="42"/>
      <c r="R584" s="42" t="s">
        <v>7324</v>
      </c>
      <c r="S584" s="42" t="s">
        <v>314</v>
      </c>
      <c r="T584" s="42" t="s">
        <v>3891</v>
      </c>
      <c r="U584" s="42" t="s">
        <v>7325</v>
      </c>
      <c r="V584" s="44" t="s">
        <v>3892</v>
      </c>
      <c r="W584" s="42" t="s">
        <v>3892</v>
      </c>
    </row>
    <row r="585" spans="1:23">
      <c r="A585" s="40">
        <v>75</v>
      </c>
      <c r="B585" s="41">
        <v>1751010698</v>
      </c>
      <c r="C585" s="42" t="s">
        <v>7398</v>
      </c>
      <c r="D585" s="42" t="s">
        <v>760</v>
      </c>
      <c r="E585" s="43" t="s">
        <v>8289</v>
      </c>
      <c r="F585" s="42"/>
      <c r="G585" s="42"/>
      <c r="H585" s="43"/>
      <c r="I585" s="42"/>
      <c r="J585" s="42"/>
      <c r="K585" s="42"/>
      <c r="L585" s="42"/>
      <c r="M585" s="42"/>
      <c r="N585" s="42"/>
      <c r="O585" s="42"/>
      <c r="P585" s="42"/>
      <c r="Q585" s="42"/>
      <c r="R585" s="42" t="s">
        <v>7324</v>
      </c>
      <c r="S585" s="42" t="s">
        <v>314</v>
      </c>
      <c r="T585" s="42" t="s">
        <v>3891</v>
      </c>
      <c r="U585" s="42" t="s">
        <v>7325</v>
      </c>
      <c r="V585" s="44" t="s">
        <v>3892</v>
      </c>
      <c r="W585" s="42" t="s">
        <v>3892</v>
      </c>
    </row>
    <row r="586" spans="1:23">
      <c r="A586" s="40">
        <v>76</v>
      </c>
      <c r="B586" s="41">
        <v>1551013096</v>
      </c>
      <c r="C586" s="42" t="s">
        <v>7399</v>
      </c>
      <c r="D586" s="42" t="s">
        <v>760</v>
      </c>
      <c r="E586" s="43" t="s">
        <v>8290</v>
      </c>
      <c r="F586" s="42"/>
      <c r="G586" s="42"/>
      <c r="H586" s="43"/>
      <c r="I586" s="42"/>
      <c r="J586" s="42"/>
      <c r="K586" s="42"/>
      <c r="L586" s="42"/>
      <c r="M586" s="42"/>
      <c r="N586" s="42"/>
      <c r="O586" s="42"/>
      <c r="P586" s="42"/>
      <c r="Q586" s="42"/>
      <c r="R586" s="42" t="s">
        <v>7324</v>
      </c>
      <c r="S586" s="42" t="s">
        <v>314</v>
      </c>
      <c r="T586" s="42" t="s">
        <v>3891</v>
      </c>
      <c r="U586" s="42" t="s">
        <v>7325</v>
      </c>
      <c r="V586" s="44" t="s">
        <v>3892</v>
      </c>
      <c r="W586" s="42" t="s">
        <v>3892</v>
      </c>
    </row>
    <row r="587" spans="1:23">
      <c r="A587" s="40">
        <v>77</v>
      </c>
      <c r="B587" s="41">
        <v>1451012612</v>
      </c>
      <c r="C587" s="42" t="s">
        <v>7400</v>
      </c>
      <c r="D587" s="42" t="s">
        <v>3892</v>
      </c>
      <c r="E587" s="43" t="s">
        <v>7273</v>
      </c>
      <c r="F587" s="42"/>
      <c r="G587" s="42"/>
      <c r="H587" s="43"/>
      <c r="I587" s="42"/>
      <c r="J587" s="42"/>
      <c r="K587" s="42"/>
      <c r="L587" s="42"/>
      <c r="M587" s="42"/>
      <c r="N587" s="42"/>
      <c r="O587" s="42"/>
      <c r="P587" s="42"/>
      <c r="Q587" s="42"/>
      <c r="R587" s="42" t="s">
        <v>7324</v>
      </c>
      <c r="S587" s="42" t="s">
        <v>314</v>
      </c>
      <c r="T587" s="42" t="s">
        <v>3891</v>
      </c>
      <c r="U587" s="42" t="s">
        <v>7325</v>
      </c>
      <c r="V587" s="44" t="s">
        <v>3892</v>
      </c>
      <c r="W587" s="42" t="s">
        <v>7345</v>
      </c>
    </row>
    <row r="588" spans="1:23">
      <c r="A588" s="40">
        <v>78</v>
      </c>
      <c r="B588" s="41">
        <v>1351012581</v>
      </c>
      <c r="C588" s="42" t="s">
        <v>7401</v>
      </c>
      <c r="D588" s="42" t="s">
        <v>760</v>
      </c>
      <c r="E588" s="43" t="s">
        <v>8291</v>
      </c>
      <c r="F588" s="42"/>
      <c r="G588" s="42"/>
      <c r="H588" s="43"/>
      <c r="I588" s="42"/>
      <c r="J588" s="42"/>
      <c r="K588" s="42"/>
      <c r="L588" s="42"/>
      <c r="M588" s="42"/>
      <c r="N588" s="42"/>
      <c r="O588" s="42"/>
      <c r="P588" s="42"/>
      <c r="Q588" s="42"/>
      <c r="R588" s="42" t="s">
        <v>7324</v>
      </c>
      <c r="S588" s="42" t="s">
        <v>314</v>
      </c>
      <c r="T588" s="42" t="s">
        <v>3891</v>
      </c>
      <c r="U588" s="42" t="s">
        <v>7325</v>
      </c>
      <c r="V588" s="44" t="s">
        <v>3892</v>
      </c>
      <c r="W588" s="42" t="s">
        <v>3892</v>
      </c>
    </row>
    <row r="589" spans="1:23">
      <c r="A589" s="40">
        <v>79</v>
      </c>
      <c r="B589" s="41">
        <v>1551013393</v>
      </c>
      <c r="C589" s="42" t="s">
        <v>7402</v>
      </c>
      <c r="D589" s="42" t="s">
        <v>760</v>
      </c>
      <c r="E589" s="43" t="s">
        <v>8292</v>
      </c>
      <c r="F589" s="42"/>
      <c r="G589" s="42"/>
      <c r="H589" s="43"/>
      <c r="I589" s="42"/>
      <c r="J589" s="42"/>
      <c r="K589" s="42"/>
      <c r="L589" s="42"/>
      <c r="M589" s="42"/>
      <c r="N589" s="42"/>
      <c r="O589" s="42"/>
      <c r="P589" s="42"/>
      <c r="Q589" s="42"/>
      <c r="R589" s="42" t="s">
        <v>7324</v>
      </c>
      <c r="S589" s="42" t="s">
        <v>314</v>
      </c>
      <c r="T589" s="42" t="s">
        <v>3891</v>
      </c>
      <c r="U589" s="42" t="s">
        <v>7325</v>
      </c>
      <c r="V589" s="44" t="s">
        <v>3892</v>
      </c>
      <c r="W589" s="42" t="s">
        <v>3892</v>
      </c>
    </row>
    <row r="590" spans="1:23">
      <c r="A590" s="40">
        <v>80</v>
      </c>
      <c r="B590" s="41">
        <v>1651011775</v>
      </c>
      <c r="C590" s="42" t="s">
        <v>7403</v>
      </c>
      <c r="D590" s="42" t="s">
        <v>760</v>
      </c>
      <c r="E590" s="43" t="s">
        <v>8293</v>
      </c>
      <c r="F590" s="42"/>
      <c r="G590" s="42"/>
      <c r="H590" s="43"/>
      <c r="I590" s="42"/>
      <c r="J590" s="42"/>
      <c r="K590" s="42"/>
      <c r="L590" s="42"/>
      <c r="M590" s="42"/>
      <c r="N590" s="42"/>
      <c r="O590" s="42"/>
      <c r="P590" s="42"/>
      <c r="Q590" s="42"/>
      <c r="R590" s="42" t="s">
        <v>7324</v>
      </c>
      <c r="S590" s="42" t="s">
        <v>314</v>
      </c>
      <c r="T590" s="42" t="s">
        <v>3891</v>
      </c>
      <c r="U590" s="42" t="s">
        <v>7325</v>
      </c>
      <c r="V590" s="44" t="s">
        <v>3892</v>
      </c>
      <c r="W590" s="42" t="s">
        <v>3892</v>
      </c>
    </row>
    <row r="591" spans="1:23">
      <c r="A591" s="40">
        <v>81</v>
      </c>
      <c r="B591" s="41">
        <v>1651012345</v>
      </c>
      <c r="C591" s="42" t="s">
        <v>7404</v>
      </c>
      <c r="D591" s="42" t="s">
        <v>760</v>
      </c>
      <c r="E591" s="43" t="s">
        <v>8294</v>
      </c>
      <c r="F591" s="42"/>
      <c r="G591" s="42"/>
      <c r="H591" s="43"/>
      <c r="I591" s="42"/>
      <c r="J591" s="42"/>
      <c r="K591" s="42"/>
      <c r="L591" s="42"/>
      <c r="M591" s="42"/>
      <c r="N591" s="42"/>
      <c r="O591" s="42"/>
      <c r="P591" s="42"/>
      <c r="Q591" s="42"/>
      <c r="R591" s="42" t="s">
        <v>7324</v>
      </c>
      <c r="S591" s="42" t="s">
        <v>314</v>
      </c>
      <c r="T591" s="42" t="s">
        <v>3891</v>
      </c>
      <c r="U591" s="42" t="s">
        <v>7325</v>
      </c>
      <c r="V591" s="44" t="s">
        <v>3892</v>
      </c>
      <c r="W591" s="42" t="s">
        <v>3892</v>
      </c>
    </row>
    <row r="592" spans="1:23">
      <c r="A592" s="40">
        <v>82</v>
      </c>
      <c r="B592" s="41">
        <v>1751010426</v>
      </c>
      <c r="C592" s="42" t="s">
        <v>7405</v>
      </c>
      <c r="D592" s="42" t="s">
        <v>760</v>
      </c>
      <c r="E592" s="43" t="s">
        <v>8295</v>
      </c>
      <c r="F592" s="42"/>
      <c r="G592" s="42"/>
      <c r="H592" s="43"/>
      <c r="I592" s="42"/>
      <c r="J592" s="42"/>
      <c r="K592" s="42"/>
      <c r="L592" s="42"/>
      <c r="M592" s="42"/>
      <c r="N592" s="42"/>
      <c r="O592" s="42"/>
      <c r="P592" s="42"/>
      <c r="Q592" s="42"/>
      <c r="R592" s="42" t="s">
        <v>7324</v>
      </c>
      <c r="S592" s="42" t="s">
        <v>314</v>
      </c>
      <c r="T592" s="42" t="s">
        <v>3891</v>
      </c>
      <c r="U592" s="42" t="s">
        <v>7325</v>
      </c>
      <c r="V592" s="44" t="s">
        <v>3892</v>
      </c>
      <c r="W592" s="42" t="s">
        <v>3892</v>
      </c>
    </row>
    <row r="593" spans="1:23">
      <c r="A593" s="40">
        <v>83</v>
      </c>
      <c r="B593" s="41">
        <v>1551012879</v>
      </c>
      <c r="C593" s="42" t="s">
        <v>7406</v>
      </c>
      <c r="D593" s="42" t="s">
        <v>3892</v>
      </c>
      <c r="E593" s="43" t="s">
        <v>7273</v>
      </c>
      <c r="F593" s="42"/>
      <c r="G593" s="42"/>
      <c r="H593" s="43"/>
      <c r="I593" s="42"/>
      <c r="J593" s="42"/>
      <c r="K593" s="42"/>
      <c r="L593" s="42"/>
      <c r="M593" s="42"/>
      <c r="N593" s="42"/>
      <c r="O593" s="42"/>
      <c r="P593" s="42"/>
      <c r="Q593" s="42"/>
      <c r="R593" s="42" t="s">
        <v>7324</v>
      </c>
      <c r="S593" s="42" t="s">
        <v>314</v>
      </c>
      <c r="T593" s="42" t="s">
        <v>3891</v>
      </c>
      <c r="U593" s="42" t="s">
        <v>7325</v>
      </c>
      <c r="V593" s="44" t="s">
        <v>3892</v>
      </c>
      <c r="W593" s="42" t="s">
        <v>3892</v>
      </c>
    </row>
    <row r="594" spans="1:23">
      <c r="A594" s="40">
        <v>84</v>
      </c>
      <c r="B594" s="41">
        <v>1551013417</v>
      </c>
      <c r="C594" s="42" t="s">
        <v>7407</v>
      </c>
      <c r="D594" s="42" t="s">
        <v>760</v>
      </c>
      <c r="E594" s="43" t="s">
        <v>8296</v>
      </c>
      <c r="F594" s="42"/>
      <c r="G594" s="42"/>
      <c r="H594" s="43"/>
      <c r="I594" s="42"/>
      <c r="J594" s="42"/>
      <c r="K594" s="42"/>
      <c r="L594" s="42"/>
      <c r="M594" s="42"/>
      <c r="N594" s="42"/>
      <c r="O594" s="42"/>
      <c r="P594" s="42"/>
      <c r="Q594" s="42"/>
      <c r="R594" s="42" t="s">
        <v>7324</v>
      </c>
      <c r="S594" s="42" t="s">
        <v>314</v>
      </c>
      <c r="T594" s="42" t="s">
        <v>3891</v>
      </c>
      <c r="U594" s="42" t="s">
        <v>7325</v>
      </c>
      <c r="V594" s="44" t="s">
        <v>3892</v>
      </c>
      <c r="W594" s="42" t="s">
        <v>3892</v>
      </c>
    </row>
    <row r="595" spans="1:23">
      <c r="A595" s="40">
        <v>85</v>
      </c>
      <c r="B595" s="41">
        <v>1751011257</v>
      </c>
      <c r="C595" s="42" t="s">
        <v>7408</v>
      </c>
      <c r="D595" s="42" t="s">
        <v>760</v>
      </c>
      <c r="E595" s="43" t="s">
        <v>8297</v>
      </c>
      <c r="F595" s="42"/>
      <c r="G595" s="42"/>
      <c r="H595" s="43"/>
      <c r="I595" s="42"/>
      <c r="J595" s="42"/>
      <c r="K595" s="42"/>
      <c r="L595" s="42"/>
      <c r="M595" s="42"/>
      <c r="N595" s="42"/>
      <c r="O595" s="42"/>
      <c r="P595" s="42"/>
      <c r="Q595" s="42"/>
      <c r="R595" s="42" t="s">
        <v>7324</v>
      </c>
      <c r="S595" s="42" t="s">
        <v>314</v>
      </c>
      <c r="T595" s="42" t="s">
        <v>3891</v>
      </c>
      <c r="U595" s="42" t="s">
        <v>7325</v>
      </c>
      <c r="V595" s="44" t="s">
        <v>3892</v>
      </c>
      <c r="W595" s="42" t="s">
        <v>3892</v>
      </c>
    </row>
    <row r="596" spans="1:23">
      <c r="A596" s="40">
        <v>86</v>
      </c>
      <c r="B596" s="41">
        <v>1551012874</v>
      </c>
      <c r="C596" s="42" t="s">
        <v>7409</v>
      </c>
      <c r="D596" s="42" t="s">
        <v>760</v>
      </c>
      <c r="E596" s="43" t="s">
        <v>8298</v>
      </c>
      <c r="F596" s="42"/>
      <c r="G596" s="42"/>
      <c r="H596" s="43"/>
      <c r="I596" s="42"/>
      <c r="J596" s="42"/>
      <c r="K596" s="42"/>
      <c r="L596" s="42"/>
      <c r="M596" s="42"/>
      <c r="N596" s="42"/>
      <c r="O596" s="42"/>
      <c r="P596" s="42"/>
      <c r="Q596" s="42"/>
      <c r="R596" s="42" t="s">
        <v>7324</v>
      </c>
      <c r="S596" s="42" t="s">
        <v>314</v>
      </c>
      <c r="T596" s="42" t="s">
        <v>3891</v>
      </c>
      <c r="U596" s="42" t="s">
        <v>7325</v>
      </c>
      <c r="V596" s="44" t="s">
        <v>3892</v>
      </c>
      <c r="W596" s="42" t="s">
        <v>3892</v>
      </c>
    </row>
    <row r="597" spans="1:23">
      <c r="A597" s="40">
        <v>87</v>
      </c>
      <c r="B597" s="41">
        <v>1651011261</v>
      </c>
      <c r="C597" s="42" t="s">
        <v>7410</v>
      </c>
      <c r="D597" s="42" t="s">
        <v>760</v>
      </c>
      <c r="E597" s="43" t="s">
        <v>8299</v>
      </c>
      <c r="F597" s="42"/>
      <c r="G597" s="42"/>
      <c r="H597" s="43"/>
      <c r="I597" s="42"/>
      <c r="J597" s="42"/>
      <c r="K597" s="42"/>
      <c r="L597" s="42"/>
      <c r="M597" s="42"/>
      <c r="N597" s="42"/>
      <c r="O597" s="42"/>
      <c r="P597" s="42"/>
      <c r="Q597" s="42"/>
      <c r="R597" s="42" t="s">
        <v>7324</v>
      </c>
      <c r="S597" s="42" t="s">
        <v>314</v>
      </c>
      <c r="T597" s="42" t="s">
        <v>3891</v>
      </c>
      <c r="U597" s="42" t="s">
        <v>7325</v>
      </c>
      <c r="V597" s="44" t="s">
        <v>3892</v>
      </c>
      <c r="W597" s="42" t="s">
        <v>3892</v>
      </c>
    </row>
    <row r="598" spans="1:23">
      <c r="A598" s="40">
        <v>88</v>
      </c>
      <c r="B598" s="41">
        <v>1551013354</v>
      </c>
      <c r="C598" s="42" t="s">
        <v>7411</v>
      </c>
      <c r="D598" s="42" t="s">
        <v>760</v>
      </c>
      <c r="E598" s="43" t="s">
        <v>8300</v>
      </c>
      <c r="F598" s="42"/>
      <c r="G598" s="42"/>
      <c r="H598" s="43"/>
      <c r="I598" s="42"/>
      <c r="J598" s="42"/>
      <c r="K598" s="42"/>
      <c r="L598" s="42"/>
      <c r="M598" s="42"/>
      <c r="N598" s="42"/>
      <c r="O598" s="42"/>
      <c r="P598" s="42"/>
      <c r="Q598" s="42"/>
      <c r="R598" s="42" t="s">
        <v>7324</v>
      </c>
      <c r="S598" s="42" t="s">
        <v>314</v>
      </c>
      <c r="T598" s="42" t="s">
        <v>3891</v>
      </c>
      <c r="U598" s="42" t="s">
        <v>7325</v>
      </c>
      <c r="V598" s="44" t="s">
        <v>3892</v>
      </c>
      <c r="W598" s="42" t="s">
        <v>3892</v>
      </c>
    </row>
    <row r="599" spans="1:23">
      <c r="A599" s="40">
        <v>89</v>
      </c>
      <c r="B599" s="41">
        <v>1851013114</v>
      </c>
      <c r="C599" s="42" t="s">
        <v>7412</v>
      </c>
      <c r="D599" s="42" t="s">
        <v>760</v>
      </c>
      <c r="E599" s="43" t="s">
        <v>8301</v>
      </c>
      <c r="F599" s="42"/>
      <c r="G599" s="42"/>
      <c r="H599" s="43"/>
      <c r="I599" s="42"/>
      <c r="J599" s="42"/>
      <c r="K599" s="42"/>
      <c r="L599" s="42"/>
      <c r="M599" s="42"/>
      <c r="N599" s="42"/>
      <c r="O599" s="42"/>
      <c r="P599" s="42"/>
      <c r="Q599" s="42"/>
      <c r="R599" s="42" t="s">
        <v>7324</v>
      </c>
      <c r="S599" s="42" t="s">
        <v>314</v>
      </c>
      <c r="T599" s="42" t="s">
        <v>3891</v>
      </c>
      <c r="U599" s="42" t="s">
        <v>7325</v>
      </c>
      <c r="V599" s="44" t="s">
        <v>3892</v>
      </c>
      <c r="W599" s="42" t="s">
        <v>3892</v>
      </c>
    </row>
    <row r="600" spans="1:23">
      <c r="A600" s="40">
        <v>90</v>
      </c>
      <c r="B600" s="41">
        <v>1551012867</v>
      </c>
      <c r="C600" s="42" t="s">
        <v>7413</v>
      </c>
      <c r="D600" s="42" t="s">
        <v>760</v>
      </c>
      <c r="E600" s="43" t="s">
        <v>8302</v>
      </c>
      <c r="F600" s="42"/>
      <c r="G600" s="42"/>
      <c r="H600" s="43"/>
      <c r="I600" s="42"/>
      <c r="J600" s="42"/>
      <c r="K600" s="42"/>
      <c r="L600" s="42"/>
      <c r="M600" s="42"/>
      <c r="N600" s="42"/>
      <c r="O600" s="42"/>
      <c r="P600" s="42"/>
      <c r="Q600" s="42"/>
      <c r="R600" s="42" t="s">
        <v>7324</v>
      </c>
      <c r="S600" s="42" t="s">
        <v>314</v>
      </c>
      <c r="T600" s="42" t="s">
        <v>3891</v>
      </c>
      <c r="U600" s="42" t="s">
        <v>7325</v>
      </c>
      <c r="V600" s="44" t="s">
        <v>3892</v>
      </c>
      <c r="W600" s="42" t="s">
        <v>3892</v>
      </c>
    </row>
    <row r="601" spans="1:23">
      <c r="A601" s="40">
        <v>91</v>
      </c>
      <c r="B601" s="41">
        <v>1651011470</v>
      </c>
      <c r="C601" s="42" t="s">
        <v>7414</v>
      </c>
      <c r="D601" s="42" t="s">
        <v>760</v>
      </c>
      <c r="E601" s="43" t="s">
        <v>8303</v>
      </c>
      <c r="F601" s="42"/>
      <c r="G601" s="42"/>
      <c r="H601" s="43"/>
      <c r="I601" s="42"/>
      <c r="J601" s="42"/>
      <c r="K601" s="42"/>
      <c r="L601" s="42"/>
      <c r="M601" s="42"/>
      <c r="N601" s="42"/>
      <c r="O601" s="42"/>
      <c r="P601" s="42"/>
      <c r="Q601" s="42"/>
      <c r="R601" s="42" t="s">
        <v>7324</v>
      </c>
      <c r="S601" s="42" t="s">
        <v>314</v>
      </c>
      <c r="T601" s="42" t="s">
        <v>3891</v>
      </c>
      <c r="U601" s="42" t="s">
        <v>7325</v>
      </c>
      <c r="V601" s="44" t="s">
        <v>3892</v>
      </c>
      <c r="W601" s="42" t="s">
        <v>3892</v>
      </c>
    </row>
    <row r="602" spans="1:23">
      <c r="A602" s="40">
        <v>92</v>
      </c>
      <c r="B602" s="41">
        <v>1651011642</v>
      </c>
      <c r="C602" s="42" t="s">
        <v>7415</v>
      </c>
      <c r="D602" s="42" t="s">
        <v>765</v>
      </c>
      <c r="E602" s="43" t="s">
        <v>8304</v>
      </c>
      <c r="F602" s="42"/>
      <c r="G602" s="42"/>
      <c r="H602" s="43"/>
      <c r="I602" s="42"/>
      <c r="J602" s="42"/>
      <c r="K602" s="42"/>
      <c r="L602" s="42"/>
      <c r="M602" s="42"/>
      <c r="N602" s="42"/>
      <c r="O602" s="42"/>
      <c r="P602" s="42"/>
      <c r="Q602" s="42"/>
      <c r="R602" s="42" t="s">
        <v>7324</v>
      </c>
      <c r="S602" s="42" t="s">
        <v>314</v>
      </c>
      <c r="T602" s="42" t="s">
        <v>3891</v>
      </c>
      <c r="U602" s="42" t="s">
        <v>7325</v>
      </c>
      <c r="V602" s="44" t="s">
        <v>3892</v>
      </c>
      <c r="W602" s="42" t="s">
        <v>3892</v>
      </c>
    </row>
    <row r="603" spans="1:23">
      <c r="A603" s="40">
        <v>93</v>
      </c>
      <c r="B603" s="41">
        <v>1651011924</v>
      </c>
      <c r="C603" s="42" t="s">
        <v>7416</v>
      </c>
      <c r="D603" s="42" t="s">
        <v>765</v>
      </c>
      <c r="E603" s="43" t="s">
        <v>8305</v>
      </c>
      <c r="F603" s="42"/>
      <c r="G603" s="42"/>
      <c r="H603" s="43"/>
      <c r="I603" s="42"/>
      <c r="J603" s="42"/>
      <c r="K603" s="42"/>
      <c r="L603" s="42"/>
      <c r="M603" s="42"/>
      <c r="N603" s="42"/>
      <c r="O603" s="42"/>
      <c r="P603" s="42"/>
      <c r="Q603" s="42"/>
      <c r="R603" s="42" t="s">
        <v>7324</v>
      </c>
      <c r="S603" s="42" t="s">
        <v>314</v>
      </c>
      <c r="T603" s="42" t="s">
        <v>3891</v>
      </c>
      <c r="U603" s="42" t="s">
        <v>7325</v>
      </c>
      <c r="V603" s="44" t="s">
        <v>3892</v>
      </c>
      <c r="W603" s="42" t="s">
        <v>3892</v>
      </c>
    </row>
    <row r="604" spans="1:23">
      <c r="A604" s="40">
        <v>94</v>
      </c>
      <c r="B604" s="41">
        <v>1651011927</v>
      </c>
      <c r="C604" s="42" t="s">
        <v>7417</v>
      </c>
      <c r="D604" s="42" t="s">
        <v>765</v>
      </c>
      <c r="E604" s="43" t="s">
        <v>8306</v>
      </c>
      <c r="F604" s="42"/>
      <c r="G604" s="42"/>
      <c r="H604" s="43"/>
      <c r="I604" s="42"/>
      <c r="J604" s="42"/>
      <c r="K604" s="42"/>
      <c r="L604" s="42"/>
      <c r="M604" s="42"/>
      <c r="N604" s="42"/>
      <c r="O604" s="42"/>
      <c r="P604" s="42"/>
      <c r="Q604" s="42"/>
      <c r="R604" s="42" t="s">
        <v>7324</v>
      </c>
      <c r="S604" s="42" t="s">
        <v>314</v>
      </c>
      <c r="T604" s="42" t="s">
        <v>3891</v>
      </c>
      <c r="U604" s="42" t="s">
        <v>7325</v>
      </c>
      <c r="V604" s="44" t="s">
        <v>3892</v>
      </c>
      <c r="W604" s="42" t="s">
        <v>3892</v>
      </c>
    </row>
    <row r="605" spans="1:23">
      <c r="A605" s="40">
        <v>95</v>
      </c>
      <c r="B605" s="41">
        <v>1551013068</v>
      </c>
      <c r="C605" s="42" t="s">
        <v>7418</v>
      </c>
      <c r="D605" s="42" t="s">
        <v>760</v>
      </c>
      <c r="E605" s="43" t="s">
        <v>8307</v>
      </c>
      <c r="F605" s="42"/>
      <c r="G605" s="42"/>
      <c r="H605" s="43"/>
      <c r="I605" s="42"/>
      <c r="J605" s="42"/>
      <c r="K605" s="42"/>
      <c r="L605" s="42"/>
      <c r="M605" s="42"/>
      <c r="N605" s="42"/>
      <c r="O605" s="42"/>
      <c r="P605" s="42"/>
      <c r="Q605" s="42"/>
      <c r="R605" s="42" t="s">
        <v>7324</v>
      </c>
      <c r="S605" s="42" t="s">
        <v>314</v>
      </c>
      <c r="T605" s="42" t="s">
        <v>3891</v>
      </c>
      <c r="U605" s="42" t="s">
        <v>7325</v>
      </c>
      <c r="V605" s="44" t="s">
        <v>3892</v>
      </c>
      <c r="W605" s="42" t="s">
        <v>3892</v>
      </c>
    </row>
    <row r="606" spans="1:23">
      <c r="A606" s="40">
        <v>96</v>
      </c>
      <c r="B606" s="41">
        <v>1651011814</v>
      </c>
      <c r="C606" s="42" t="s">
        <v>7419</v>
      </c>
      <c r="D606" s="42" t="s">
        <v>765</v>
      </c>
      <c r="E606" s="43" t="s">
        <v>8308</v>
      </c>
      <c r="F606" s="42"/>
      <c r="G606" s="42"/>
      <c r="H606" s="43"/>
      <c r="I606" s="42"/>
      <c r="J606" s="42"/>
      <c r="K606" s="42"/>
      <c r="L606" s="42"/>
      <c r="M606" s="42"/>
      <c r="N606" s="42"/>
      <c r="O606" s="42"/>
      <c r="P606" s="42"/>
      <c r="Q606" s="42"/>
      <c r="R606" s="42" t="s">
        <v>7324</v>
      </c>
      <c r="S606" s="42" t="s">
        <v>314</v>
      </c>
      <c r="T606" s="42" t="s">
        <v>3891</v>
      </c>
      <c r="U606" s="42" t="s">
        <v>7325</v>
      </c>
      <c r="V606" s="44" t="s">
        <v>3892</v>
      </c>
      <c r="W606" s="42" t="s">
        <v>3892</v>
      </c>
    </row>
    <row r="607" spans="1:23">
      <c r="A607" s="40">
        <v>97</v>
      </c>
      <c r="B607" s="41">
        <v>1851012674</v>
      </c>
      <c r="C607" s="42" t="s">
        <v>7420</v>
      </c>
      <c r="D607" s="42" t="s">
        <v>765</v>
      </c>
      <c r="E607" s="43" t="s">
        <v>8309</v>
      </c>
      <c r="F607" s="42"/>
      <c r="G607" s="42"/>
      <c r="H607" s="43"/>
      <c r="I607" s="42"/>
      <c r="J607" s="42"/>
      <c r="K607" s="42"/>
      <c r="L607" s="42"/>
      <c r="M607" s="42"/>
      <c r="N607" s="42"/>
      <c r="O607" s="42"/>
      <c r="P607" s="42"/>
      <c r="Q607" s="42"/>
      <c r="R607" s="42" t="s">
        <v>7324</v>
      </c>
      <c r="S607" s="42" t="s">
        <v>314</v>
      </c>
      <c r="T607" s="42" t="s">
        <v>3891</v>
      </c>
      <c r="U607" s="42" t="s">
        <v>7325</v>
      </c>
      <c r="V607" s="44" t="s">
        <v>3892</v>
      </c>
      <c r="W607" s="42" t="s">
        <v>3892</v>
      </c>
    </row>
    <row r="608" spans="1:23">
      <c r="A608" s="40">
        <v>98</v>
      </c>
      <c r="B608" s="41">
        <v>1551013137</v>
      </c>
      <c r="C608" s="42" t="s">
        <v>7421</v>
      </c>
      <c r="D608" s="42" t="s">
        <v>760</v>
      </c>
      <c r="E608" s="43" t="s">
        <v>8310</v>
      </c>
      <c r="F608" s="42"/>
      <c r="G608" s="42"/>
      <c r="H608" s="43"/>
      <c r="I608" s="42"/>
      <c r="J608" s="42"/>
      <c r="K608" s="42"/>
      <c r="L608" s="42"/>
      <c r="M608" s="42"/>
      <c r="N608" s="42"/>
      <c r="O608" s="42"/>
      <c r="P608" s="42"/>
      <c r="Q608" s="42"/>
      <c r="R608" s="42" t="s">
        <v>7324</v>
      </c>
      <c r="S608" s="42" t="s">
        <v>314</v>
      </c>
      <c r="T608" s="42" t="s">
        <v>3891</v>
      </c>
      <c r="U608" s="42" t="s">
        <v>7325</v>
      </c>
      <c r="V608" s="44" t="s">
        <v>3892</v>
      </c>
      <c r="W608" s="42" t="s">
        <v>3892</v>
      </c>
    </row>
    <row r="609" spans="1:23">
      <c r="A609" s="40">
        <v>99</v>
      </c>
      <c r="B609" s="41">
        <v>1451012920</v>
      </c>
      <c r="C609" s="42" t="s">
        <v>7422</v>
      </c>
      <c r="D609" s="42" t="s">
        <v>760</v>
      </c>
      <c r="E609" s="43" t="s">
        <v>8311</v>
      </c>
      <c r="F609" s="42"/>
      <c r="G609" s="42"/>
      <c r="H609" s="43"/>
      <c r="I609" s="42"/>
      <c r="J609" s="42"/>
      <c r="K609" s="42"/>
      <c r="L609" s="42"/>
      <c r="M609" s="42"/>
      <c r="N609" s="42"/>
      <c r="O609" s="42"/>
      <c r="P609" s="42"/>
      <c r="Q609" s="42"/>
      <c r="R609" s="42" t="s">
        <v>7324</v>
      </c>
      <c r="S609" s="42" t="s">
        <v>314</v>
      </c>
      <c r="T609" s="42" t="s">
        <v>3891</v>
      </c>
      <c r="U609" s="42" t="s">
        <v>7325</v>
      </c>
      <c r="V609" s="44" t="s">
        <v>3892</v>
      </c>
      <c r="W609" s="42" t="s">
        <v>3892</v>
      </c>
    </row>
    <row r="610" spans="1:23">
      <c r="A610" s="40">
        <v>100</v>
      </c>
      <c r="B610" s="41">
        <v>1851012688</v>
      </c>
      <c r="C610" s="42" t="s">
        <v>7423</v>
      </c>
      <c r="D610" s="42" t="s">
        <v>3892</v>
      </c>
      <c r="E610" s="43" t="s">
        <v>7273</v>
      </c>
      <c r="F610" s="42"/>
      <c r="G610" s="42"/>
      <c r="H610" s="43"/>
      <c r="I610" s="42"/>
      <c r="J610" s="42"/>
      <c r="K610" s="42"/>
      <c r="L610" s="42"/>
      <c r="M610" s="42"/>
      <c r="N610" s="42"/>
      <c r="O610" s="42"/>
      <c r="P610" s="42"/>
      <c r="Q610" s="42"/>
      <c r="R610" s="42" t="s">
        <v>7324</v>
      </c>
      <c r="S610" s="42" t="s">
        <v>314</v>
      </c>
      <c r="T610" s="42" t="s">
        <v>3891</v>
      </c>
      <c r="U610" s="42" t="s">
        <v>7325</v>
      </c>
      <c r="V610" s="44" t="s">
        <v>3892</v>
      </c>
      <c r="W610" s="42" t="s">
        <v>3892</v>
      </c>
    </row>
    <row r="611" spans="1:23">
      <c r="A611" s="40">
        <v>101</v>
      </c>
      <c r="B611" s="41">
        <v>1451013410</v>
      </c>
      <c r="C611" s="42" t="s">
        <v>7424</v>
      </c>
      <c r="D611" s="42" t="s">
        <v>760</v>
      </c>
      <c r="E611" s="43" t="s">
        <v>8312</v>
      </c>
      <c r="F611" s="42"/>
      <c r="G611" s="42"/>
      <c r="H611" s="43"/>
      <c r="I611" s="42"/>
      <c r="J611" s="42"/>
      <c r="K611" s="42"/>
      <c r="L611" s="42"/>
      <c r="M611" s="42"/>
      <c r="N611" s="42"/>
      <c r="O611" s="42"/>
      <c r="P611" s="42"/>
      <c r="Q611" s="42"/>
      <c r="R611" s="42" t="s">
        <v>7324</v>
      </c>
      <c r="S611" s="42" t="s">
        <v>314</v>
      </c>
      <c r="T611" s="42" t="s">
        <v>3891</v>
      </c>
      <c r="U611" s="42" t="s">
        <v>7325</v>
      </c>
      <c r="V611" s="44" t="s">
        <v>3892</v>
      </c>
      <c r="W611" s="42" t="s">
        <v>3892</v>
      </c>
    </row>
    <row r="612" spans="1:23">
      <c r="A612" s="40">
        <v>102</v>
      </c>
      <c r="B612" s="41">
        <v>1551012815</v>
      </c>
      <c r="C612" s="42" t="s">
        <v>7425</v>
      </c>
      <c r="D612" s="42" t="s">
        <v>3892</v>
      </c>
      <c r="E612" s="43" t="s">
        <v>7273</v>
      </c>
      <c r="F612" s="42"/>
      <c r="G612" s="42"/>
      <c r="H612" s="43"/>
      <c r="I612" s="42"/>
      <c r="J612" s="42"/>
      <c r="K612" s="42"/>
      <c r="L612" s="42"/>
      <c r="M612" s="42"/>
      <c r="N612" s="42"/>
      <c r="O612" s="42"/>
      <c r="P612" s="42"/>
      <c r="Q612" s="42"/>
      <c r="R612" s="42" t="s">
        <v>7324</v>
      </c>
      <c r="S612" s="42" t="s">
        <v>314</v>
      </c>
      <c r="T612" s="42" t="s">
        <v>3891</v>
      </c>
      <c r="U612" s="42" t="s">
        <v>7325</v>
      </c>
      <c r="V612" s="44" t="s">
        <v>3892</v>
      </c>
      <c r="W612" s="42" t="s">
        <v>7345</v>
      </c>
    </row>
    <row r="613" spans="1:23">
      <c r="A613" s="40">
        <v>103</v>
      </c>
      <c r="B613" s="41">
        <v>1651012881</v>
      </c>
      <c r="C613" s="42" t="s">
        <v>7426</v>
      </c>
      <c r="D613" s="42" t="s">
        <v>760</v>
      </c>
      <c r="E613" s="43" t="s">
        <v>8313</v>
      </c>
      <c r="F613" s="42"/>
      <c r="G613" s="42"/>
      <c r="H613" s="43"/>
      <c r="I613" s="42"/>
      <c r="J613" s="42"/>
      <c r="K613" s="42"/>
      <c r="L613" s="42"/>
      <c r="M613" s="42"/>
      <c r="N613" s="42"/>
      <c r="O613" s="42"/>
      <c r="P613" s="42"/>
      <c r="Q613" s="42"/>
      <c r="R613" s="42" t="s">
        <v>7324</v>
      </c>
      <c r="S613" s="42" t="s">
        <v>314</v>
      </c>
      <c r="T613" s="42" t="s">
        <v>3891</v>
      </c>
      <c r="U613" s="42" t="s">
        <v>7325</v>
      </c>
      <c r="V613" s="44" t="s">
        <v>3892</v>
      </c>
      <c r="W613" s="42" t="s">
        <v>3892</v>
      </c>
    </row>
    <row r="614" spans="1:23">
      <c r="A614" s="40">
        <v>104</v>
      </c>
      <c r="B614" s="41">
        <v>1851012772</v>
      </c>
      <c r="C614" s="42" t="s">
        <v>7427</v>
      </c>
      <c r="D614" s="42" t="s">
        <v>760</v>
      </c>
      <c r="E614" s="43" t="s">
        <v>8314</v>
      </c>
      <c r="F614" s="42"/>
      <c r="G614" s="42"/>
      <c r="H614" s="43"/>
      <c r="I614" s="42"/>
      <c r="J614" s="42"/>
      <c r="K614" s="42"/>
      <c r="L614" s="42"/>
      <c r="M614" s="42"/>
      <c r="N614" s="42"/>
      <c r="O614" s="42"/>
      <c r="P614" s="42"/>
      <c r="Q614" s="42"/>
      <c r="R614" s="42" t="s">
        <v>7324</v>
      </c>
      <c r="S614" s="42" t="s">
        <v>314</v>
      </c>
      <c r="T614" s="42" t="s">
        <v>3891</v>
      </c>
      <c r="U614" s="42" t="s">
        <v>7325</v>
      </c>
      <c r="V614" s="44" t="s">
        <v>3892</v>
      </c>
      <c r="W614" s="42" t="s">
        <v>3892</v>
      </c>
    </row>
    <row r="615" spans="1:23">
      <c r="A615" s="40">
        <v>105</v>
      </c>
      <c r="B615" s="41">
        <v>1851013106</v>
      </c>
      <c r="C615" s="42" t="s">
        <v>7428</v>
      </c>
      <c r="D615" s="42" t="s">
        <v>760</v>
      </c>
      <c r="E615" s="43" t="s">
        <v>8315</v>
      </c>
      <c r="F615" s="42"/>
      <c r="G615" s="42"/>
      <c r="H615" s="43"/>
      <c r="I615" s="42"/>
      <c r="J615" s="42"/>
      <c r="K615" s="42"/>
      <c r="L615" s="42"/>
      <c r="M615" s="42"/>
      <c r="N615" s="42"/>
      <c r="O615" s="42"/>
      <c r="P615" s="42"/>
      <c r="Q615" s="42"/>
      <c r="R615" s="42" t="s">
        <v>7324</v>
      </c>
      <c r="S615" s="42" t="s">
        <v>314</v>
      </c>
      <c r="T615" s="42" t="s">
        <v>3891</v>
      </c>
      <c r="U615" s="42" t="s">
        <v>7325</v>
      </c>
      <c r="V615" s="44" t="s">
        <v>3892</v>
      </c>
      <c r="W615" s="42" t="s">
        <v>3892</v>
      </c>
    </row>
    <row r="616" spans="1:23">
      <c r="A616" s="40">
        <v>106</v>
      </c>
      <c r="B616" s="41">
        <v>1651012092</v>
      </c>
      <c r="C616" s="42" t="s">
        <v>7429</v>
      </c>
      <c r="D616" s="42" t="s">
        <v>760</v>
      </c>
      <c r="E616" s="43" t="s">
        <v>8316</v>
      </c>
      <c r="F616" s="42"/>
      <c r="G616" s="42"/>
      <c r="H616" s="43"/>
      <c r="I616" s="42"/>
      <c r="J616" s="42"/>
      <c r="K616" s="42"/>
      <c r="L616" s="42"/>
      <c r="M616" s="42"/>
      <c r="N616" s="42"/>
      <c r="O616" s="42"/>
      <c r="P616" s="42"/>
      <c r="Q616" s="42"/>
      <c r="R616" s="42" t="s">
        <v>7324</v>
      </c>
      <c r="S616" s="42" t="s">
        <v>314</v>
      </c>
      <c r="T616" s="42" t="s">
        <v>3891</v>
      </c>
      <c r="U616" s="42" t="s">
        <v>7325</v>
      </c>
      <c r="V616" s="44" t="s">
        <v>3892</v>
      </c>
      <c r="W616" s="42" t="s">
        <v>3892</v>
      </c>
    </row>
    <row r="617" spans="1:23" ht="60">
      <c r="A617" s="40">
        <v>107</v>
      </c>
      <c r="B617" s="41">
        <v>1751012249</v>
      </c>
      <c r="C617" s="42" t="s">
        <v>7430</v>
      </c>
      <c r="D617" s="42" t="s">
        <v>760</v>
      </c>
      <c r="E617" s="43" t="s">
        <v>8317</v>
      </c>
      <c r="F617" s="42"/>
      <c r="G617" s="42"/>
      <c r="H617" s="43"/>
      <c r="I617" s="42"/>
      <c r="J617" s="42"/>
      <c r="K617" s="42"/>
      <c r="L617" s="42"/>
      <c r="M617" s="42"/>
      <c r="N617" s="42"/>
      <c r="O617" s="42"/>
      <c r="P617" s="42"/>
      <c r="Q617" s="42"/>
      <c r="R617" s="42" t="s">
        <v>7324</v>
      </c>
      <c r="S617" s="42" t="s">
        <v>314</v>
      </c>
      <c r="T617" s="42" t="s">
        <v>3891</v>
      </c>
      <c r="U617" s="42" t="s">
        <v>7325</v>
      </c>
      <c r="V617" s="44" t="s">
        <v>7431</v>
      </c>
      <c r="W617" s="42" t="s">
        <v>3905</v>
      </c>
    </row>
    <row r="618" spans="1:23">
      <c r="A618" s="40">
        <v>108</v>
      </c>
      <c r="B618" s="41">
        <v>1751010193</v>
      </c>
      <c r="C618" s="42" t="s">
        <v>7432</v>
      </c>
      <c r="D618" s="42" t="s">
        <v>765</v>
      </c>
      <c r="E618" s="43" t="s">
        <v>8318</v>
      </c>
      <c r="F618" s="42"/>
      <c r="G618" s="42"/>
      <c r="H618" s="43"/>
      <c r="I618" s="42"/>
      <c r="J618" s="42"/>
      <c r="K618" s="42"/>
      <c r="L618" s="42"/>
      <c r="M618" s="42"/>
      <c r="N618" s="42"/>
      <c r="O618" s="42"/>
      <c r="P618" s="42"/>
      <c r="Q618" s="42"/>
      <c r="R618" s="42" t="s">
        <v>7324</v>
      </c>
      <c r="S618" s="42" t="s">
        <v>314</v>
      </c>
      <c r="T618" s="42" t="s">
        <v>3891</v>
      </c>
      <c r="U618" s="42" t="s">
        <v>7325</v>
      </c>
      <c r="V618" s="44" t="s">
        <v>3892</v>
      </c>
      <c r="W618" s="42" t="s">
        <v>3892</v>
      </c>
    </row>
    <row r="619" spans="1:23">
      <c r="A619" s="40">
        <v>109</v>
      </c>
      <c r="B619" s="41">
        <v>1651012984</v>
      </c>
      <c r="C619" s="42" t="s">
        <v>7433</v>
      </c>
      <c r="D619" s="42" t="s">
        <v>765</v>
      </c>
      <c r="E619" s="43" t="s">
        <v>8319</v>
      </c>
      <c r="F619" s="42"/>
      <c r="G619" s="42"/>
      <c r="H619" s="43"/>
      <c r="I619" s="42"/>
      <c r="J619" s="42"/>
      <c r="K619" s="42"/>
      <c r="L619" s="42"/>
      <c r="M619" s="42"/>
      <c r="N619" s="42"/>
      <c r="O619" s="42"/>
      <c r="P619" s="42"/>
      <c r="Q619" s="42"/>
      <c r="R619" s="42" t="s">
        <v>7324</v>
      </c>
      <c r="S619" s="42" t="s">
        <v>314</v>
      </c>
      <c r="T619" s="42" t="s">
        <v>3891</v>
      </c>
      <c r="U619" s="42" t="s">
        <v>7325</v>
      </c>
      <c r="V619" s="44" t="s">
        <v>3892</v>
      </c>
      <c r="W619" s="42" t="s">
        <v>3892</v>
      </c>
    </row>
    <row r="620" spans="1:23">
      <c r="A620" s="40">
        <v>110</v>
      </c>
      <c r="B620" s="41">
        <v>1551012947</v>
      </c>
      <c r="C620" s="42" t="s">
        <v>7434</v>
      </c>
      <c r="D620" s="42" t="s">
        <v>760</v>
      </c>
      <c r="E620" s="43" t="s">
        <v>8320</v>
      </c>
      <c r="F620" s="42"/>
      <c r="G620" s="42"/>
      <c r="H620" s="43"/>
      <c r="I620" s="42"/>
      <c r="J620" s="42"/>
      <c r="K620" s="42"/>
      <c r="L620" s="42"/>
      <c r="M620" s="42"/>
      <c r="N620" s="42"/>
      <c r="O620" s="42"/>
      <c r="P620" s="42"/>
      <c r="Q620" s="42"/>
      <c r="R620" s="42" t="s">
        <v>7324</v>
      </c>
      <c r="S620" s="42" t="s">
        <v>314</v>
      </c>
      <c r="T620" s="42" t="s">
        <v>3891</v>
      </c>
      <c r="U620" s="42" t="s">
        <v>7325</v>
      </c>
      <c r="V620" s="44" t="s">
        <v>3892</v>
      </c>
      <c r="W620" s="42" t="s">
        <v>3892</v>
      </c>
    </row>
    <row r="621" spans="1:23">
      <c r="A621" s="40">
        <v>111</v>
      </c>
      <c r="B621" s="41">
        <v>1751010524</v>
      </c>
      <c r="C621" s="42" t="s">
        <v>7435</v>
      </c>
      <c r="D621" s="42" t="s">
        <v>765</v>
      </c>
      <c r="E621" s="43" t="s">
        <v>8321</v>
      </c>
      <c r="F621" s="42"/>
      <c r="G621" s="42"/>
      <c r="H621" s="43"/>
      <c r="I621" s="42"/>
      <c r="J621" s="42"/>
      <c r="K621" s="42"/>
      <c r="L621" s="42"/>
      <c r="M621" s="42"/>
      <c r="N621" s="42"/>
      <c r="O621" s="42"/>
      <c r="P621" s="42"/>
      <c r="Q621" s="42"/>
      <c r="R621" s="42" t="s">
        <v>7324</v>
      </c>
      <c r="S621" s="42" t="s">
        <v>314</v>
      </c>
      <c r="T621" s="42" t="s">
        <v>3891</v>
      </c>
      <c r="U621" s="42" t="s">
        <v>7325</v>
      </c>
      <c r="V621" s="44" t="s">
        <v>3892</v>
      </c>
      <c r="W621" s="42" t="s">
        <v>3892</v>
      </c>
    </row>
    <row r="622" spans="1:23">
      <c r="A622" s="40">
        <v>112</v>
      </c>
      <c r="B622" s="41">
        <v>1551013027</v>
      </c>
      <c r="C622" s="42" t="s">
        <v>7436</v>
      </c>
      <c r="D622" s="42" t="s">
        <v>760</v>
      </c>
      <c r="E622" s="43" t="s">
        <v>8322</v>
      </c>
      <c r="F622" s="42"/>
      <c r="G622" s="42"/>
      <c r="H622" s="43"/>
      <c r="I622" s="42"/>
      <c r="J622" s="42"/>
      <c r="K622" s="42"/>
      <c r="L622" s="42"/>
      <c r="M622" s="42"/>
      <c r="N622" s="42"/>
      <c r="O622" s="42"/>
      <c r="P622" s="42"/>
      <c r="Q622" s="42"/>
      <c r="R622" s="42" t="s">
        <v>7324</v>
      </c>
      <c r="S622" s="42" t="s">
        <v>314</v>
      </c>
      <c r="T622" s="42" t="s">
        <v>3891</v>
      </c>
      <c r="U622" s="42" t="s">
        <v>7325</v>
      </c>
      <c r="V622" s="44" t="s">
        <v>3892</v>
      </c>
      <c r="W622" s="42" t="s">
        <v>3892</v>
      </c>
    </row>
    <row r="623" spans="1:23">
      <c r="A623" s="40">
        <v>113</v>
      </c>
      <c r="B623" s="41">
        <v>1751012248</v>
      </c>
      <c r="C623" s="42" t="s">
        <v>7437</v>
      </c>
      <c r="D623" s="42" t="s">
        <v>760</v>
      </c>
      <c r="E623" s="43" t="s">
        <v>8323</v>
      </c>
      <c r="F623" s="42"/>
      <c r="G623" s="42"/>
      <c r="H623" s="43"/>
      <c r="I623" s="42"/>
      <c r="J623" s="42"/>
      <c r="K623" s="42"/>
      <c r="L623" s="42"/>
      <c r="M623" s="42"/>
      <c r="N623" s="42"/>
      <c r="O623" s="42"/>
      <c r="P623" s="42"/>
      <c r="Q623" s="42"/>
      <c r="R623" s="42" t="s">
        <v>7324</v>
      </c>
      <c r="S623" s="42" t="s">
        <v>314</v>
      </c>
      <c r="T623" s="42" t="s">
        <v>3891</v>
      </c>
      <c r="U623" s="42" t="s">
        <v>7325</v>
      </c>
      <c r="V623" s="44" t="s">
        <v>3892</v>
      </c>
      <c r="W623" s="42" t="s">
        <v>3892</v>
      </c>
    </row>
    <row r="624" spans="1:23">
      <c r="A624" s="40">
        <v>114</v>
      </c>
      <c r="B624" s="41">
        <v>1551013093</v>
      </c>
      <c r="C624" s="42" t="s">
        <v>7438</v>
      </c>
      <c r="D624" s="42" t="s">
        <v>760</v>
      </c>
      <c r="E624" s="43" t="s">
        <v>8324</v>
      </c>
      <c r="F624" s="42"/>
      <c r="G624" s="42"/>
      <c r="H624" s="43"/>
      <c r="I624" s="42"/>
      <c r="J624" s="42"/>
      <c r="K624" s="42"/>
      <c r="L624" s="42"/>
      <c r="M624" s="42"/>
      <c r="N624" s="42"/>
      <c r="O624" s="42"/>
      <c r="P624" s="42"/>
      <c r="Q624" s="42"/>
      <c r="R624" s="42" t="s">
        <v>7324</v>
      </c>
      <c r="S624" s="42" t="s">
        <v>314</v>
      </c>
      <c r="T624" s="42" t="s">
        <v>3891</v>
      </c>
      <c r="U624" s="42" t="s">
        <v>7325</v>
      </c>
      <c r="V624" s="44" t="s">
        <v>3892</v>
      </c>
      <c r="W624" s="42" t="s">
        <v>3892</v>
      </c>
    </row>
    <row r="625" spans="1:23" ht="60">
      <c r="A625" s="40">
        <v>115</v>
      </c>
      <c r="B625" s="41">
        <v>1851012679</v>
      </c>
      <c r="C625" s="42" t="s">
        <v>7439</v>
      </c>
      <c r="D625" s="42" t="s">
        <v>760</v>
      </c>
      <c r="E625" s="43" t="s">
        <v>8325</v>
      </c>
      <c r="F625" s="42"/>
      <c r="G625" s="42"/>
      <c r="H625" s="43"/>
      <c r="I625" s="42"/>
      <c r="J625" s="42"/>
      <c r="K625" s="42"/>
      <c r="L625" s="42"/>
      <c r="M625" s="42"/>
      <c r="N625" s="42"/>
      <c r="O625" s="42"/>
      <c r="P625" s="42"/>
      <c r="Q625" s="42"/>
      <c r="R625" s="42" t="s">
        <v>7324</v>
      </c>
      <c r="S625" s="42" t="s">
        <v>314</v>
      </c>
      <c r="T625" s="42" t="s">
        <v>3891</v>
      </c>
      <c r="U625" s="42" t="s">
        <v>7325</v>
      </c>
      <c r="V625" s="44" t="s">
        <v>7440</v>
      </c>
      <c r="W625" s="42" t="s">
        <v>3905</v>
      </c>
    </row>
    <row r="626" spans="1:23">
      <c r="A626" s="40">
        <v>116</v>
      </c>
      <c r="B626" s="41">
        <v>1551012846</v>
      </c>
      <c r="C626" s="42" t="s">
        <v>7441</v>
      </c>
      <c r="D626" s="42" t="s">
        <v>760</v>
      </c>
      <c r="E626" s="43" t="s">
        <v>8326</v>
      </c>
      <c r="F626" s="42"/>
      <c r="G626" s="42"/>
      <c r="H626" s="43"/>
      <c r="I626" s="42"/>
      <c r="J626" s="42"/>
      <c r="K626" s="42"/>
      <c r="L626" s="42"/>
      <c r="M626" s="42"/>
      <c r="N626" s="42"/>
      <c r="O626" s="42"/>
      <c r="P626" s="42"/>
      <c r="Q626" s="42"/>
      <c r="R626" s="42" t="s">
        <v>7324</v>
      </c>
      <c r="S626" s="42" t="s">
        <v>314</v>
      </c>
      <c r="T626" s="42" t="s">
        <v>3891</v>
      </c>
      <c r="U626" s="42" t="s">
        <v>7325</v>
      </c>
      <c r="V626" s="44" t="s">
        <v>3892</v>
      </c>
      <c r="W626" s="42" t="s">
        <v>3892</v>
      </c>
    </row>
    <row r="627" spans="1:23">
      <c r="A627" s="40">
        <v>117</v>
      </c>
      <c r="B627" s="41">
        <v>1751010543</v>
      </c>
      <c r="C627" s="42" t="s">
        <v>7442</v>
      </c>
      <c r="D627" s="42" t="s">
        <v>760</v>
      </c>
      <c r="E627" s="43" t="s">
        <v>8327</v>
      </c>
      <c r="F627" s="42"/>
      <c r="G627" s="42"/>
      <c r="H627" s="43"/>
      <c r="I627" s="42"/>
      <c r="J627" s="42"/>
      <c r="K627" s="42"/>
      <c r="L627" s="42"/>
      <c r="M627" s="42"/>
      <c r="N627" s="42"/>
      <c r="O627" s="42"/>
      <c r="P627" s="42"/>
      <c r="Q627" s="42"/>
      <c r="R627" s="42" t="s">
        <v>7324</v>
      </c>
      <c r="S627" s="42" t="s">
        <v>314</v>
      </c>
      <c r="T627" s="42" t="s">
        <v>3891</v>
      </c>
      <c r="U627" s="42" t="s">
        <v>7325</v>
      </c>
      <c r="V627" s="44" t="s">
        <v>3892</v>
      </c>
      <c r="W627" s="42" t="s">
        <v>3892</v>
      </c>
    </row>
    <row r="628" spans="1:23">
      <c r="A628" s="40">
        <v>118</v>
      </c>
      <c r="B628" s="41">
        <v>1551013018</v>
      </c>
      <c r="C628" s="42" t="s">
        <v>7443</v>
      </c>
      <c r="D628" s="42" t="s">
        <v>760</v>
      </c>
      <c r="E628" s="43" t="s">
        <v>8328</v>
      </c>
      <c r="F628" s="42"/>
      <c r="G628" s="42"/>
      <c r="H628" s="43"/>
      <c r="I628" s="42"/>
      <c r="J628" s="42"/>
      <c r="K628" s="42"/>
      <c r="L628" s="42"/>
      <c r="M628" s="42"/>
      <c r="N628" s="42"/>
      <c r="O628" s="42"/>
      <c r="P628" s="42"/>
      <c r="Q628" s="42"/>
      <c r="R628" s="42" t="s">
        <v>7324</v>
      </c>
      <c r="S628" s="42" t="s">
        <v>314</v>
      </c>
      <c r="T628" s="42" t="s">
        <v>3891</v>
      </c>
      <c r="U628" s="42" t="s">
        <v>7325</v>
      </c>
      <c r="V628" s="44" t="s">
        <v>3892</v>
      </c>
      <c r="W628" s="42" t="s">
        <v>3892</v>
      </c>
    </row>
    <row r="629" spans="1:23">
      <c r="A629" s="40">
        <v>119</v>
      </c>
      <c r="B629" s="41">
        <v>1851012904</v>
      </c>
      <c r="C629" s="42" t="s">
        <v>7444</v>
      </c>
      <c r="D629" s="42" t="s">
        <v>760</v>
      </c>
      <c r="E629" s="43" t="s">
        <v>8329</v>
      </c>
      <c r="F629" s="42"/>
      <c r="G629" s="42"/>
      <c r="H629" s="43"/>
      <c r="I629" s="42"/>
      <c r="J629" s="42"/>
      <c r="K629" s="42"/>
      <c r="L629" s="42"/>
      <c r="M629" s="42"/>
      <c r="N629" s="42"/>
      <c r="O629" s="42"/>
      <c r="P629" s="42"/>
      <c r="Q629" s="42"/>
      <c r="R629" s="42" t="s">
        <v>7324</v>
      </c>
      <c r="S629" s="42" t="s">
        <v>314</v>
      </c>
      <c r="T629" s="42" t="s">
        <v>3891</v>
      </c>
      <c r="U629" s="42" t="s">
        <v>7325</v>
      </c>
      <c r="V629" s="44" t="s">
        <v>3892</v>
      </c>
      <c r="W629" s="42" t="s">
        <v>3892</v>
      </c>
    </row>
    <row r="630" spans="1:23">
      <c r="A630" s="40">
        <v>120</v>
      </c>
      <c r="B630" s="41">
        <v>1451013419</v>
      </c>
      <c r="C630" s="42" t="s">
        <v>7445</v>
      </c>
      <c r="D630" s="42" t="s">
        <v>760</v>
      </c>
      <c r="E630" s="43" t="s">
        <v>8330</v>
      </c>
      <c r="F630" s="42"/>
      <c r="G630" s="42"/>
      <c r="H630" s="43"/>
      <c r="I630" s="42"/>
      <c r="J630" s="42"/>
      <c r="K630" s="42"/>
      <c r="L630" s="42"/>
      <c r="M630" s="42"/>
      <c r="N630" s="42"/>
      <c r="O630" s="42"/>
      <c r="P630" s="42"/>
      <c r="Q630" s="42"/>
      <c r="R630" s="42" t="s">
        <v>7324</v>
      </c>
      <c r="S630" s="42" t="s">
        <v>314</v>
      </c>
      <c r="T630" s="42" t="s">
        <v>3891</v>
      </c>
      <c r="U630" s="42" t="s">
        <v>7325</v>
      </c>
      <c r="V630" s="44" t="s">
        <v>3892</v>
      </c>
      <c r="W630" s="42" t="s">
        <v>3892</v>
      </c>
    </row>
    <row r="631" spans="1:23">
      <c r="A631" s="40">
        <v>121</v>
      </c>
      <c r="B631" s="41">
        <v>1351012640</v>
      </c>
      <c r="C631" s="42" t="s">
        <v>7446</v>
      </c>
      <c r="D631" s="42" t="s">
        <v>760</v>
      </c>
      <c r="E631" s="43" t="s">
        <v>8331</v>
      </c>
      <c r="F631" s="42"/>
      <c r="G631" s="42"/>
      <c r="H631" s="43"/>
      <c r="I631" s="42"/>
      <c r="J631" s="42"/>
      <c r="K631" s="42"/>
      <c r="L631" s="42"/>
      <c r="M631" s="42"/>
      <c r="N631" s="42"/>
      <c r="O631" s="42"/>
      <c r="P631" s="42"/>
      <c r="Q631" s="42"/>
      <c r="R631" s="42" t="s">
        <v>7324</v>
      </c>
      <c r="S631" s="42" t="s">
        <v>314</v>
      </c>
      <c r="T631" s="42" t="s">
        <v>3891</v>
      </c>
      <c r="U631" s="42" t="s">
        <v>7325</v>
      </c>
      <c r="V631" s="44" t="s">
        <v>3892</v>
      </c>
      <c r="W631" s="42" t="s">
        <v>3892</v>
      </c>
    </row>
    <row r="632" spans="1:23">
      <c r="A632" s="40">
        <v>122</v>
      </c>
      <c r="B632" s="41">
        <v>1551013032</v>
      </c>
      <c r="C632" s="42" t="s">
        <v>7447</v>
      </c>
      <c r="D632" s="42" t="s">
        <v>760</v>
      </c>
      <c r="E632" s="43" t="s">
        <v>8332</v>
      </c>
      <c r="F632" s="42"/>
      <c r="G632" s="42"/>
      <c r="H632" s="43"/>
      <c r="I632" s="42"/>
      <c r="J632" s="42"/>
      <c r="K632" s="42"/>
      <c r="L632" s="42"/>
      <c r="M632" s="42"/>
      <c r="N632" s="42"/>
      <c r="O632" s="42"/>
      <c r="P632" s="42"/>
      <c r="Q632" s="42"/>
      <c r="R632" s="42" t="s">
        <v>7324</v>
      </c>
      <c r="S632" s="42" t="s">
        <v>314</v>
      </c>
      <c r="T632" s="42" t="s">
        <v>3891</v>
      </c>
      <c r="U632" s="42" t="s">
        <v>7325</v>
      </c>
      <c r="V632" s="44" t="s">
        <v>3892</v>
      </c>
      <c r="W632" s="42" t="s">
        <v>3892</v>
      </c>
    </row>
    <row r="633" spans="1:23">
      <c r="A633" s="40">
        <v>123</v>
      </c>
      <c r="B633" s="41">
        <v>1251012144</v>
      </c>
      <c r="C633" s="42" t="s">
        <v>7448</v>
      </c>
      <c r="D633" s="42" t="s">
        <v>3892</v>
      </c>
      <c r="E633" s="43" t="s">
        <v>7273</v>
      </c>
      <c r="F633" s="42"/>
      <c r="G633" s="42"/>
      <c r="H633" s="43"/>
      <c r="I633" s="42"/>
      <c r="J633" s="42"/>
      <c r="K633" s="42"/>
      <c r="L633" s="42"/>
      <c r="M633" s="42"/>
      <c r="N633" s="42"/>
      <c r="O633" s="42"/>
      <c r="P633" s="42"/>
      <c r="Q633" s="42"/>
      <c r="R633" s="42" t="s">
        <v>7324</v>
      </c>
      <c r="S633" s="42" t="s">
        <v>314</v>
      </c>
      <c r="T633" s="42" t="s">
        <v>3891</v>
      </c>
      <c r="U633" s="42" t="s">
        <v>7325</v>
      </c>
      <c r="V633" s="44" t="s">
        <v>3892</v>
      </c>
      <c r="W633" s="42" t="s">
        <v>7345</v>
      </c>
    </row>
    <row r="634" spans="1:23">
      <c r="A634" s="40">
        <v>124</v>
      </c>
      <c r="B634" s="41">
        <v>1754030190</v>
      </c>
      <c r="C634" s="42" t="s">
        <v>7449</v>
      </c>
      <c r="D634" s="42" t="s">
        <v>765</v>
      </c>
      <c r="E634" s="43" t="s">
        <v>8333</v>
      </c>
      <c r="F634" s="42"/>
      <c r="G634" s="42"/>
      <c r="H634" s="43"/>
      <c r="I634" s="42"/>
      <c r="J634" s="42"/>
      <c r="K634" s="42"/>
      <c r="L634" s="42"/>
      <c r="M634" s="42"/>
      <c r="N634" s="42"/>
      <c r="O634" s="42"/>
      <c r="P634" s="42"/>
      <c r="Q634" s="42"/>
      <c r="R634" s="42" t="s">
        <v>7324</v>
      </c>
      <c r="S634" s="42" t="s">
        <v>314</v>
      </c>
      <c r="T634" s="42" t="s">
        <v>3891</v>
      </c>
      <c r="U634" s="42" t="s">
        <v>7325</v>
      </c>
      <c r="V634" s="44" t="s">
        <v>3892</v>
      </c>
      <c r="W634" s="42" t="s">
        <v>3892</v>
      </c>
    </row>
    <row r="635" spans="1:23">
      <c r="A635" s="40">
        <v>125</v>
      </c>
      <c r="B635" s="41">
        <v>1751012299</v>
      </c>
      <c r="C635" s="42" t="s">
        <v>7450</v>
      </c>
      <c r="D635" s="42" t="s">
        <v>765</v>
      </c>
      <c r="E635" s="43" t="s">
        <v>8334</v>
      </c>
      <c r="F635" s="42"/>
      <c r="G635" s="42"/>
      <c r="H635" s="43"/>
      <c r="I635" s="42"/>
      <c r="J635" s="42"/>
      <c r="K635" s="42"/>
      <c r="L635" s="42"/>
      <c r="M635" s="42"/>
      <c r="N635" s="42"/>
      <c r="O635" s="42"/>
      <c r="P635" s="42"/>
      <c r="Q635" s="42"/>
      <c r="R635" s="42" t="s">
        <v>7324</v>
      </c>
      <c r="S635" s="42" t="s">
        <v>314</v>
      </c>
      <c r="T635" s="42" t="s">
        <v>3891</v>
      </c>
      <c r="U635" s="42" t="s">
        <v>7325</v>
      </c>
      <c r="V635" s="44" t="s">
        <v>3892</v>
      </c>
      <c r="W635" s="42" t="s">
        <v>3892</v>
      </c>
    </row>
    <row r="636" spans="1:23">
      <c r="A636" s="40">
        <v>126</v>
      </c>
      <c r="B636" s="41">
        <v>1751012226</v>
      </c>
      <c r="C636" s="42" t="s">
        <v>7451</v>
      </c>
      <c r="D636" s="42" t="s">
        <v>760</v>
      </c>
      <c r="E636" s="43" t="s">
        <v>8335</v>
      </c>
      <c r="F636" s="42"/>
      <c r="G636" s="42"/>
      <c r="H636" s="43"/>
      <c r="I636" s="42"/>
      <c r="J636" s="42"/>
      <c r="K636" s="42"/>
      <c r="L636" s="42"/>
      <c r="M636" s="42"/>
      <c r="N636" s="42"/>
      <c r="O636" s="42"/>
      <c r="P636" s="42"/>
      <c r="Q636" s="42"/>
      <c r="R636" s="42" t="s">
        <v>7324</v>
      </c>
      <c r="S636" s="42" t="s">
        <v>314</v>
      </c>
      <c r="T636" s="42" t="s">
        <v>3891</v>
      </c>
      <c r="U636" s="42" t="s">
        <v>7325</v>
      </c>
      <c r="V636" s="44" t="s">
        <v>3892</v>
      </c>
      <c r="W636" s="42" t="s">
        <v>3892</v>
      </c>
    </row>
    <row r="637" spans="1:23">
      <c r="A637" s="40">
        <v>127</v>
      </c>
      <c r="B637" s="41">
        <v>1551013099</v>
      </c>
      <c r="C637" s="42" t="s">
        <v>7452</v>
      </c>
      <c r="D637" s="42" t="s">
        <v>760</v>
      </c>
      <c r="E637" s="43" t="s">
        <v>8336</v>
      </c>
      <c r="F637" s="42"/>
      <c r="G637" s="42"/>
      <c r="H637" s="43"/>
      <c r="I637" s="42"/>
      <c r="J637" s="42"/>
      <c r="K637" s="42"/>
      <c r="L637" s="42"/>
      <c r="M637" s="42"/>
      <c r="N637" s="42"/>
      <c r="O637" s="42"/>
      <c r="P637" s="42"/>
      <c r="Q637" s="42"/>
      <c r="R637" s="42" t="s">
        <v>7324</v>
      </c>
      <c r="S637" s="42" t="s">
        <v>314</v>
      </c>
      <c r="T637" s="42" t="s">
        <v>3891</v>
      </c>
      <c r="U637" s="42" t="s">
        <v>7325</v>
      </c>
      <c r="V637" s="44" t="s">
        <v>3892</v>
      </c>
      <c r="W637" s="42" t="s">
        <v>3892</v>
      </c>
    </row>
    <row r="638" spans="1:23">
      <c r="A638" s="40">
        <v>128</v>
      </c>
      <c r="B638" s="41">
        <v>1351013152</v>
      </c>
      <c r="C638" s="42" t="s">
        <v>7453</v>
      </c>
      <c r="D638" s="42" t="s">
        <v>760</v>
      </c>
      <c r="E638" s="43" t="s">
        <v>8337</v>
      </c>
      <c r="F638" s="42"/>
      <c r="G638" s="42"/>
      <c r="H638" s="43"/>
      <c r="I638" s="42"/>
      <c r="J638" s="42"/>
      <c r="K638" s="42"/>
      <c r="L638" s="42"/>
      <c r="M638" s="42"/>
      <c r="N638" s="42"/>
      <c r="O638" s="42"/>
      <c r="P638" s="42"/>
      <c r="Q638" s="42"/>
      <c r="R638" s="42" t="s">
        <v>7324</v>
      </c>
      <c r="S638" s="42" t="s">
        <v>314</v>
      </c>
      <c r="T638" s="42" t="s">
        <v>3891</v>
      </c>
      <c r="U638" s="42" t="s">
        <v>7325</v>
      </c>
      <c r="V638" s="44" t="s">
        <v>3892</v>
      </c>
      <c r="W638" s="42" t="s">
        <v>3892</v>
      </c>
    </row>
    <row r="639" spans="1:23">
      <c r="A639" s="40">
        <v>129</v>
      </c>
      <c r="B639" s="41">
        <v>1351012799</v>
      </c>
      <c r="C639" s="42" t="s">
        <v>7454</v>
      </c>
      <c r="D639" s="42" t="s">
        <v>760</v>
      </c>
      <c r="E639" s="43" t="s">
        <v>8235</v>
      </c>
      <c r="F639" s="42"/>
      <c r="G639" s="42"/>
      <c r="H639" s="43"/>
      <c r="I639" s="42"/>
      <c r="J639" s="42"/>
      <c r="K639" s="42"/>
      <c r="L639" s="42"/>
      <c r="M639" s="42"/>
      <c r="N639" s="42"/>
      <c r="O639" s="42"/>
      <c r="P639" s="42"/>
      <c r="Q639" s="42"/>
      <c r="R639" s="42" t="s">
        <v>7324</v>
      </c>
      <c r="S639" s="42" t="s">
        <v>314</v>
      </c>
      <c r="T639" s="42" t="s">
        <v>3891</v>
      </c>
      <c r="U639" s="42" t="s">
        <v>7325</v>
      </c>
      <c r="V639" s="44" t="s">
        <v>3892</v>
      </c>
      <c r="W639" s="42" t="s">
        <v>3892</v>
      </c>
    </row>
    <row r="640" spans="1:23">
      <c r="A640" s="40">
        <v>130</v>
      </c>
      <c r="B640" s="41">
        <v>1551012934</v>
      </c>
      <c r="C640" s="42" t="s">
        <v>7455</v>
      </c>
      <c r="D640" s="42" t="s">
        <v>3892</v>
      </c>
      <c r="E640" s="43" t="s">
        <v>7273</v>
      </c>
      <c r="F640" s="42"/>
      <c r="G640" s="42"/>
      <c r="H640" s="43"/>
      <c r="I640" s="42"/>
      <c r="J640" s="42"/>
      <c r="K640" s="42"/>
      <c r="L640" s="42"/>
      <c r="M640" s="42"/>
      <c r="N640" s="42"/>
      <c r="O640" s="42"/>
      <c r="P640" s="42"/>
      <c r="Q640" s="42"/>
      <c r="R640" s="42" t="s">
        <v>7324</v>
      </c>
      <c r="S640" s="42" t="s">
        <v>314</v>
      </c>
      <c r="T640" s="42" t="s">
        <v>3891</v>
      </c>
      <c r="U640" s="42" t="s">
        <v>7325</v>
      </c>
      <c r="V640" s="44" t="s">
        <v>3892</v>
      </c>
      <c r="W640" s="42" t="s">
        <v>7345</v>
      </c>
    </row>
    <row r="641" spans="1:23">
      <c r="A641" s="40">
        <v>131</v>
      </c>
      <c r="B641" s="41">
        <v>1551012920</v>
      </c>
      <c r="C641" s="42" t="s">
        <v>7456</v>
      </c>
      <c r="D641" s="42" t="s">
        <v>3892</v>
      </c>
      <c r="E641" s="43" t="s">
        <v>7273</v>
      </c>
      <c r="F641" s="42"/>
      <c r="G641" s="42"/>
      <c r="H641" s="43"/>
      <c r="I641" s="42"/>
      <c r="J641" s="42"/>
      <c r="K641" s="42"/>
      <c r="L641" s="42"/>
      <c r="M641" s="42"/>
      <c r="N641" s="42"/>
      <c r="O641" s="42"/>
      <c r="P641" s="42"/>
      <c r="Q641" s="42"/>
      <c r="R641" s="42" t="s">
        <v>7324</v>
      </c>
      <c r="S641" s="42" t="s">
        <v>314</v>
      </c>
      <c r="T641" s="42" t="s">
        <v>3891</v>
      </c>
      <c r="U641" s="42" t="s">
        <v>7325</v>
      </c>
      <c r="V641" s="44" t="s">
        <v>3892</v>
      </c>
      <c r="W641" s="42" t="s">
        <v>3892</v>
      </c>
    </row>
    <row r="642" spans="1:23">
      <c r="A642" s="40">
        <v>132</v>
      </c>
      <c r="B642" s="41">
        <v>1651012084</v>
      </c>
      <c r="C642" s="42" t="s">
        <v>7457</v>
      </c>
      <c r="D642" s="42" t="s">
        <v>760</v>
      </c>
      <c r="E642" s="43" t="s">
        <v>8338</v>
      </c>
      <c r="F642" s="42"/>
      <c r="G642" s="42"/>
      <c r="H642" s="43"/>
      <c r="I642" s="42"/>
      <c r="J642" s="42"/>
      <c r="K642" s="42"/>
      <c r="L642" s="42"/>
      <c r="M642" s="42"/>
      <c r="N642" s="42"/>
      <c r="O642" s="42"/>
      <c r="P642" s="42"/>
      <c r="Q642" s="42"/>
      <c r="R642" s="42" t="s">
        <v>7324</v>
      </c>
      <c r="S642" s="42" t="s">
        <v>314</v>
      </c>
      <c r="T642" s="42" t="s">
        <v>3891</v>
      </c>
      <c r="U642" s="42" t="s">
        <v>7325</v>
      </c>
      <c r="V642" s="44" t="s">
        <v>3892</v>
      </c>
      <c r="W642" s="42" t="s">
        <v>3892</v>
      </c>
    </row>
    <row r="643" spans="1:23" ht="60">
      <c r="A643" s="40">
        <v>133</v>
      </c>
      <c r="B643" s="41">
        <v>1851012990</v>
      </c>
      <c r="C643" s="42" t="s">
        <v>7458</v>
      </c>
      <c r="D643" s="42" t="s">
        <v>760</v>
      </c>
      <c r="E643" s="43" t="s">
        <v>8339</v>
      </c>
      <c r="F643" s="42"/>
      <c r="G643" s="42"/>
      <c r="H643" s="43"/>
      <c r="I643" s="42"/>
      <c r="J643" s="42"/>
      <c r="K643" s="42"/>
      <c r="L643" s="42"/>
      <c r="M643" s="42"/>
      <c r="N643" s="42"/>
      <c r="O643" s="42"/>
      <c r="P643" s="42"/>
      <c r="Q643" s="42"/>
      <c r="R643" s="42" t="s">
        <v>7324</v>
      </c>
      <c r="S643" s="42" t="s">
        <v>314</v>
      </c>
      <c r="T643" s="42" t="s">
        <v>3891</v>
      </c>
      <c r="U643" s="42" t="s">
        <v>7325</v>
      </c>
      <c r="V643" s="44" t="s">
        <v>7459</v>
      </c>
      <c r="W643" s="42" t="s">
        <v>3905</v>
      </c>
    </row>
    <row r="644" spans="1:23">
      <c r="A644" s="40">
        <v>134</v>
      </c>
      <c r="B644" s="41">
        <v>1551013056</v>
      </c>
      <c r="C644" s="42" t="s">
        <v>7460</v>
      </c>
      <c r="D644" s="42" t="s">
        <v>3892</v>
      </c>
      <c r="E644" s="43" t="s">
        <v>7273</v>
      </c>
      <c r="F644" s="42"/>
      <c r="G644" s="42"/>
      <c r="H644" s="43"/>
      <c r="I644" s="42"/>
      <c r="J644" s="42"/>
      <c r="K644" s="42"/>
      <c r="L644" s="42"/>
      <c r="M644" s="42"/>
      <c r="N644" s="42"/>
      <c r="O644" s="42"/>
      <c r="P644" s="42"/>
      <c r="Q644" s="42"/>
      <c r="R644" s="42" t="s">
        <v>7324</v>
      </c>
      <c r="S644" s="42" t="s">
        <v>314</v>
      </c>
      <c r="T644" s="42" t="s">
        <v>3891</v>
      </c>
      <c r="U644" s="42" t="s">
        <v>7325</v>
      </c>
      <c r="V644" s="44" t="s">
        <v>3892</v>
      </c>
      <c r="W644" s="42" t="s">
        <v>7345</v>
      </c>
    </row>
    <row r="645" spans="1:23">
      <c r="A645" s="40">
        <v>135</v>
      </c>
      <c r="B645" s="41">
        <v>1751010500</v>
      </c>
      <c r="C645" s="42" t="s">
        <v>7461</v>
      </c>
      <c r="D645" s="42" t="s">
        <v>3892</v>
      </c>
      <c r="E645" s="43" t="s">
        <v>7273</v>
      </c>
      <c r="F645" s="42"/>
      <c r="G645" s="42"/>
      <c r="H645" s="43"/>
      <c r="I645" s="42"/>
      <c r="J645" s="42"/>
      <c r="K645" s="42"/>
      <c r="L645" s="42"/>
      <c r="M645" s="42"/>
      <c r="N645" s="42"/>
      <c r="O645" s="42"/>
      <c r="P645" s="42"/>
      <c r="Q645" s="42"/>
      <c r="R645" s="42" t="s">
        <v>7324</v>
      </c>
      <c r="S645" s="42" t="s">
        <v>314</v>
      </c>
      <c r="T645" s="42" t="s">
        <v>3891</v>
      </c>
      <c r="U645" s="42" t="s">
        <v>7325</v>
      </c>
      <c r="V645" s="44" t="s">
        <v>3892</v>
      </c>
      <c r="W645" s="42" t="s">
        <v>7345</v>
      </c>
    </row>
    <row r="646" spans="1:23">
      <c r="A646" s="40">
        <v>136</v>
      </c>
      <c r="B646" s="41">
        <v>1851012750</v>
      </c>
      <c r="C646" s="42" t="s">
        <v>7462</v>
      </c>
      <c r="D646" s="42" t="s">
        <v>760</v>
      </c>
      <c r="E646" s="43" t="s">
        <v>8340</v>
      </c>
      <c r="F646" s="42"/>
      <c r="G646" s="42"/>
      <c r="H646" s="43"/>
      <c r="I646" s="42"/>
      <c r="J646" s="42"/>
      <c r="K646" s="42"/>
      <c r="L646" s="42"/>
      <c r="M646" s="42"/>
      <c r="N646" s="42"/>
      <c r="O646" s="42"/>
      <c r="P646" s="42"/>
      <c r="Q646" s="42"/>
      <c r="R646" s="42" t="s">
        <v>7324</v>
      </c>
      <c r="S646" s="42" t="s">
        <v>314</v>
      </c>
      <c r="T646" s="42" t="s">
        <v>3891</v>
      </c>
      <c r="U646" s="42" t="s">
        <v>7325</v>
      </c>
      <c r="V646" s="44" t="s">
        <v>3892</v>
      </c>
      <c r="W646" s="42" t="s">
        <v>3892</v>
      </c>
    </row>
    <row r="647" spans="1:23">
      <c r="A647" s="40">
        <v>137</v>
      </c>
      <c r="B647" s="41">
        <v>1751012246</v>
      </c>
      <c r="C647" s="42" t="s">
        <v>7463</v>
      </c>
      <c r="D647" s="42" t="s">
        <v>760</v>
      </c>
      <c r="E647" s="43" t="s">
        <v>8341</v>
      </c>
      <c r="F647" s="42"/>
      <c r="G647" s="42"/>
      <c r="H647" s="43"/>
      <c r="I647" s="42"/>
      <c r="J647" s="42"/>
      <c r="K647" s="42"/>
      <c r="L647" s="42"/>
      <c r="M647" s="42"/>
      <c r="N647" s="42"/>
      <c r="O647" s="42"/>
      <c r="P647" s="42"/>
      <c r="Q647" s="42"/>
      <c r="R647" s="42" t="s">
        <v>7324</v>
      </c>
      <c r="S647" s="42" t="s">
        <v>314</v>
      </c>
      <c r="T647" s="42" t="s">
        <v>3891</v>
      </c>
      <c r="U647" s="42" t="s">
        <v>7325</v>
      </c>
      <c r="V647" s="44" t="s">
        <v>3892</v>
      </c>
      <c r="W647" s="42" t="s">
        <v>3892</v>
      </c>
    </row>
    <row r="648" spans="1:23">
      <c r="A648" s="40">
        <v>138</v>
      </c>
      <c r="B648" s="41">
        <v>1551012861</v>
      </c>
      <c r="C648" s="42" t="s">
        <v>7464</v>
      </c>
      <c r="D648" s="42" t="s">
        <v>760</v>
      </c>
      <c r="E648" s="43" t="s">
        <v>8342</v>
      </c>
      <c r="F648" s="42"/>
      <c r="G648" s="42"/>
      <c r="H648" s="43"/>
      <c r="I648" s="42"/>
      <c r="J648" s="42"/>
      <c r="K648" s="42"/>
      <c r="L648" s="42"/>
      <c r="M648" s="42"/>
      <c r="N648" s="42"/>
      <c r="O648" s="42"/>
      <c r="P648" s="42"/>
      <c r="Q648" s="42"/>
      <c r="R648" s="42" t="s">
        <v>7324</v>
      </c>
      <c r="S648" s="42" t="s">
        <v>314</v>
      </c>
      <c r="T648" s="42" t="s">
        <v>3891</v>
      </c>
      <c r="U648" s="42" t="s">
        <v>7325</v>
      </c>
      <c r="V648" s="44" t="s">
        <v>3892</v>
      </c>
      <c r="W648" s="42" t="s">
        <v>3892</v>
      </c>
    </row>
    <row r="649" spans="1:23">
      <c r="A649" s="40">
        <v>139</v>
      </c>
      <c r="B649" s="41">
        <v>1751010641</v>
      </c>
      <c r="C649" s="42" t="s">
        <v>7465</v>
      </c>
      <c r="D649" s="42" t="s">
        <v>760</v>
      </c>
      <c r="E649" s="43" t="s">
        <v>8343</v>
      </c>
      <c r="F649" s="42"/>
      <c r="G649" s="42"/>
      <c r="H649" s="43"/>
      <c r="I649" s="42"/>
      <c r="J649" s="42"/>
      <c r="K649" s="42"/>
      <c r="L649" s="42"/>
      <c r="M649" s="42"/>
      <c r="N649" s="42"/>
      <c r="O649" s="42"/>
      <c r="P649" s="42"/>
      <c r="Q649" s="42"/>
      <c r="R649" s="42" t="s">
        <v>7324</v>
      </c>
      <c r="S649" s="42" t="s">
        <v>314</v>
      </c>
      <c r="T649" s="42" t="s">
        <v>3891</v>
      </c>
      <c r="U649" s="42" t="s">
        <v>7325</v>
      </c>
      <c r="V649" s="44" t="s">
        <v>3892</v>
      </c>
      <c r="W649" s="42" t="s">
        <v>3892</v>
      </c>
    </row>
    <row r="650" spans="1:23">
      <c r="A650" s="40">
        <v>140</v>
      </c>
      <c r="B650" s="41">
        <v>1651012970</v>
      </c>
      <c r="C650" s="42" t="s">
        <v>7466</v>
      </c>
      <c r="D650" s="42" t="s">
        <v>760</v>
      </c>
      <c r="E650" s="43" t="s">
        <v>8344</v>
      </c>
      <c r="F650" s="42"/>
      <c r="G650" s="42"/>
      <c r="H650" s="43"/>
      <c r="I650" s="42"/>
      <c r="J650" s="42"/>
      <c r="K650" s="42"/>
      <c r="L650" s="42"/>
      <c r="M650" s="42"/>
      <c r="N650" s="42"/>
      <c r="O650" s="42"/>
      <c r="P650" s="42"/>
      <c r="Q650" s="42"/>
      <c r="R650" s="42" t="s">
        <v>7324</v>
      </c>
      <c r="S650" s="42" t="s">
        <v>314</v>
      </c>
      <c r="T650" s="42" t="s">
        <v>3891</v>
      </c>
      <c r="U650" s="42" t="s">
        <v>7325</v>
      </c>
      <c r="V650" s="44" t="s">
        <v>3892</v>
      </c>
      <c r="W650" s="42" t="s">
        <v>3892</v>
      </c>
    </row>
    <row r="651" spans="1:23">
      <c r="A651" s="40">
        <v>141</v>
      </c>
      <c r="B651" s="41">
        <v>1551013055</v>
      </c>
      <c r="C651" s="42" t="s">
        <v>7467</v>
      </c>
      <c r="D651" s="42" t="s">
        <v>760</v>
      </c>
      <c r="E651" s="43" t="s">
        <v>8345</v>
      </c>
      <c r="F651" s="42"/>
      <c r="G651" s="42"/>
      <c r="H651" s="43"/>
      <c r="I651" s="42"/>
      <c r="J651" s="42"/>
      <c r="K651" s="42"/>
      <c r="L651" s="42"/>
      <c r="M651" s="42"/>
      <c r="N651" s="42"/>
      <c r="O651" s="42"/>
      <c r="P651" s="42"/>
      <c r="Q651" s="42"/>
      <c r="R651" s="42" t="s">
        <v>7324</v>
      </c>
      <c r="S651" s="42" t="s">
        <v>314</v>
      </c>
      <c r="T651" s="42" t="s">
        <v>3891</v>
      </c>
      <c r="U651" s="42" t="s">
        <v>7325</v>
      </c>
      <c r="V651" s="44" t="s">
        <v>3892</v>
      </c>
      <c r="W651" s="42" t="s">
        <v>3892</v>
      </c>
    </row>
    <row r="652" spans="1:23">
      <c r="A652" s="40">
        <v>142</v>
      </c>
      <c r="B652" s="41">
        <v>1251012317</v>
      </c>
      <c r="C652" s="42" t="s">
        <v>7468</v>
      </c>
      <c r="D652" s="42" t="s">
        <v>760</v>
      </c>
      <c r="E652" s="43" t="s">
        <v>8346</v>
      </c>
      <c r="F652" s="42"/>
      <c r="G652" s="42"/>
      <c r="H652" s="43"/>
      <c r="I652" s="42"/>
      <c r="J652" s="42"/>
      <c r="K652" s="42"/>
      <c r="L652" s="42"/>
      <c r="M652" s="42"/>
      <c r="N652" s="42"/>
      <c r="O652" s="42"/>
      <c r="P652" s="42"/>
      <c r="Q652" s="42"/>
      <c r="R652" s="42" t="s">
        <v>7324</v>
      </c>
      <c r="S652" s="42" t="s">
        <v>314</v>
      </c>
      <c r="T652" s="42" t="s">
        <v>3891</v>
      </c>
      <c r="U652" s="42" t="s">
        <v>7325</v>
      </c>
      <c r="V652" s="44" t="s">
        <v>3892</v>
      </c>
      <c r="W652" s="42" t="s">
        <v>3892</v>
      </c>
    </row>
    <row r="653" spans="1:23">
      <c r="A653" s="40">
        <v>143</v>
      </c>
      <c r="B653" s="41">
        <v>1651012126</v>
      </c>
      <c r="C653" s="42" t="s">
        <v>7469</v>
      </c>
      <c r="D653" s="42" t="s">
        <v>765</v>
      </c>
      <c r="E653" s="43" t="s">
        <v>8266</v>
      </c>
      <c r="F653" s="42"/>
      <c r="G653" s="42"/>
      <c r="H653" s="43"/>
      <c r="I653" s="42"/>
      <c r="J653" s="42"/>
      <c r="K653" s="42"/>
      <c r="L653" s="42"/>
      <c r="M653" s="42"/>
      <c r="N653" s="42"/>
      <c r="O653" s="42"/>
      <c r="P653" s="42"/>
      <c r="Q653" s="42"/>
      <c r="R653" s="42" t="s">
        <v>7324</v>
      </c>
      <c r="S653" s="42" t="s">
        <v>314</v>
      </c>
      <c r="T653" s="42" t="s">
        <v>3891</v>
      </c>
      <c r="U653" s="42" t="s">
        <v>7325</v>
      </c>
      <c r="V653" s="44" t="s">
        <v>3892</v>
      </c>
      <c r="W653" s="42" t="s">
        <v>3892</v>
      </c>
    </row>
    <row r="654" spans="1:23">
      <c r="A654" s="40">
        <v>144</v>
      </c>
      <c r="B654" s="41">
        <v>1651012835</v>
      </c>
      <c r="C654" s="42" t="s">
        <v>7470</v>
      </c>
      <c r="D654" s="42" t="s">
        <v>760</v>
      </c>
      <c r="E654" s="43" t="s">
        <v>8347</v>
      </c>
      <c r="F654" s="42"/>
      <c r="G654" s="42"/>
      <c r="H654" s="43"/>
      <c r="I654" s="42"/>
      <c r="J654" s="42"/>
      <c r="K654" s="42"/>
      <c r="L654" s="42"/>
      <c r="M654" s="42"/>
      <c r="N654" s="42"/>
      <c r="O654" s="42"/>
      <c r="P654" s="42"/>
      <c r="Q654" s="42"/>
      <c r="R654" s="42" t="s">
        <v>7324</v>
      </c>
      <c r="S654" s="42" t="s">
        <v>314</v>
      </c>
      <c r="T654" s="42" t="s">
        <v>3891</v>
      </c>
      <c r="U654" s="42" t="s">
        <v>7325</v>
      </c>
      <c r="V654" s="44" t="s">
        <v>3892</v>
      </c>
      <c r="W654" s="42" t="s">
        <v>3892</v>
      </c>
    </row>
    <row r="655" spans="1:23">
      <c r="A655" s="40">
        <v>145</v>
      </c>
      <c r="B655" s="41">
        <v>1551012939</v>
      </c>
      <c r="C655" s="42" t="s">
        <v>7471</v>
      </c>
      <c r="D655" s="42" t="s">
        <v>760</v>
      </c>
      <c r="E655" s="43" t="s">
        <v>8348</v>
      </c>
      <c r="F655" s="42"/>
      <c r="G655" s="42"/>
      <c r="H655" s="43"/>
      <c r="I655" s="42"/>
      <c r="J655" s="42"/>
      <c r="K655" s="42"/>
      <c r="L655" s="42"/>
      <c r="M655" s="42"/>
      <c r="N655" s="42"/>
      <c r="O655" s="42"/>
      <c r="P655" s="42"/>
      <c r="Q655" s="42"/>
      <c r="R655" s="42" t="s">
        <v>7324</v>
      </c>
      <c r="S655" s="42" t="s">
        <v>314</v>
      </c>
      <c r="T655" s="42" t="s">
        <v>3891</v>
      </c>
      <c r="U655" s="42" t="s">
        <v>7325</v>
      </c>
      <c r="V655" s="44" t="s">
        <v>3892</v>
      </c>
      <c r="W655" s="42" t="s">
        <v>3892</v>
      </c>
    </row>
    <row r="656" spans="1:23">
      <c r="A656" s="40">
        <v>146</v>
      </c>
      <c r="B656" s="41">
        <v>1551013004</v>
      </c>
      <c r="C656" s="42" t="s">
        <v>7472</v>
      </c>
      <c r="D656" s="42" t="s">
        <v>760</v>
      </c>
      <c r="E656" s="43" t="s">
        <v>8349</v>
      </c>
      <c r="F656" s="42"/>
      <c r="G656" s="42"/>
      <c r="H656" s="43"/>
      <c r="I656" s="42"/>
      <c r="J656" s="42"/>
      <c r="K656" s="42"/>
      <c r="L656" s="42"/>
      <c r="M656" s="42"/>
      <c r="N656" s="42"/>
      <c r="O656" s="42"/>
      <c r="P656" s="42"/>
      <c r="Q656" s="42"/>
      <c r="R656" s="42" t="s">
        <v>7324</v>
      </c>
      <c r="S656" s="42" t="s">
        <v>314</v>
      </c>
      <c r="T656" s="42" t="s">
        <v>3891</v>
      </c>
      <c r="U656" s="42" t="s">
        <v>7325</v>
      </c>
      <c r="V656" s="44" t="s">
        <v>3892</v>
      </c>
      <c r="W656" s="42" t="s">
        <v>3892</v>
      </c>
    </row>
    <row r="657" spans="1:23">
      <c r="A657" s="40">
        <v>147</v>
      </c>
      <c r="B657" s="41">
        <v>1551013280</v>
      </c>
      <c r="C657" s="42" t="s">
        <v>7473</v>
      </c>
      <c r="D657" s="42" t="s">
        <v>760</v>
      </c>
      <c r="E657" s="43" t="s">
        <v>7273</v>
      </c>
      <c r="F657" s="42"/>
      <c r="G657" s="42"/>
      <c r="H657" s="43"/>
      <c r="I657" s="42"/>
      <c r="J657" s="42"/>
      <c r="K657" s="42"/>
      <c r="L657" s="42"/>
      <c r="M657" s="42"/>
      <c r="N657" s="42"/>
      <c r="O657" s="42"/>
      <c r="P657" s="42"/>
      <c r="Q657" s="42"/>
      <c r="R657" s="42" t="s">
        <v>7324</v>
      </c>
      <c r="S657" s="42" t="s">
        <v>314</v>
      </c>
      <c r="T657" s="42" t="s">
        <v>3891</v>
      </c>
      <c r="U657" s="42" t="s">
        <v>7325</v>
      </c>
      <c r="V657" s="44" t="s">
        <v>3892</v>
      </c>
      <c r="W657" s="42" t="s">
        <v>3892</v>
      </c>
    </row>
    <row r="658" spans="1:23">
      <c r="A658" s="40">
        <v>148</v>
      </c>
      <c r="B658" s="41">
        <v>1651012081</v>
      </c>
      <c r="C658" s="42" t="s">
        <v>7474</v>
      </c>
      <c r="D658" s="42" t="s">
        <v>765</v>
      </c>
      <c r="E658" s="43" t="s">
        <v>8350</v>
      </c>
      <c r="F658" s="42"/>
      <c r="G658" s="42"/>
      <c r="H658" s="43"/>
      <c r="I658" s="42"/>
      <c r="J658" s="42"/>
      <c r="K658" s="42"/>
      <c r="L658" s="42"/>
      <c r="M658" s="42"/>
      <c r="N658" s="42"/>
      <c r="O658" s="42"/>
      <c r="P658" s="42"/>
      <c r="Q658" s="42"/>
      <c r="R658" s="42" t="s">
        <v>7324</v>
      </c>
      <c r="S658" s="42" t="s">
        <v>314</v>
      </c>
      <c r="T658" s="42" t="s">
        <v>3891</v>
      </c>
      <c r="U658" s="42" t="s">
        <v>7325</v>
      </c>
      <c r="V658" s="44" t="s">
        <v>3892</v>
      </c>
      <c r="W658" s="42" t="s">
        <v>3892</v>
      </c>
    </row>
    <row r="659" spans="1:23">
      <c r="A659" s="40">
        <v>149</v>
      </c>
      <c r="B659" s="41">
        <v>1451013460</v>
      </c>
      <c r="C659" s="42" t="s">
        <v>7475</v>
      </c>
      <c r="D659" s="42" t="s">
        <v>760</v>
      </c>
      <c r="E659" s="43" t="s">
        <v>8351</v>
      </c>
      <c r="F659" s="42"/>
      <c r="G659" s="42"/>
      <c r="H659" s="43"/>
      <c r="I659" s="42"/>
      <c r="J659" s="42"/>
      <c r="K659" s="42"/>
      <c r="L659" s="42"/>
      <c r="M659" s="42"/>
      <c r="N659" s="42"/>
      <c r="O659" s="42"/>
      <c r="P659" s="42"/>
      <c r="Q659" s="42"/>
      <c r="R659" s="42" t="s">
        <v>7324</v>
      </c>
      <c r="S659" s="42" t="s">
        <v>314</v>
      </c>
      <c r="T659" s="42" t="s">
        <v>3891</v>
      </c>
      <c r="U659" s="42" t="s">
        <v>7325</v>
      </c>
      <c r="V659" s="44" t="s">
        <v>3892</v>
      </c>
      <c r="W659" s="42" t="s">
        <v>3892</v>
      </c>
    </row>
    <row r="660" spans="1:23">
      <c r="A660" s="40">
        <v>150</v>
      </c>
      <c r="B660" s="41">
        <v>1451011358</v>
      </c>
      <c r="C660" s="42" t="s">
        <v>7476</v>
      </c>
      <c r="D660" s="42" t="s">
        <v>760</v>
      </c>
      <c r="E660" s="43" t="s">
        <v>8352</v>
      </c>
      <c r="F660" s="42"/>
      <c r="G660" s="42"/>
      <c r="H660" s="43"/>
      <c r="I660" s="42"/>
      <c r="J660" s="42"/>
      <c r="K660" s="42"/>
      <c r="L660" s="42"/>
      <c r="M660" s="42"/>
      <c r="N660" s="42"/>
      <c r="O660" s="42"/>
      <c r="P660" s="42"/>
      <c r="Q660" s="42"/>
      <c r="R660" s="42" t="s">
        <v>7324</v>
      </c>
      <c r="S660" s="42" t="s">
        <v>314</v>
      </c>
      <c r="T660" s="42" t="s">
        <v>3891</v>
      </c>
      <c r="U660" s="42" t="s">
        <v>7325</v>
      </c>
      <c r="V660" s="44" t="s">
        <v>3892</v>
      </c>
      <c r="W660" s="42" t="s">
        <v>3892</v>
      </c>
    </row>
    <row r="661" spans="1:23">
      <c r="A661" s="40">
        <v>151</v>
      </c>
      <c r="B661" s="41">
        <v>1651011793</v>
      </c>
      <c r="C661" s="42" t="s">
        <v>7477</v>
      </c>
      <c r="D661" s="42" t="s">
        <v>765</v>
      </c>
      <c r="E661" s="43" t="s">
        <v>8265</v>
      </c>
      <c r="F661" s="42"/>
      <c r="G661" s="42"/>
      <c r="H661" s="43"/>
      <c r="I661" s="42"/>
      <c r="J661" s="42"/>
      <c r="K661" s="42"/>
      <c r="L661" s="42"/>
      <c r="M661" s="42"/>
      <c r="N661" s="42"/>
      <c r="O661" s="42"/>
      <c r="P661" s="42"/>
      <c r="Q661" s="42"/>
      <c r="R661" s="42" t="s">
        <v>7324</v>
      </c>
      <c r="S661" s="42" t="s">
        <v>314</v>
      </c>
      <c r="T661" s="42" t="s">
        <v>3891</v>
      </c>
      <c r="U661" s="42" t="s">
        <v>7325</v>
      </c>
      <c r="V661" s="44" t="s">
        <v>3892</v>
      </c>
      <c r="W661" s="42" t="s">
        <v>3892</v>
      </c>
    </row>
    <row r="662" spans="1:23">
      <c r="A662" s="40">
        <v>152</v>
      </c>
      <c r="B662" s="41">
        <v>1551012966</v>
      </c>
      <c r="C662" s="42" t="s">
        <v>7478</v>
      </c>
      <c r="D662" s="42" t="s">
        <v>760</v>
      </c>
      <c r="E662" s="43" t="s">
        <v>8353</v>
      </c>
      <c r="F662" s="42"/>
      <c r="G662" s="42"/>
      <c r="H662" s="43"/>
      <c r="I662" s="42"/>
      <c r="J662" s="42"/>
      <c r="K662" s="42"/>
      <c r="L662" s="42"/>
      <c r="M662" s="42"/>
      <c r="N662" s="42"/>
      <c r="O662" s="42"/>
      <c r="P662" s="42"/>
      <c r="Q662" s="42"/>
      <c r="R662" s="42" t="s">
        <v>7324</v>
      </c>
      <c r="S662" s="42" t="s">
        <v>314</v>
      </c>
      <c r="T662" s="42" t="s">
        <v>3891</v>
      </c>
      <c r="U662" s="42" t="s">
        <v>7325</v>
      </c>
      <c r="V662" s="44" t="s">
        <v>3892</v>
      </c>
      <c r="W662" s="42" t="s">
        <v>3892</v>
      </c>
    </row>
    <row r="663" spans="1:23">
      <c r="A663" s="40">
        <v>153</v>
      </c>
      <c r="B663" s="41">
        <v>1451011638</v>
      </c>
      <c r="C663" s="42" t="s">
        <v>7479</v>
      </c>
      <c r="D663" s="42" t="s">
        <v>3892</v>
      </c>
      <c r="E663" s="43" t="s">
        <v>7273</v>
      </c>
      <c r="F663" s="42"/>
      <c r="G663" s="42"/>
      <c r="H663" s="43"/>
      <c r="I663" s="42"/>
      <c r="J663" s="42"/>
      <c r="K663" s="42"/>
      <c r="L663" s="42"/>
      <c r="M663" s="42"/>
      <c r="N663" s="42"/>
      <c r="O663" s="42"/>
      <c r="P663" s="42"/>
      <c r="Q663" s="42"/>
      <c r="R663" s="42" t="s">
        <v>7324</v>
      </c>
      <c r="S663" s="42" t="s">
        <v>314</v>
      </c>
      <c r="T663" s="42" t="s">
        <v>3891</v>
      </c>
      <c r="U663" s="42" t="s">
        <v>7325</v>
      </c>
      <c r="V663" s="44" t="s">
        <v>3892</v>
      </c>
      <c r="W663" s="42" t="s">
        <v>7345</v>
      </c>
    </row>
    <row r="664" spans="1:23">
      <c r="A664" s="40">
        <v>154</v>
      </c>
      <c r="B664" s="41">
        <v>1651011392</v>
      </c>
      <c r="C664" s="42" t="s">
        <v>7480</v>
      </c>
      <c r="D664" s="42" t="s">
        <v>760</v>
      </c>
      <c r="E664" s="43" t="s">
        <v>8354</v>
      </c>
      <c r="F664" s="42"/>
      <c r="G664" s="42"/>
      <c r="H664" s="43"/>
      <c r="I664" s="42"/>
      <c r="J664" s="42"/>
      <c r="K664" s="42"/>
      <c r="L664" s="42"/>
      <c r="M664" s="42"/>
      <c r="N664" s="42"/>
      <c r="O664" s="42"/>
      <c r="P664" s="42"/>
      <c r="Q664" s="42"/>
      <c r="R664" s="42" t="s">
        <v>7324</v>
      </c>
      <c r="S664" s="42" t="s">
        <v>314</v>
      </c>
      <c r="T664" s="42" t="s">
        <v>3891</v>
      </c>
      <c r="U664" s="42" t="s">
        <v>7325</v>
      </c>
      <c r="V664" s="44" t="s">
        <v>3892</v>
      </c>
      <c r="W664" s="42" t="s">
        <v>3892</v>
      </c>
    </row>
    <row r="665" spans="1:23">
      <c r="A665" s="40">
        <v>155</v>
      </c>
      <c r="B665" s="41">
        <v>1551012924</v>
      </c>
      <c r="C665" s="42" t="s">
        <v>7481</v>
      </c>
      <c r="D665" s="42" t="s">
        <v>760</v>
      </c>
      <c r="E665" s="43" t="s">
        <v>8355</v>
      </c>
      <c r="F665" s="42"/>
      <c r="G665" s="42"/>
      <c r="H665" s="43"/>
      <c r="I665" s="42"/>
      <c r="J665" s="42"/>
      <c r="K665" s="42"/>
      <c r="L665" s="42"/>
      <c r="M665" s="42"/>
      <c r="N665" s="42"/>
      <c r="O665" s="42"/>
      <c r="P665" s="42"/>
      <c r="Q665" s="42"/>
      <c r="R665" s="42" t="s">
        <v>7324</v>
      </c>
      <c r="S665" s="42" t="s">
        <v>314</v>
      </c>
      <c r="T665" s="42" t="s">
        <v>3891</v>
      </c>
      <c r="U665" s="42" t="s">
        <v>7325</v>
      </c>
      <c r="V665" s="44" t="s">
        <v>3892</v>
      </c>
      <c r="W665" s="42" t="s">
        <v>3892</v>
      </c>
    </row>
    <row r="666" spans="1:23">
      <c r="A666" s="40">
        <v>156</v>
      </c>
      <c r="B666" s="41">
        <v>1551013013</v>
      </c>
      <c r="C666" s="42" t="s">
        <v>7482</v>
      </c>
      <c r="D666" s="42" t="s">
        <v>760</v>
      </c>
      <c r="E666" s="43" t="s">
        <v>8356</v>
      </c>
      <c r="F666" s="42"/>
      <c r="G666" s="42"/>
      <c r="H666" s="43"/>
      <c r="I666" s="42"/>
      <c r="J666" s="42"/>
      <c r="K666" s="42"/>
      <c r="L666" s="42"/>
      <c r="M666" s="42"/>
      <c r="N666" s="42"/>
      <c r="O666" s="42"/>
      <c r="P666" s="42"/>
      <c r="Q666" s="42"/>
      <c r="R666" s="42" t="s">
        <v>7324</v>
      </c>
      <c r="S666" s="42" t="s">
        <v>314</v>
      </c>
      <c r="T666" s="42" t="s">
        <v>3891</v>
      </c>
      <c r="U666" s="42" t="s">
        <v>7325</v>
      </c>
      <c r="V666" s="44" t="s">
        <v>3892</v>
      </c>
      <c r="W666" s="42" t="s">
        <v>3892</v>
      </c>
    </row>
    <row r="667" spans="1:23">
      <c r="A667" s="40">
        <v>157</v>
      </c>
      <c r="B667" s="41">
        <v>1651012893</v>
      </c>
      <c r="C667" s="42" t="s">
        <v>7483</v>
      </c>
      <c r="D667" s="42" t="s">
        <v>760</v>
      </c>
      <c r="E667" s="43" t="s">
        <v>8357</v>
      </c>
      <c r="F667" s="42"/>
      <c r="G667" s="42"/>
      <c r="H667" s="43"/>
      <c r="I667" s="42"/>
      <c r="J667" s="42"/>
      <c r="K667" s="42"/>
      <c r="L667" s="42"/>
      <c r="M667" s="42"/>
      <c r="N667" s="42"/>
      <c r="O667" s="42"/>
      <c r="P667" s="42"/>
      <c r="Q667" s="42"/>
      <c r="R667" s="42" t="s">
        <v>7324</v>
      </c>
      <c r="S667" s="42" t="s">
        <v>314</v>
      </c>
      <c r="T667" s="42" t="s">
        <v>3891</v>
      </c>
      <c r="U667" s="42" t="s">
        <v>7325</v>
      </c>
      <c r="V667" s="44" t="s">
        <v>3892</v>
      </c>
      <c r="W667" s="42" t="s">
        <v>3892</v>
      </c>
    </row>
    <row r="668" spans="1:23">
      <c r="A668" s="40">
        <v>158</v>
      </c>
      <c r="B668" s="41">
        <v>1751040563</v>
      </c>
      <c r="C668" s="42" t="s">
        <v>7484</v>
      </c>
      <c r="D668" s="42" t="s">
        <v>760</v>
      </c>
      <c r="E668" s="43" t="s">
        <v>8358</v>
      </c>
      <c r="F668" s="42"/>
      <c r="G668" s="42"/>
      <c r="H668" s="43"/>
      <c r="I668" s="42"/>
      <c r="J668" s="42"/>
      <c r="K668" s="42"/>
      <c r="L668" s="42"/>
      <c r="M668" s="42"/>
      <c r="N668" s="42"/>
      <c r="O668" s="42"/>
      <c r="P668" s="42"/>
      <c r="Q668" s="42"/>
      <c r="R668" s="42" t="s">
        <v>7324</v>
      </c>
      <c r="S668" s="42" t="s">
        <v>314</v>
      </c>
      <c r="T668" s="42" t="s">
        <v>3891</v>
      </c>
      <c r="U668" s="42" t="s">
        <v>7325</v>
      </c>
      <c r="V668" s="44" t="s">
        <v>3892</v>
      </c>
      <c r="W668" s="42" t="s">
        <v>3892</v>
      </c>
    </row>
    <row r="669" spans="1:23">
      <c r="A669" s="40">
        <v>159</v>
      </c>
      <c r="B669" s="41">
        <v>1551012975</v>
      </c>
      <c r="C669" s="42" t="s">
        <v>7485</v>
      </c>
      <c r="D669" s="42" t="s">
        <v>760</v>
      </c>
      <c r="E669" s="43" t="s">
        <v>8359</v>
      </c>
      <c r="F669" s="42"/>
      <c r="G669" s="42"/>
      <c r="H669" s="43"/>
      <c r="I669" s="42"/>
      <c r="J669" s="42"/>
      <c r="K669" s="42"/>
      <c r="L669" s="42"/>
      <c r="M669" s="42"/>
      <c r="N669" s="42"/>
      <c r="O669" s="42"/>
      <c r="P669" s="42"/>
      <c r="Q669" s="42"/>
      <c r="R669" s="42" t="s">
        <v>7324</v>
      </c>
      <c r="S669" s="42" t="s">
        <v>314</v>
      </c>
      <c r="T669" s="42" t="s">
        <v>3891</v>
      </c>
      <c r="U669" s="42" t="s">
        <v>7325</v>
      </c>
      <c r="V669" s="44" t="s">
        <v>3892</v>
      </c>
      <c r="W669" s="42" t="s">
        <v>3892</v>
      </c>
    </row>
    <row r="670" spans="1:23">
      <c r="A670" s="40">
        <v>160</v>
      </c>
      <c r="B670" s="41">
        <v>1251012240</v>
      </c>
      <c r="C670" s="42" t="s">
        <v>7486</v>
      </c>
      <c r="D670" s="42" t="s">
        <v>760</v>
      </c>
      <c r="E670" s="43" t="s">
        <v>8360</v>
      </c>
      <c r="F670" s="42"/>
      <c r="G670" s="42"/>
      <c r="H670" s="43"/>
      <c r="I670" s="42"/>
      <c r="J670" s="42"/>
      <c r="K670" s="42"/>
      <c r="L670" s="42"/>
      <c r="M670" s="42"/>
      <c r="N670" s="42"/>
      <c r="O670" s="42"/>
      <c r="P670" s="42"/>
      <c r="Q670" s="42"/>
      <c r="R670" s="42" t="s">
        <v>7324</v>
      </c>
      <c r="S670" s="42" t="s">
        <v>314</v>
      </c>
      <c r="T670" s="42" t="s">
        <v>3891</v>
      </c>
      <c r="U670" s="42" t="s">
        <v>7325</v>
      </c>
      <c r="V670" s="44" t="s">
        <v>3892</v>
      </c>
      <c r="W670" s="42" t="s">
        <v>3892</v>
      </c>
    </row>
    <row r="671" spans="1:23">
      <c r="A671" s="40">
        <v>161</v>
      </c>
      <c r="B671" s="41">
        <v>1551013067</v>
      </c>
      <c r="C671" s="42" t="s">
        <v>7487</v>
      </c>
      <c r="D671" s="42" t="s">
        <v>760</v>
      </c>
      <c r="E671" s="43" t="s">
        <v>8361</v>
      </c>
      <c r="F671" s="42"/>
      <c r="G671" s="42"/>
      <c r="H671" s="43"/>
      <c r="I671" s="42"/>
      <c r="J671" s="42"/>
      <c r="K671" s="42"/>
      <c r="L671" s="42"/>
      <c r="M671" s="42"/>
      <c r="N671" s="42"/>
      <c r="O671" s="42"/>
      <c r="P671" s="42"/>
      <c r="Q671" s="42"/>
      <c r="R671" s="42" t="s">
        <v>7324</v>
      </c>
      <c r="S671" s="42" t="s">
        <v>314</v>
      </c>
      <c r="T671" s="42" t="s">
        <v>3891</v>
      </c>
      <c r="U671" s="42" t="s">
        <v>7325</v>
      </c>
      <c r="V671" s="44" t="s">
        <v>3892</v>
      </c>
      <c r="W671" s="42" t="s">
        <v>3892</v>
      </c>
    </row>
    <row r="672" spans="1:23">
      <c r="A672" s="40">
        <v>162</v>
      </c>
      <c r="B672" s="41">
        <v>1651012840</v>
      </c>
      <c r="C672" s="42" t="s">
        <v>7488</v>
      </c>
      <c r="D672" s="42" t="s">
        <v>760</v>
      </c>
      <c r="E672" s="43" t="s">
        <v>8362</v>
      </c>
      <c r="F672" s="42"/>
      <c r="G672" s="42"/>
      <c r="H672" s="43"/>
      <c r="I672" s="42"/>
      <c r="J672" s="42"/>
      <c r="K672" s="42"/>
      <c r="L672" s="42"/>
      <c r="M672" s="42"/>
      <c r="N672" s="42"/>
      <c r="O672" s="42"/>
      <c r="P672" s="42"/>
      <c r="Q672" s="42"/>
      <c r="R672" s="42" t="s">
        <v>7324</v>
      </c>
      <c r="S672" s="42" t="s">
        <v>314</v>
      </c>
      <c r="T672" s="42" t="s">
        <v>3891</v>
      </c>
      <c r="U672" s="42" t="s">
        <v>7325</v>
      </c>
      <c r="V672" s="44" t="s">
        <v>3892</v>
      </c>
      <c r="W672" s="42" t="s">
        <v>3892</v>
      </c>
    </row>
    <row r="673" spans="1:23">
      <c r="A673" s="40">
        <v>163</v>
      </c>
      <c r="B673" s="41">
        <v>1551013036</v>
      </c>
      <c r="C673" s="42" t="s">
        <v>7489</v>
      </c>
      <c r="D673" s="42" t="s">
        <v>760</v>
      </c>
      <c r="E673" s="43" t="s">
        <v>8363</v>
      </c>
      <c r="F673" s="42"/>
      <c r="G673" s="42"/>
      <c r="H673" s="43"/>
      <c r="I673" s="42"/>
      <c r="J673" s="42"/>
      <c r="K673" s="42"/>
      <c r="L673" s="42"/>
      <c r="M673" s="42"/>
      <c r="N673" s="42"/>
      <c r="O673" s="42"/>
      <c r="P673" s="42"/>
      <c r="Q673" s="42"/>
      <c r="R673" s="42" t="s">
        <v>7324</v>
      </c>
      <c r="S673" s="42" t="s">
        <v>314</v>
      </c>
      <c r="T673" s="42" t="s">
        <v>3891</v>
      </c>
      <c r="U673" s="42" t="s">
        <v>7325</v>
      </c>
      <c r="V673" s="44" t="s">
        <v>3892</v>
      </c>
      <c r="W673" s="42" t="s">
        <v>3892</v>
      </c>
    </row>
    <row r="674" spans="1:23">
      <c r="A674" s="40">
        <v>164</v>
      </c>
      <c r="B674" s="41">
        <v>1351012710</v>
      </c>
      <c r="C674" s="42" t="s">
        <v>7490</v>
      </c>
      <c r="D674" s="42" t="s">
        <v>760</v>
      </c>
      <c r="E674" s="43" t="s">
        <v>8364</v>
      </c>
      <c r="F674" s="42"/>
      <c r="G674" s="42"/>
      <c r="H674" s="43"/>
      <c r="I674" s="42"/>
      <c r="J674" s="42"/>
      <c r="K674" s="42"/>
      <c r="L674" s="42"/>
      <c r="M674" s="42"/>
      <c r="N674" s="42"/>
      <c r="O674" s="42"/>
      <c r="P674" s="42"/>
      <c r="Q674" s="42"/>
      <c r="R674" s="42" t="s">
        <v>7324</v>
      </c>
      <c r="S674" s="42" t="s">
        <v>314</v>
      </c>
      <c r="T674" s="42" t="s">
        <v>3891</v>
      </c>
      <c r="U674" s="42" t="s">
        <v>7325</v>
      </c>
      <c r="V674" s="44" t="s">
        <v>3892</v>
      </c>
      <c r="W674" s="42" t="s">
        <v>3892</v>
      </c>
    </row>
    <row r="675" spans="1:23">
      <c r="A675" s="40">
        <v>165</v>
      </c>
      <c r="B675" s="41">
        <v>1651012842</v>
      </c>
      <c r="C675" s="42" t="s">
        <v>7491</v>
      </c>
      <c r="D675" s="42" t="s">
        <v>760</v>
      </c>
      <c r="E675" s="43" t="s">
        <v>8365</v>
      </c>
      <c r="F675" s="42"/>
      <c r="G675" s="42"/>
      <c r="H675" s="43"/>
      <c r="I675" s="42"/>
      <c r="J675" s="42"/>
      <c r="K675" s="42"/>
      <c r="L675" s="42"/>
      <c r="M675" s="42"/>
      <c r="N675" s="42"/>
      <c r="O675" s="42"/>
      <c r="P675" s="42"/>
      <c r="Q675" s="42"/>
      <c r="R675" s="42" t="s">
        <v>7324</v>
      </c>
      <c r="S675" s="42" t="s">
        <v>314</v>
      </c>
      <c r="T675" s="42" t="s">
        <v>3891</v>
      </c>
      <c r="U675" s="42" t="s">
        <v>7325</v>
      </c>
      <c r="V675" s="44" t="s">
        <v>3892</v>
      </c>
      <c r="W675" s="42" t="s">
        <v>3892</v>
      </c>
    </row>
    <row r="676" spans="1:23">
      <c r="A676" s="40">
        <v>166</v>
      </c>
      <c r="B676" s="41">
        <v>1751010135</v>
      </c>
      <c r="C676" s="42" t="s">
        <v>7492</v>
      </c>
      <c r="D676" s="42" t="s">
        <v>760</v>
      </c>
      <c r="E676" s="43" t="s">
        <v>8366</v>
      </c>
      <c r="F676" s="42"/>
      <c r="G676" s="42"/>
      <c r="H676" s="43"/>
      <c r="I676" s="42"/>
      <c r="J676" s="42"/>
      <c r="K676" s="42"/>
      <c r="L676" s="42"/>
      <c r="M676" s="42"/>
      <c r="N676" s="42"/>
      <c r="O676" s="42"/>
      <c r="P676" s="42"/>
      <c r="Q676" s="42"/>
      <c r="R676" s="42" t="s">
        <v>7324</v>
      </c>
      <c r="S676" s="42" t="s">
        <v>314</v>
      </c>
      <c r="T676" s="42" t="s">
        <v>3891</v>
      </c>
      <c r="U676" s="42" t="s">
        <v>7325</v>
      </c>
      <c r="V676" s="44" t="s">
        <v>3892</v>
      </c>
      <c r="W676" s="42" t="s">
        <v>3892</v>
      </c>
    </row>
    <row r="677" spans="1:23">
      <c r="A677" s="40">
        <v>167</v>
      </c>
      <c r="B677" s="41">
        <v>1851012995</v>
      </c>
      <c r="C677" s="42" t="s">
        <v>7493</v>
      </c>
      <c r="D677" s="42" t="s">
        <v>760</v>
      </c>
      <c r="E677" s="43" t="s">
        <v>8367</v>
      </c>
      <c r="F677" s="42"/>
      <c r="G677" s="42"/>
      <c r="H677" s="43"/>
      <c r="I677" s="42"/>
      <c r="J677" s="42"/>
      <c r="K677" s="42"/>
      <c r="L677" s="42"/>
      <c r="M677" s="42"/>
      <c r="N677" s="42"/>
      <c r="O677" s="42"/>
      <c r="P677" s="42"/>
      <c r="Q677" s="42"/>
      <c r="R677" s="42" t="s">
        <v>7324</v>
      </c>
      <c r="S677" s="42" t="s">
        <v>314</v>
      </c>
      <c r="T677" s="42" t="s">
        <v>3891</v>
      </c>
      <c r="U677" s="42" t="s">
        <v>7325</v>
      </c>
      <c r="V677" s="44" t="s">
        <v>3892</v>
      </c>
      <c r="W677" s="42" t="s">
        <v>3892</v>
      </c>
    </row>
    <row r="678" spans="1:23" ht="60">
      <c r="A678" s="40">
        <v>168</v>
      </c>
      <c r="B678" s="41">
        <v>1851012669</v>
      </c>
      <c r="C678" s="42" t="s">
        <v>7494</v>
      </c>
      <c r="D678" s="42" t="s">
        <v>760</v>
      </c>
      <c r="E678" s="43" t="s">
        <v>8368</v>
      </c>
      <c r="F678" s="42"/>
      <c r="G678" s="42"/>
      <c r="H678" s="43"/>
      <c r="I678" s="42"/>
      <c r="J678" s="42"/>
      <c r="K678" s="42"/>
      <c r="L678" s="42"/>
      <c r="M678" s="42"/>
      <c r="N678" s="42"/>
      <c r="O678" s="42"/>
      <c r="P678" s="42"/>
      <c r="Q678" s="42"/>
      <c r="R678" s="42" t="s">
        <v>7324</v>
      </c>
      <c r="S678" s="42" t="s">
        <v>314</v>
      </c>
      <c r="T678" s="42" t="s">
        <v>3891</v>
      </c>
      <c r="U678" s="42" t="s">
        <v>7325</v>
      </c>
      <c r="V678" s="44" t="s">
        <v>7495</v>
      </c>
      <c r="W678" s="42" t="s">
        <v>3905</v>
      </c>
    </row>
    <row r="679" spans="1:23">
      <c r="A679" s="40">
        <v>169</v>
      </c>
      <c r="B679" s="41">
        <v>1451013222</v>
      </c>
      <c r="C679" s="42" t="s">
        <v>7496</v>
      </c>
      <c r="D679" s="42" t="s">
        <v>760</v>
      </c>
      <c r="E679" s="43" t="s">
        <v>8369</v>
      </c>
      <c r="F679" s="42"/>
      <c r="G679" s="42"/>
      <c r="H679" s="43"/>
      <c r="I679" s="42"/>
      <c r="J679" s="42"/>
      <c r="K679" s="42"/>
      <c r="L679" s="42"/>
      <c r="M679" s="42"/>
      <c r="N679" s="42"/>
      <c r="O679" s="42"/>
      <c r="P679" s="42"/>
      <c r="Q679" s="42"/>
      <c r="R679" s="42" t="s">
        <v>7324</v>
      </c>
      <c r="S679" s="42" t="s">
        <v>314</v>
      </c>
      <c r="T679" s="42" t="s">
        <v>3891</v>
      </c>
      <c r="U679" s="42" t="s">
        <v>7325</v>
      </c>
      <c r="V679" s="44" t="s">
        <v>3892</v>
      </c>
      <c r="W679" s="42" t="s">
        <v>3892</v>
      </c>
    </row>
    <row r="680" spans="1:23">
      <c r="A680" s="40">
        <v>170</v>
      </c>
      <c r="B680" s="41">
        <v>1251012245</v>
      </c>
      <c r="C680" s="42" t="s">
        <v>7497</v>
      </c>
      <c r="D680" s="42" t="s">
        <v>765</v>
      </c>
      <c r="E680" s="43" t="s">
        <v>8370</v>
      </c>
      <c r="F680" s="42"/>
      <c r="G680" s="42"/>
      <c r="H680" s="43"/>
      <c r="I680" s="42"/>
      <c r="J680" s="42"/>
      <c r="K680" s="42"/>
      <c r="L680" s="42"/>
      <c r="M680" s="42"/>
      <c r="N680" s="42"/>
      <c r="O680" s="42"/>
      <c r="P680" s="42"/>
      <c r="Q680" s="42"/>
      <c r="R680" s="42" t="s">
        <v>7324</v>
      </c>
      <c r="S680" s="42" t="s">
        <v>314</v>
      </c>
      <c r="T680" s="42" t="s">
        <v>3891</v>
      </c>
      <c r="U680" s="42" t="s">
        <v>7325</v>
      </c>
      <c r="V680" s="44" t="s">
        <v>3892</v>
      </c>
      <c r="W680" s="42" t="s">
        <v>3892</v>
      </c>
    </row>
    <row r="681" spans="1:23">
      <c r="A681" s="40">
        <v>171</v>
      </c>
      <c r="B681" s="41">
        <v>1551012943</v>
      </c>
      <c r="C681" s="42" t="s">
        <v>7498</v>
      </c>
      <c r="D681" s="42" t="s">
        <v>760</v>
      </c>
      <c r="E681" s="43" t="s">
        <v>8371</v>
      </c>
      <c r="F681" s="42"/>
      <c r="G681" s="42"/>
      <c r="H681" s="43"/>
      <c r="I681" s="42"/>
      <c r="J681" s="42"/>
      <c r="K681" s="42"/>
      <c r="L681" s="42"/>
      <c r="M681" s="42"/>
      <c r="N681" s="42"/>
      <c r="O681" s="42"/>
      <c r="P681" s="42"/>
      <c r="Q681" s="42"/>
      <c r="R681" s="42" t="s">
        <v>7324</v>
      </c>
      <c r="S681" s="42" t="s">
        <v>314</v>
      </c>
      <c r="T681" s="42" t="s">
        <v>3891</v>
      </c>
      <c r="U681" s="42" t="s">
        <v>7325</v>
      </c>
      <c r="V681" s="44" t="s">
        <v>3892</v>
      </c>
      <c r="W681" s="42" t="s">
        <v>3892</v>
      </c>
    </row>
    <row r="682" spans="1:23">
      <c r="A682" s="40">
        <v>172</v>
      </c>
      <c r="B682" s="41">
        <v>1251012327</v>
      </c>
      <c r="C682" s="42" t="s">
        <v>7499</v>
      </c>
      <c r="D682" s="42" t="s">
        <v>760</v>
      </c>
      <c r="E682" s="43" t="s">
        <v>8372</v>
      </c>
      <c r="F682" s="42"/>
      <c r="G682" s="42"/>
      <c r="H682" s="43"/>
      <c r="I682" s="42"/>
      <c r="J682" s="42"/>
      <c r="K682" s="42"/>
      <c r="L682" s="42"/>
      <c r="M682" s="42"/>
      <c r="N682" s="42"/>
      <c r="O682" s="42"/>
      <c r="P682" s="42"/>
      <c r="Q682" s="42"/>
      <c r="R682" s="42" t="s">
        <v>7324</v>
      </c>
      <c r="S682" s="42" t="s">
        <v>314</v>
      </c>
      <c r="T682" s="42" t="s">
        <v>3891</v>
      </c>
      <c r="U682" s="42" t="s">
        <v>7325</v>
      </c>
      <c r="V682" s="44" t="s">
        <v>3892</v>
      </c>
      <c r="W682" s="42" t="s">
        <v>3892</v>
      </c>
    </row>
    <row r="683" spans="1:23">
      <c r="A683" s="40">
        <v>173</v>
      </c>
      <c r="B683" s="41">
        <v>1651012843</v>
      </c>
      <c r="C683" s="42" t="s">
        <v>7500</v>
      </c>
      <c r="D683" s="42" t="s">
        <v>760</v>
      </c>
      <c r="E683" s="43" t="s">
        <v>8373</v>
      </c>
      <c r="F683" s="42"/>
      <c r="G683" s="42"/>
      <c r="H683" s="43"/>
      <c r="I683" s="42"/>
      <c r="J683" s="42"/>
      <c r="K683" s="42"/>
      <c r="L683" s="42"/>
      <c r="M683" s="42"/>
      <c r="N683" s="42"/>
      <c r="O683" s="42"/>
      <c r="P683" s="42"/>
      <c r="Q683" s="42"/>
      <c r="R683" s="42" t="s">
        <v>7324</v>
      </c>
      <c r="S683" s="42" t="s">
        <v>314</v>
      </c>
      <c r="T683" s="42" t="s">
        <v>3891</v>
      </c>
      <c r="U683" s="42" t="s">
        <v>7325</v>
      </c>
      <c r="V683" s="44" t="s">
        <v>3892</v>
      </c>
      <c r="W683" s="42" t="s">
        <v>3892</v>
      </c>
    </row>
    <row r="684" spans="1:23">
      <c r="A684" s="40">
        <v>174</v>
      </c>
      <c r="B684" s="41">
        <v>1551013172</v>
      </c>
      <c r="C684" s="42" t="s">
        <v>7501</v>
      </c>
      <c r="D684" s="42" t="s">
        <v>760</v>
      </c>
      <c r="E684" s="43" t="s">
        <v>8374</v>
      </c>
      <c r="F684" s="42"/>
      <c r="G684" s="42"/>
      <c r="H684" s="43"/>
      <c r="I684" s="42"/>
      <c r="J684" s="42"/>
      <c r="K684" s="42"/>
      <c r="L684" s="42"/>
      <c r="M684" s="42"/>
      <c r="N684" s="42"/>
      <c r="O684" s="42"/>
      <c r="P684" s="42"/>
      <c r="Q684" s="42"/>
      <c r="R684" s="42" t="s">
        <v>7324</v>
      </c>
      <c r="S684" s="42" t="s">
        <v>314</v>
      </c>
      <c r="T684" s="42" t="s">
        <v>3891</v>
      </c>
      <c r="U684" s="42" t="s">
        <v>7325</v>
      </c>
      <c r="V684" s="44" t="s">
        <v>3892</v>
      </c>
      <c r="W684" s="42" t="s">
        <v>3892</v>
      </c>
    </row>
    <row r="685" spans="1:23">
      <c r="A685" s="40">
        <v>175</v>
      </c>
      <c r="B685" s="41">
        <v>1451011656</v>
      </c>
      <c r="C685" s="42" t="s">
        <v>7502</v>
      </c>
      <c r="D685" s="42" t="s">
        <v>760</v>
      </c>
      <c r="E685" s="43" t="s">
        <v>8375</v>
      </c>
      <c r="F685" s="42"/>
      <c r="G685" s="42"/>
      <c r="H685" s="43"/>
      <c r="I685" s="42"/>
      <c r="J685" s="42"/>
      <c r="K685" s="42"/>
      <c r="L685" s="42"/>
      <c r="M685" s="42"/>
      <c r="N685" s="42"/>
      <c r="O685" s="42"/>
      <c r="P685" s="42"/>
      <c r="Q685" s="42"/>
      <c r="R685" s="42" t="s">
        <v>7324</v>
      </c>
      <c r="S685" s="42" t="s">
        <v>314</v>
      </c>
      <c r="T685" s="42" t="s">
        <v>3891</v>
      </c>
      <c r="U685" s="42" t="s">
        <v>7325</v>
      </c>
      <c r="V685" s="44" t="s">
        <v>3892</v>
      </c>
      <c r="W685" s="42" t="s">
        <v>3892</v>
      </c>
    </row>
    <row r="686" spans="1:23">
      <c r="A686" s="40">
        <v>176</v>
      </c>
      <c r="B686" s="41">
        <v>1551013138</v>
      </c>
      <c r="C686" s="42" t="s">
        <v>7503</v>
      </c>
      <c r="D686" s="42" t="s">
        <v>3892</v>
      </c>
      <c r="E686" s="43" t="s">
        <v>7273</v>
      </c>
      <c r="F686" s="42"/>
      <c r="G686" s="42"/>
      <c r="H686" s="43"/>
      <c r="I686" s="42"/>
      <c r="J686" s="42"/>
      <c r="K686" s="42"/>
      <c r="L686" s="42"/>
      <c r="M686" s="42"/>
      <c r="N686" s="42"/>
      <c r="O686" s="42"/>
      <c r="P686" s="42"/>
      <c r="Q686" s="42"/>
      <c r="R686" s="42" t="s">
        <v>7324</v>
      </c>
      <c r="S686" s="42" t="s">
        <v>314</v>
      </c>
      <c r="T686" s="42" t="s">
        <v>3891</v>
      </c>
      <c r="U686" s="42" t="s">
        <v>7325</v>
      </c>
      <c r="V686" s="44" t="s">
        <v>3892</v>
      </c>
      <c r="W686" s="42" t="s">
        <v>3892</v>
      </c>
    </row>
    <row r="687" spans="1:23">
      <c r="A687" s="40">
        <v>177</v>
      </c>
      <c r="B687" s="41">
        <v>1251012417</v>
      </c>
      <c r="C687" s="42" t="s">
        <v>7504</v>
      </c>
      <c r="D687" s="42" t="s">
        <v>760</v>
      </c>
      <c r="E687" s="43" t="s">
        <v>8376</v>
      </c>
      <c r="F687" s="42"/>
      <c r="G687" s="42"/>
      <c r="H687" s="43"/>
      <c r="I687" s="42"/>
      <c r="J687" s="42"/>
      <c r="K687" s="42"/>
      <c r="L687" s="42"/>
      <c r="M687" s="42"/>
      <c r="N687" s="42"/>
      <c r="O687" s="42"/>
      <c r="P687" s="42"/>
      <c r="Q687" s="42"/>
      <c r="R687" s="42" t="s">
        <v>7324</v>
      </c>
      <c r="S687" s="42" t="s">
        <v>314</v>
      </c>
      <c r="T687" s="42" t="s">
        <v>3891</v>
      </c>
      <c r="U687" s="42" t="s">
        <v>7325</v>
      </c>
      <c r="V687" s="44" t="s">
        <v>3892</v>
      </c>
      <c r="W687" s="42" t="s">
        <v>3892</v>
      </c>
    </row>
    <row r="688" spans="1:23">
      <c r="A688" s="40">
        <v>178</v>
      </c>
      <c r="B688" s="41">
        <v>1351012736</v>
      </c>
      <c r="C688" s="42" t="s">
        <v>7505</v>
      </c>
      <c r="D688" s="42" t="s">
        <v>760</v>
      </c>
      <c r="E688" s="43" t="s">
        <v>8377</v>
      </c>
      <c r="F688" s="42"/>
      <c r="G688" s="42"/>
      <c r="H688" s="43"/>
      <c r="I688" s="42"/>
      <c r="J688" s="42"/>
      <c r="K688" s="42"/>
      <c r="L688" s="42"/>
      <c r="M688" s="42"/>
      <c r="N688" s="42"/>
      <c r="O688" s="42"/>
      <c r="P688" s="42"/>
      <c r="Q688" s="42"/>
      <c r="R688" s="42" t="s">
        <v>7324</v>
      </c>
      <c r="S688" s="42" t="s">
        <v>314</v>
      </c>
      <c r="T688" s="42" t="s">
        <v>3891</v>
      </c>
      <c r="U688" s="42" t="s">
        <v>7325</v>
      </c>
      <c r="V688" s="44" t="s">
        <v>3892</v>
      </c>
      <c r="W688" s="42" t="s">
        <v>3892</v>
      </c>
    </row>
    <row r="689" spans="1:23">
      <c r="A689" s="40">
        <v>179</v>
      </c>
      <c r="B689" s="41">
        <v>1551013080</v>
      </c>
      <c r="C689" s="42" t="s">
        <v>7506</v>
      </c>
      <c r="D689" s="42" t="s">
        <v>760</v>
      </c>
      <c r="E689" s="43" t="s">
        <v>3859</v>
      </c>
      <c r="F689" s="42"/>
      <c r="G689" s="42"/>
      <c r="H689" s="43"/>
      <c r="I689" s="42"/>
      <c r="J689" s="42"/>
      <c r="K689" s="42"/>
      <c r="L689" s="42"/>
      <c r="M689" s="42"/>
      <c r="N689" s="42"/>
      <c r="O689" s="42"/>
      <c r="P689" s="42"/>
      <c r="Q689" s="42"/>
      <c r="R689" s="42" t="s">
        <v>7324</v>
      </c>
      <c r="S689" s="42" t="s">
        <v>314</v>
      </c>
      <c r="T689" s="42" t="s">
        <v>3891</v>
      </c>
      <c r="U689" s="42" t="s">
        <v>7325</v>
      </c>
      <c r="V689" s="44" t="s">
        <v>3892</v>
      </c>
      <c r="W689" s="42" t="s">
        <v>3892</v>
      </c>
    </row>
    <row r="690" spans="1:23">
      <c r="A690" s="40">
        <v>180</v>
      </c>
      <c r="B690" s="41">
        <v>1651011530</v>
      </c>
      <c r="C690" s="42" t="s">
        <v>7507</v>
      </c>
      <c r="D690" s="42" t="s">
        <v>765</v>
      </c>
      <c r="E690" s="43" t="s">
        <v>8344</v>
      </c>
      <c r="F690" s="42"/>
      <c r="G690" s="42"/>
      <c r="H690" s="43"/>
      <c r="I690" s="42"/>
      <c r="J690" s="42"/>
      <c r="K690" s="42"/>
      <c r="L690" s="42"/>
      <c r="M690" s="42"/>
      <c r="N690" s="42"/>
      <c r="O690" s="42"/>
      <c r="P690" s="42"/>
      <c r="Q690" s="42"/>
      <c r="R690" s="42" t="s">
        <v>7324</v>
      </c>
      <c r="S690" s="42" t="s">
        <v>314</v>
      </c>
      <c r="T690" s="42" t="s">
        <v>3891</v>
      </c>
      <c r="U690" s="42" t="s">
        <v>7325</v>
      </c>
      <c r="V690" s="44" t="s">
        <v>3892</v>
      </c>
      <c r="W690" s="42" t="s">
        <v>3892</v>
      </c>
    </row>
    <row r="691" spans="1:23">
      <c r="A691" s="40">
        <v>181</v>
      </c>
      <c r="B691" s="41">
        <v>1551012986</v>
      </c>
      <c r="C691" s="42" t="s">
        <v>7508</v>
      </c>
      <c r="D691" s="42" t="s">
        <v>760</v>
      </c>
      <c r="E691" s="43" t="s">
        <v>8378</v>
      </c>
      <c r="F691" s="42"/>
      <c r="G691" s="42"/>
      <c r="H691" s="43"/>
      <c r="I691" s="42"/>
      <c r="J691" s="42"/>
      <c r="K691" s="42"/>
      <c r="L691" s="42"/>
      <c r="M691" s="42"/>
      <c r="N691" s="42"/>
      <c r="O691" s="42"/>
      <c r="P691" s="42"/>
      <c r="Q691" s="42"/>
      <c r="R691" s="42" t="s">
        <v>7324</v>
      </c>
      <c r="S691" s="42" t="s">
        <v>314</v>
      </c>
      <c r="T691" s="42" t="s">
        <v>3891</v>
      </c>
      <c r="U691" s="42" t="s">
        <v>7325</v>
      </c>
      <c r="V691" s="44" t="s">
        <v>3892</v>
      </c>
      <c r="W691" s="42" t="s">
        <v>3892</v>
      </c>
    </row>
    <row r="692" spans="1:23">
      <c r="A692" s="40">
        <v>182</v>
      </c>
      <c r="B692" s="41">
        <v>1451012577</v>
      </c>
      <c r="C692" s="42" t="s">
        <v>7509</v>
      </c>
      <c r="D692" s="42" t="s">
        <v>3892</v>
      </c>
      <c r="E692" s="43" t="s">
        <v>7273</v>
      </c>
      <c r="F692" s="42"/>
      <c r="G692" s="42"/>
      <c r="H692" s="43"/>
      <c r="I692" s="42"/>
      <c r="J692" s="42"/>
      <c r="K692" s="42"/>
      <c r="L692" s="42"/>
      <c r="M692" s="42"/>
      <c r="N692" s="42"/>
      <c r="O692" s="42"/>
      <c r="P692" s="42"/>
      <c r="Q692" s="42"/>
      <c r="R692" s="42" t="s">
        <v>7324</v>
      </c>
      <c r="S692" s="42" t="s">
        <v>314</v>
      </c>
      <c r="T692" s="42" t="s">
        <v>3891</v>
      </c>
      <c r="U692" s="42" t="s">
        <v>7325</v>
      </c>
      <c r="V692" s="44" t="s">
        <v>3892</v>
      </c>
      <c r="W692" s="42" t="s">
        <v>7345</v>
      </c>
    </row>
    <row r="693" spans="1:23">
      <c r="A693" s="40">
        <v>183</v>
      </c>
      <c r="B693" s="41">
        <v>1851013270</v>
      </c>
      <c r="C693" s="42" t="s">
        <v>446</v>
      </c>
      <c r="D693" s="42" t="s">
        <v>760</v>
      </c>
      <c r="E693" s="43" t="s">
        <v>7283</v>
      </c>
      <c r="F693" s="42"/>
      <c r="G693" s="42"/>
      <c r="H693" s="43"/>
      <c r="I693" s="42"/>
      <c r="J693" s="42"/>
      <c r="K693" s="42"/>
      <c r="L693" s="42"/>
      <c r="M693" s="42"/>
      <c r="N693" s="42"/>
      <c r="O693" s="42"/>
      <c r="P693" s="42"/>
      <c r="Q693" s="42"/>
      <c r="R693" s="42" t="s">
        <v>7324</v>
      </c>
      <c r="S693" s="42" t="s">
        <v>314</v>
      </c>
      <c r="T693" s="42" t="s">
        <v>3891</v>
      </c>
      <c r="U693" s="42" t="s">
        <v>7325</v>
      </c>
      <c r="V693" s="44" t="s">
        <v>3892</v>
      </c>
      <c r="W693" s="42" t="s">
        <v>3892</v>
      </c>
    </row>
    <row r="694" spans="1:23">
      <c r="A694" s="40">
        <v>184</v>
      </c>
      <c r="B694" s="41">
        <v>1651012868</v>
      </c>
      <c r="C694" s="42" t="s">
        <v>7510</v>
      </c>
      <c r="D694" s="42" t="s">
        <v>3892</v>
      </c>
      <c r="E694" s="43" t="s">
        <v>7273</v>
      </c>
      <c r="F694" s="42"/>
      <c r="G694" s="42"/>
      <c r="H694" s="43"/>
      <c r="I694" s="42"/>
      <c r="J694" s="42"/>
      <c r="K694" s="42"/>
      <c r="L694" s="42"/>
      <c r="M694" s="42"/>
      <c r="N694" s="42"/>
      <c r="O694" s="42"/>
      <c r="P694" s="42"/>
      <c r="Q694" s="42"/>
      <c r="R694" s="42" t="s">
        <v>7324</v>
      </c>
      <c r="S694" s="42" t="s">
        <v>314</v>
      </c>
      <c r="T694" s="42" t="s">
        <v>3891</v>
      </c>
      <c r="U694" s="42" t="s">
        <v>7325</v>
      </c>
      <c r="V694" s="44" t="s">
        <v>3892</v>
      </c>
      <c r="W694" s="42" t="s">
        <v>3892</v>
      </c>
    </row>
    <row r="695" spans="1:23">
      <c r="A695" s="40">
        <v>185</v>
      </c>
      <c r="B695" s="41">
        <v>1251012169</v>
      </c>
      <c r="C695" s="42" t="s">
        <v>7511</v>
      </c>
      <c r="D695" s="42" t="s">
        <v>760</v>
      </c>
      <c r="E695" s="43" t="s">
        <v>8379</v>
      </c>
      <c r="F695" s="42"/>
      <c r="G695" s="42"/>
      <c r="H695" s="43"/>
      <c r="I695" s="42"/>
      <c r="J695" s="42"/>
      <c r="K695" s="42"/>
      <c r="L695" s="42"/>
      <c r="M695" s="42"/>
      <c r="N695" s="42"/>
      <c r="O695" s="42"/>
      <c r="P695" s="42"/>
      <c r="Q695" s="42"/>
      <c r="R695" s="42" t="s">
        <v>7324</v>
      </c>
      <c r="S695" s="42" t="s">
        <v>314</v>
      </c>
      <c r="T695" s="42" t="s">
        <v>3891</v>
      </c>
      <c r="U695" s="42" t="s">
        <v>7325</v>
      </c>
      <c r="V695" s="44" t="s">
        <v>3892</v>
      </c>
      <c r="W695" s="42" t="s">
        <v>3892</v>
      </c>
    </row>
    <row r="696" spans="1:23">
      <c r="A696" s="40">
        <v>186</v>
      </c>
      <c r="B696" s="41">
        <v>1551012881</v>
      </c>
      <c r="C696" s="42" t="s">
        <v>7512</v>
      </c>
      <c r="D696" s="42" t="s">
        <v>760</v>
      </c>
      <c r="E696" s="43" t="s">
        <v>8380</v>
      </c>
      <c r="F696" s="42"/>
      <c r="G696" s="42"/>
      <c r="H696" s="43"/>
      <c r="I696" s="42"/>
      <c r="J696" s="42"/>
      <c r="K696" s="42"/>
      <c r="L696" s="42"/>
      <c r="M696" s="42"/>
      <c r="N696" s="42"/>
      <c r="O696" s="42"/>
      <c r="P696" s="42"/>
      <c r="Q696" s="42"/>
      <c r="R696" s="42" t="s">
        <v>7324</v>
      </c>
      <c r="S696" s="42" t="s">
        <v>314</v>
      </c>
      <c r="T696" s="42" t="s">
        <v>3891</v>
      </c>
      <c r="U696" s="42" t="s">
        <v>7325</v>
      </c>
      <c r="V696" s="44" t="s">
        <v>3892</v>
      </c>
      <c r="W696" s="42" t="s">
        <v>3892</v>
      </c>
    </row>
    <row r="697" spans="1:23">
      <c r="A697" s="40">
        <v>187</v>
      </c>
      <c r="B697" s="41">
        <v>1651072541</v>
      </c>
      <c r="C697" s="42" t="s">
        <v>7513</v>
      </c>
      <c r="D697" s="42" t="s">
        <v>760</v>
      </c>
      <c r="E697" s="43" t="s">
        <v>8381</v>
      </c>
      <c r="F697" s="42"/>
      <c r="G697" s="42"/>
      <c r="H697" s="43"/>
      <c r="I697" s="42"/>
      <c r="J697" s="42"/>
      <c r="K697" s="42"/>
      <c r="L697" s="42"/>
      <c r="M697" s="42"/>
      <c r="N697" s="42"/>
      <c r="O697" s="42"/>
      <c r="P697" s="42"/>
      <c r="Q697" s="42"/>
      <c r="R697" s="42" t="s">
        <v>7324</v>
      </c>
      <c r="S697" s="42" t="s">
        <v>314</v>
      </c>
      <c r="T697" s="42" t="s">
        <v>3891</v>
      </c>
      <c r="U697" s="42" t="s">
        <v>7325</v>
      </c>
      <c r="V697" s="44" t="s">
        <v>3892</v>
      </c>
      <c r="W697" s="42" t="s">
        <v>3892</v>
      </c>
    </row>
    <row r="698" spans="1:23">
      <c r="A698" s="40">
        <v>188</v>
      </c>
      <c r="B698" s="41">
        <v>1551013286</v>
      </c>
      <c r="C698" s="42" t="s">
        <v>7514</v>
      </c>
      <c r="D698" s="42" t="s">
        <v>760</v>
      </c>
      <c r="E698" s="43" t="s">
        <v>8382</v>
      </c>
      <c r="F698" s="42"/>
      <c r="G698" s="42"/>
      <c r="H698" s="43"/>
      <c r="I698" s="42"/>
      <c r="J698" s="42"/>
      <c r="K698" s="42"/>
      <c r="L698" s="42"/>
      <c r="M698" s="42"/>
      <c r="N698" s="42"/>
      <c r="O698" s="42"/>
      <c r="P698" s="42"/>
      <c r="Q698" s="42"/>
      <c r="R698" s="42" t="s">
        <v>7324</v>
      </c>
      <c r="S698" s="42" t="s">
        <v>314</v>
      </c>
      <c r="T698" s="42" t="s">
        <v>3891</v>
      </c>
      <c r="U698" s="42" t="s">
        <v>7325</v>
      </c>
      <c r="V698" s="44" t="s">
        <v>3892</v>
      </c>
      <c r="W698" s="42" t="s">
        <v>3892</v>
      </c>
    </row>
    <row r="699" spans="1:23">
      <c r="A699" s="40">
        <v>189</v>
      </c>
      <c r="B699" s="41">
        <v>1651012876</v>
      </c>
      <c r="C699" s="42" t="s">
        <v>7515</v>
      </c>
      <c r="D699" s="42" t="s">
        <v>765</v>
      </c>
      <c r="E699" s="43" t="s">
        <v>8347</v>
      </c>
      <c r="F699" s="42"/>
      <c r="G699" s="42"/>
      <c r="H699" s="43"/>
      <c r="I699" s="42"/>
      <c r="J699" s="42"/>
      <c r="K699" s="42"/>
      <c r="L699" s="42"/>
      <c r="M699" s="42"/>
      <c r="N699" s="42"/>
      <c r="O699" s="42"/>
      <c r="P699" s="42"/>
      <c r="Q699" s="42"/>
      <c r="R699" s="42" t="s">
        <v>7324</v>
      </c>
      <c r="S699" s="42" t="s">
        <v>314</v>
      </c>
      <c r="T699" s="42" t="s">
        <v>3891</v>
      </c>
      <c r="U699" s="42" t="s">
        <v>7325</v>
      </c>
      <c r="V699" s="44" t="s">
        <v>3892</v>
      </c>
      <c r="W699" s="42" t="s">
        <v>3892</v>
      </c>
    </row>
    <row r="700" spans="1:23">
      <c r="A700" s="40">
        <v>190</v>
      </c>
      <c r="B700" s="41">
        <v>1651111779</v>
      </c>
      <c r="C700" s="42" t="s">
        <v>7516</v>
      </c>
      <c r="D700" s="42" t="s">
        <v>760</v>
      </c>
      <c r="E700" s="43" t="s">
        <v>8383</v>
      </c>
      <c r="F700" s="42"/>
      <c r="G700" s="42"/>
      <c r="H700" s="43"/>
      <c r="I700" s="42"/>
      <c r="J700" s="42"/>
      <c r="K700" s="42"/>
      <c r="L700" s="42"/>
      <c r="M700" s="42"/>
      <c r="N700" s="42"/>
      <c r="O700" s="42"/>
      <c r="P700" s="42"/>
      <c r="Q700" s="42"/>
      <c r="R700" s="42" t="s">
        <v>7517</v>
      </c>
      <c r="S700" s="42" t="s">
        <v>540</v>
      </c>
      <c r="T700" s="42" t="s">
        <v>3891</v>
      </c>
      <c r="U700" s="42" t="s">
        <v>7325</v>
      </c>
      <c r="V700" s="44" t="s">
        <v>3892</v>
      </c>
      <c r="W700" s="42" t="s">
        <v>3892</v>
      </c>
    </row>
    <row r="701" spans="1:23">
      <c r="A701" s="40">
        <v>191</v>
      </c>
      <c r="B701" s="41">
        <v>1651111696</v>
      </c>
      <c r="C701" s="42" t="s">
        <v>7518</v>
      </c>
      <c r="D701" s="42" t="s">
        <v>760</v>
      </c>
      <c r="E701" s="43" t="s">
        <v>8384</v>
      </c>
      <c r="F701" s="42"/>
      <c r="G701" s="42"/>
      <c r="H701" s="43"/>
      <c r="I701" s="42"/>
      <c r="J701" s="42"/>
      <c r="K701" s="42"/>
      <c r="L701" s="42"/>
      <c r="M701" s="42"/>
      <c r="N701" s="42"/>
      <c r="O701" s="42"/>
      <c r="P701" s="42"/>
      <c r="Q701" s="42"/>
      <c r="R701" s="42" t="s">
        <v>7517</v>
      </c>
      <c r="S701" s="42" t="s">
        <v>540</v>
      </c>
      <c r="T701" s="42" t="s">
        <v>3891</v>
      </c>
      <c r="U701" s="42" t="s">
        <v>7325</v>
      </c>
      <c r="V701" s="44" t="s">
        <v>3892</v>
      </c>
      <c r="W701" s="42" t="s">
        <v>3892</v>
      </c>
    </row>
    <row r="702" spans="1:23">
      <c r="A702" s="40">
        <v>192</v>
      </c>
      <c r="B702" s="41">
        <v>1551113298</v>
      </c>
      <c r="C702" s="42" t="s">
        <v>7519</v>
      </c>
      <c r="D702" s="42" t="s">
        <v>760</v>
      </c>
      <c r="E702" s="43" t="s">
        <v>8385</v>
      </c>
      <c r="F702" s="42"/>
      <c r="G702" s="42"/>
      <c r="H702" s="43"/>
      <c r="I702" s="42"/>
      <c r="J702" s="42"/>
      <c r="K702" s="42"/>
      <c r="L702" s="42"/>
      <c r="M702" s="42"/>
      <c r="N702" s="42"/>
      <c r="O702" s="42"/>
      <c r="P702" s="42"/>
      <c r="Q702" s="42"/>
      <c r="R702" s="42" t="s">
        <v>7517</v>
      </c>
      <c r="S702" s="42" t="s">
        <v>540</v>
      </c>
      <c r="T702" s="42" t="s">
        <v>3891</v>
      </c>
      <c r="U702" s="42" t="s">
        <v>7325</v>
      </c>
      <c r="V702" s="44" t="s">
        <v>3892</v>
      </c>
      <c r="W702" s="42" t="s">
        <v>3892</v>
      </c>
    </row>
    <row r="703" spans="1:23">
      <c r="A703" s="40">
        <v>193</v>
      </c>
      <c r="B703" s="41">
        <v>1751040623</v>
      </c>
      <c r="C703" s="42" t="s">
        <v>7520</v>
      </c>
      <c r="D703" s="42" t="s">
        <v>760</v>
      </c>
      <c r="E703" s="43" t="s">
        <v>2783</v>
      </c>
      <c r="F703" s="42"/>
      <c r="G703" s="42"/>
      <c r="H703" s="43"/>
      <c r="I703" s="42"/>
      <c r="J703" s="42"/>
      <c r="K703" s="42"/>
      <c r="L703" s="42"/>
      <c r="M703" s="42"/>
      <c r="N703" s="42"/>
      <c r="O703" s="42"/>
      <c r="P703" s="42"/>
      <c r="Q703" s="42"/>
      <c r="R703" s="42" t="s">
        <v>7517</v>
      </c>
      <c r="S703" s="42" t="s">
        <v>540</v>
      </c>
      <c r="T703" s="42" t="s">
        <v>3891</v>
      </c>
      <c r="U703" s="42" t="s">
        <v>7325</v>
      </c>
      <c r="V703" s="44" t="s">
        <v>3892</v>
      </c>
      <c r="W703" s="42" t="s">
        <v>3892</v>
      </c>
    </row>
    <row r="704" spans="1:23">
      <c r="A704" s="40">
        <v>194</v>
      </c>
      <c r="B704" s="41">
        <v>1651112861</v>
      </c>
      <c r="C704" s="42" t="s">
        <v>7521</v>
      </c>
      <c r="D704" s="42" t="s">
        <v>760</v>
      </c>
      <c r="E704" s="43" t="s">
        <v>8386</v>
      </c>
      <c r="F704" s="42"/>
      <c r="G704" s="42"/>
      <c r="H704" s="43"/>
      <c r="I704" s="42"/>
      <c r="J704" s="42"/>
      <c r="K704" s="42"/>
      <c r="L704" s="42"/>
      <c r="M704" s="42"/>
      <c r="N704" s="42"/>
      <c r="O704" s="42"/>
      <c r="P704" s="42"/>
      <c r="Q704" s="42"/>
      <c r="R704" s="42" t="s">
        <v>7517</v>
      </c>
      <c r="S704" s="42" t="s">
        <v>540</v>
      </c>
      <c r="T704" s="42" t="s">
        <v>3891</v>
      </c>
      <c r="U704" s="42" t="s">
        <v>7325</v>
      </c>
      <c r="V704" s="44" t="s">
        <v>3892</v>
      </c>
      <c r="W704" s="42" t="s">
        <v>3892</v>
      </c>
    </row>
    <row r="705" spans="1:23">
      <c r="A705" s="40">
        <v>195</v>
      </c>
      <c r="B705" s="41">
        <v>1651112805</v>
      </c>
      <c r="C705" s="42" t="s">
        <v>7522</v>
      </c>
      <c r="D705" s="42" t="s">
        <v>760</v>
      </c>
      <c r="E705" s="43" t="s">
        <v>8387</v>
      </c>
      <c r="F705" s="42"/>
      <c r="G705" s="42"/>
      <c r="H705" s="43"/>
      <c r="I705" s="42"/>
      <c r="J705" s="42"/>
      <c r="K705" s="42"/>
      <c r="L705" s="42"/>
      <c r="M705" s="42"/>
      <c r="N705" s="42"/>
      <c r="O705" s="42"/>
      <c r="P705" s="42"/>
      <c r="Q705" s="42"/>
      <c r="R705" s="42" t="s">
        <v>7517</v>
      </c>
      <c r="S705" s="42" t="s">
        <v>540</v>
      </c>
      <c r="T705" s="42" t="s">
        <v>3891</v>
      </c>
      <c r="U705" s="42" t="s">
        <v>7325</v>
      </c>
      <c r="V705" s="44" t="s">
        <v>3892</v>
      </c>
      <c r="W705" s="42" t="s">
        <v>3892</v>
      </c>
    </row>
    <row r="706" spans="1:23">
      <c r="A706" s="40">
        <v>196</v>
      </c>
      <c r="B706" s="41">
        <v>1251012046</v>
      </c>
      <c r="C706" s="42" t="s">
        <v>7523</v>
      </c>
      <c r="D706" s="42" t="s">
        <v>760</v>
      </c>
      <c r="E706" s="43" t="s">
        <v>8388</v>
      </c>
      <c r="F706" s="42"/>
      <c r="G706" s="42"/>
      <c r="H706" s="43"/>
      <c r="I706" s="42"/>
      <c r="J706" s="42"/>
      <c r="K706" s="42"/>
      <c r="L706" s="42"/>
      <c r="M706" s="42"/>
      <c r="N706" s="42"/>
      <c r="O706" s="42"/>
      <c r="P706" s="42"/>
      <c r="Q706" s="42"/>
      <c r="R706" s="42" t="s">
        <v>7517</v>
      </c>
      <c r="S706" s="42" t="s">
        <v>540</v>
      </c>
      <c r="T706" s="42" t="s">
        <v>3891</v>
      </c>
      <c r="U706" s="42" t="s">
        <v>7325</v>
      </c>
      <c r="V706" s="44" t="s">
        <v>3892</v>
      </c>
      <c r="W706" s="42" t="s">
        <v>3892</v>
      </c>
    </row>
    <row r="707" spans="1:23">
      <c r="A707" s="40">
        <v>197</v>
      </c>
      <c r="B707" s="41">
        <v>1651111897</v>
      </c>
      <c r="C707" s="42" t="s">
        <v>7524</v>
      </c>
      <c r="D707" s="42" t="s">
        <v>3892</v>
      </c>
      <c r="E707" s="43" t="s">
        <v>7273</v>
      </c>
      <c r="F707" s="42"/>
      <c r="G707" s="42"/>
      <c r="H707" s="43"/>
      <c r="I707" s="42"/>
      <c r="J707" s="42"/>
      <c r="K707" s="42"/>
      <c r="L707" s="42"/>
      <c r="M707" s="42"/>
      <c r="N707" s="42"/>
      <c r="O707" s="42"/>
      <c r="P707" s="42"/>
      <c r="Q707" s="42"/>
      <c r="R707" s="42" t="s">
        <v>7517</v>
      </c>
      <c r="S707" s="42" t="s">
        <v>540</v>
      </c>
      <c r="T707" s="42" t="s">
        <v>3891</v>
      </c>
      <c r="U707" s="42" t="s">
        <v>7325</v>
      </c>
      <c r="V707" s="44" t="s">
        <v>3892</v>
      </c>
      <c r="W707" s="42" t="s">
        <v>3892</v>
      </c>
    </row>
    <row r="708" spans="1:23">
      <c r="A708" s="40">
        <v>198</v>
      </c>
      <c r="B708" s="41">
        <v>1651111666</v>
      </c>
      <c r="C708" s="42" t="s">
        <v>7525</v>
      </c>
      <c r="D708" s="42" t="s">
        <v>760</v>
      </c>
      <c r="E708" s="43" t="s">
        <v>8389</v>
      </c>
      <c r="F708" s="42"/>
      <c r="G708" s="42"/>
      <c r="H708" s="43"/>
      <c r="I708" s="42"/>
      <c r="J708" s="42"/>
      <c r="K708" s="42"/>
      <c r="L708" s="42"/>
      <c r="M708" s="42"/>
      <c r="N708" s="42"/>
      <c r="O708" s="42"/>
      <c r="P708" s="42"/>
      <c r="Q708" s="42"/>
      <c r="R708" s="42" t="s">
        <v>7517</v>
      </c>
      <c r="S708" s="42" t="s">
        <v>540</v>
      </c>
      <c r="T708" s="42" t="s">
        <v>3891</v>
      </c>
      <c r="U708" s="42" t="s">
        <v>7325</v>
      </c>
      <c r="V708" s="44" t="s">
        <v>3892</v>
      </c>
      <c r="W708" s="42" t="s">
        <v>3892</v>
      </c>
    </row>
    <row r="709" spans="1:23">
      <c r="A709" s="40">
        <v>199</v>
      </c>
      <c r="B709" s="41">
        <v>1651111915</v>
      </c>
      <c r="C709" s="42" t="s">
        <v>7526</v>
      </c>
      <c r="D709" s="42" t="s">
        <v>760</v>
      </c>
      <c r="E709" s="43" t="s">
        <v>8390</v>
      </c>
      <c r="F709" s="42"/>
      <c r="G709" s="42"/>
      <c r="H709" s="43"/>
      <c r="I709" s="42"/>
      <c r="J709" s="42"/>
      <c r="K709" s="42"/>
      <c r="L709" s="42"/>
      <c r="M709" s="42"/>
      <c r="N709" s="42"/>
      <c r="O709" s="42"/>
      <c r="P709" s="42"/>
      <c r="Q709" s="42"/>
      <c r="R709" s="42" t="s">
        <v>7517</v>
      </c>
      <c r="S709" s="42" t="s">
        <v>540</v>
      </c>
      <c r="T709" s="42" t="s">
        <v>3891</v>
      </c>
      <c r="U709" s="42" t="s">
        <v>7325</v>
      </c>
      <c r="V709" s="44" t="s">
        <v>3892</v>
      </c>
      <c r="W709" s="42" t="s">
        <v>3892</v>
      </c>
    </row>
    <row r="710" spans="1:23">
      <c r="A710" s="40">
        <v>200</v>
      </c>
      <c r="B710" s="41">
        <v>1651111476</v>
      </c>
      <c r="C710" s="42" t="s">
        <v>7527</v>
      </c>
      <c r="D710" s="42" t="s">
        <v>760</v>
      </c>
      <c r="E710" s="43" t="s">
        <v>8299</v>
      </c>
      <c r="F710" s="42"/>
      <c r="G710" s="42"/>
      <c r="H710" s="43"/>
      <c r="I710" s="42"/>
      <c r="J710" s="42"/>
      <c r="K710" s="42"/>
      <c r="L710" s="42"/>
      <c r="M710" s="42"/>
      <c r="N710" s="42"/>
      <c r="O710" s="42"/>
      <c r="P710" s="42"/>
      <c r="Q710" s="42"/>
      <c r="R710" s="42" t="s">
        <v>7517</v>
      </c>
      <c r="S710" s="42" t="s">
        <v>540</v>
      </c>
      <c r="T710" s="42" t="s">
        <v>3891</v>
      </c>
      <c r="U710" s="42" t="s">
        <v>7325</v>
      </c>
      <c r="V710" s="44" t="s">
        <v>3892</v>
      </c>
      <c r="W710" s="42" t="s">
        <v>3892</v>
      </c>
    </row>
    <row r="711" spans="1:23">
      <c r="A711" s="40">
        <v>201</v>
      </c>
      <c r="B711" s="41">
        <v>1751110465</v>
      </c>
      <c r="C711" s="42" t="s">
        <v>7528</v>
      </c>
      <c r="D711" s="42" t="s">
        <v>760</v>
      </c>
      <c r="E711" s="43" t="s">
        <v>8391</v>
      </c>
      <c r="F711" s="42"/>
      <c r="G711" s="42"/>
      <c r="H711" s="43"/>
      <c r="I711" s="42"/>
      <c r="J711" s="42"/>
      <c r="K711" s="42"/>
      <c r="L711" s="42"/>
      <c r="M711" s="42"/>
      <c r="N711" s="42"/>
      <c r="O711" s="42"/>
      <c r="P711" s="42"/>
      <c r="Q711" s="42"/>
      <c r="R711" s="42" t="s">
        <v>7517</v>
      </c>
      <c r="S711" s="42" t="s">
        <v>540</v>
      </c>
      <c r="T711" s="42" t="s">
        <v>3891</v>
      </c>
      <c r="U711" s="42" t="s">
        <v>7325</v>
      </c>
      <c r="V711" s="44" t="s">
        <v>3892</v>
      </c>
      <c r="W711" s="42" t="s">
        <v>3892</v>
      </c>
    </row>
    <row r="712" spans="1:23">
      <c r="A712" s="40">
        <v>202</v>
      </c>
      <c r="B712" s="41">
        <v>1751110342</v>
      </c>
      <c r="C712" s="42" t="s">
        <v>7529</v>
      </c>
      <c r="D712" s="42" t="s">
        <v>760</v>
      </c>
      <c r="E712" s="43" t="s">
        <v>8392</v>
      </c>
      <c r="F712" s="42"/>
      <c r="G712" s="42"/>
      <c r="H712" s="43"/>
      <c r="I712" s="42"/>
      <c r="J712" s="42"/>
      <c r="K712" s="42"/>
      <c r="L712" s="42"/>
      <c r="M712" s="42"/>
      <c r="N712" s="42"/>
      <c r="O712" s="42"/>
      <c r="P712" s="42"/>
      <c r="Q712" s="42"/>
      <c r="R712" s="42" t="s">
        <v>7517</v>
      </c>
      <c r="S712" s="42" t="s">
        <v>540</v>
      </c>
      <c r="T712" s="42" t="s">
        <v>3891</v>
      </c>
      <c r="U712" s="42" t="s">
        <v>7325</v>
      </c>
      <c r="V712" s="44" t="s">
        <v>3892</v>
      </c>
      <c r="W712" s="42" t="s">
        <v>3892</v>
      </c>
    </row>
    <row r="713" spans="1:23">
      <c r="A713" s="40">
        <v>203</v>
      </c>
      <c r="B713" s="41">
        <v>1451113294</v>
      </c>
      <c r="C713" s="42" t="s">
        <v>7530</v>
      </c>
      <c r="D713" s="42" t="s">
        <v>760</v>
      </c>
      <c r="E713" s="43" t="s">
        <v>8393</v>
      </c>
      <c r="F713" s="42"/>
      <c r="G713" s="42"/>
      <c r="H713" s="43"/>
      <c r="I713" s="42"/>
      <c r="J713" s="42"/>
      <c r="K713" s="42"/>
      <c r="L713" s="42"/>
      <c r="M713" s="42"/>
      <c r="N713" s="42"/>
      <c r="O713" s="42"/>
      <c r="P713" s="42"/>
      <c r="Q713" s="42"/>
      <c r="R713" s="42" t="s">
        <v>7517</v>
      </c>
      <c r="S713" s="42" t="s">
        <v>540</v>
      </c>
      <c r="T713" s="42" t="s">
        <v>3891</v>
      </c>
      <c r="U713" s="42" t="s">
        <v>7325</v>
      </c>
      <c r="V713" s="44" t="s">
        <v>3892</v>
      </c>
      <c r="W713" s="42" t="s">
        <v>3892</v>
      </c>
    </row>
    <row r="714" spans="1:23">
      <c r="A714" s="40">
        <v>204</v>
      </c>
      <c r="B714" s="41">
        <v>1551133171</v>
      </c>
      <c r="C714" s="42" t="s">
        <v>7531</v>
      </c>
      <c r="D714" s="42" t="s">
        <v>760</v>
      </c>
      <c r="E714" s="43" t="s">
        <v>8394</v>
      </c>
      <c r="F714" s="42"/>
      <c r="G714" s="42"/>
      <c r="H714" s="43"/>
      <c r="I714" s="42"/>
      <c r="J714" s="42"/>
      <c r="K714" s="42"/>
      <c r="L714" s="42"/>
      <c r="M714" s="42"/>
      <c r="N714" s="42"/>
      <c r="O714" s="42"/>
      <c r="P714" s="42"/>
      <c r="Q714" s="42"/>
      <c r="R714" s="42" t="s">
        <v>7517</v>
      </c>
      <c r="S714" s="42" t="s">
        <v>540</v>
      </c>
      <c r="T714" s="42" t="s">
        <v>3891</v>
      </c>
      <c r="U714" s="42" t="s">
        <v>7325</v>
      </c>
      <c r="V714" s="44" t="s">
        <v>3892</v>
      </c>
      <c r="W714" s="42" t="s">
        <v>3892</v>
      </c>
    </row>
    <row r="715" spans="1:23">
      <c r="A715" s="40">
        <v>205</v>
      </c>
      <c r="B715" s="41">
        <v>1551113466</v>
      </c>
      <c r="C715" s="42" t="s">
        <v>7367</v>
      </c>
      <c r="D715" s="42" t="s">
        <v>760</v>
      </c>
      <c r="E715" s="43" t="s">
        <v>8395</v>
      </c>
      <c r="F715" s="42"/>
      <c r="G715" s="42"/>
      <c r="H715" s="43"/>
      <c r="I715" s="42"/>
      <c r="J715" s="42"/>
      <c r="K715" s="42"/>
      <c r="L715" s="42"/>
      <c r="M715" s="42"/>
      <c r="N715" s="42"/>
      <c r="O715" s="42"/>
      <c r="P715" s="42"/>
      <c r="Q715" s="42"/>
      <c r="R715" s="42" t="s">
        <v>7517</v>
      </c>
      <c r="S715" s="42" t="s">
        <v>540</v>
      </c>
      <c r="T715" s="42" t="s">
        <v>3891</v>
      </c>
      <c r="U715" s="42" t="s">
        <v>7325</v>
      </c>
      <c r="V715" s="44" t="s">
        <v>3892</v>
      </c>
      <c r="W715" s="42" t="s">
        <v>3892</v>
      </c>
    </row>
    <row r="716" spans="1:23">
      <c r="A716" s="40">
        <v>206</v>
      </c>
      <c r="B716" s="41">
        <v>1651041618</v>
      </c>
      <c r="C716" s="42" t="s">
        <v>7532</v>
      </c>
      <c r="D716" s="42" t="s">
        <v>760</v>
      </c>
      <c r="E716" s="43" t="s">
        <v>8396</v>
      </c>
      <c r="F716" s="42"/>
      <c r="G716" s="42"/>
      <c r="H716" s="43"/>
      <c r="I716" s="42"/>
      <c r="J716" s="42"/>
      <c r="K716" s="42"/>
      <c r="L716" s="42"/>
      <c r="M716" s="42"/>
      <c r="N716" s="42"/>
      <c r="O716" s="42"/>
      <c r="P716" s="42"/>
      <c r="Q716" s="42"/>
      <c r="R716" s="42" t="s">
        <v>7517</v>
      </c>
      <c r="S716" s="42" t="s">
        <v>540</v>
      </c>
      <c r="T716" s="42" t="s">
        <v>3891</v>
      </c>
      <c r="U716" s="42" t="s">
        <v>7325</v>
      </c>
      <c r="V716" s="44" t="s">
        <v>3892</v>
      </c>
      <c r="W716" s="42" t="s">
        <v>3892</v>
      </c>
    </row>
    <row r="717" spans="1:23">
      <c r="A717" s="40">
        <v>207</v>
      </c>
      <c r="B717" s="41">
        <v>1351113027</v>
      </c>
      <c r="C717" s="42" t="s">
        <v>7533</v>
      </c>
      <c r="D717" s="42" t="s">
        <v>760</v>
      </c>
      <c r="E717" s="43" t="s">
        <v>8397</v>
      </c>
      <c r="F717" s="42"/>
      <c r="G717" s="42"/>
      <c r="H717" s="43"/>
      <c r="I717" s="42"/>
      <c r="J717" s="42"/>
      <c r="K717" s="42"/>
      <c r="L717" s="42"/>
      <c r="M717" s="42"/>
      <c r="N717" s="42"/>
      <c r="O717" s="42"/>
      <c r="P717" s="42"/>
      <c r="Q717" s="42"/>
      <c r="R717" s="42" t="s">
        <v>7517</v>
      </c>
      <c r="S717" s="42" t="s">
        <v>540</v>
      </c>
      <c r="T717" s="42" t="s">
        <v>3891</v>
      </c>
      <c r="U717" s="42" t="s">
        <v>7325</v>
      </c>
      <c r="V717" s="44" t="s">
        <v>3892</v>
      </c>
      <c r="W717" s="42" t="s">
        <v>3892</v>
      </c>
    </row>
    <row r="718" spans="1:23">
      <c r="A718" s="40">
        <v>208</v>
      </c>
      <c r="B718" s="41">
        <v>1351112858</v>
      </c>
      <c r="C718" s="42" t="s">
        <v>7534</v>
      </c>
      <c r="D718" s="42" t="s">
        <v>760</v>
      </c>
      <c r="E718" s="43" t="s">
        <v>8398</v>
      </c>
      <c r="F718" s="42"/>
      <c r="G718" s="42"/>
      <c r="H718" s="43"/>
      <c r="I718" s="42"/>
      <c r="J718" s="42"/>
      <c r="K718" s="42"/>
      <c r="L718" s="42"/>
      <c r="M718" s="42"/>
      <c r="N718" s="42"/>
      <c r="O718" s="42"/>
      <c r="P718" s="42"/>
      <c r="Q718" s="42"/>
      <c r="R718" s="42" t="s">
        <v>7517</v>
      </c>
      <c r="S718" s="42" t="s">
        <v>540</v>
      </c>
      <c r="T718" s="42" t="s">
        <v>3891</v>
      </c>
      <c r="U718" s="42" t="s">
        <v>7325</v>
      </c>
      <c r="V718" s="44" t="s">
        <v>3892</v>
      </c>
      <c r="W718" s="42" t="s">
        <v>3892</v>
      </c>
    </row>
    <row r="719" spans="1:23">
      <c r="A719" s="40">
        <v>209</v>
      </c>
      <c r="B719" s="41">
        <v>1251012662</v>
      </c>
      <c r="C719" s="42" t="s">
        <v>7535</v>
      </c>
      <c r="D719" s="42" t="s">
        <v>760</v>
      </c>
      <c r="E719" s="43" t="s">
        <v>8399</v>
      </c>
      <c r="F719" s="42"/>
      <c r="G719" s="42"/>
      <c r="H719" s="43"/>
      <c r="I719" s="42"/>
      <c r="J719" s="42"/>
      <c r="K719" s="42"/>
      <c r="L719" s="42"/>
      <c r="M719" s="42"/>
      <c r="N719" s="42"/>
      <c r="O719" s="42"/>
      <c r="P719" s="42"/>
      <c r="Q719" s="42"/>
      <c r="R719" s="42" t="s">
        <v>7517</v>
      </c>
      <c r="S719" s="42" t="s">
        <v>540</v>
      </c>
      <c r="T719" s="42" t="s">
        <v>3891</v>
      </c>
      <c r="U719" s="42" t="s">
        <v>7325</v>
      </c>
      <c r="V719" s="44" t="s">
        <v>3892</v>
      </c>
      <c r="W719" s="42" t="s">
        <v>3892</v>
      </c>
    </row>
    <row r="720" spans="1:23">
      <c r="A720" s="40">
        <v>210</v>
      </c>
      <c r="B720" s="41">
        <v>1551113430</v>
      </c>
      <c r="C720" s="42" t="s">
        <v>7536</v>
      </c>
      <c r="D720" s="42" t="s">
        <v>3892</v>
      </c>
      <c r="E720" s="43" t="s">
        <v>7273</v>
      </c>
      <c r="F720" s="42"/>
      <c r="G720" s="42"/>
      <c r="H720" s="43"/>
      <c r="I720" s="42"/>
      <c r="J720" s="42"/>
      <c r="K720" s="42"/>
      <c r="L720" s="42"/>
      <c r="M720" s="42"/>
      <c r="N720" s="42"/>
      <c r="O720" s="42"/>
      <c r="P720" s="42"/>
      <c r="Q720" s="42"/>
      <c r="R720" s="42" t="s">
        <v>7517</v>
      </c>
      <c r="S720" s="42" t="s">
        <v>540</v>
      </c>
      <c r="T720" s="42" t="s">
        <v>3891</v>
      </c>
      <c r="U720" s="42" t="s">
        <v>7325</v>
      </c>
      <c r="V720" s="44" t="s">
        <v>3892</v>
      </c>
      <c r="W720" s="42" t="s">
        <v>7345</v>
      </c>
    </row>
    <row r="721" spans="1:23">
      <c r="A721" s="40">
        <v>211</v>
      </c>
      <c r="B721" s="41">
        <v>1551113529</v>
      </c>
      <c r="C721" s="42" t="s">
        <v>7537</v>
      </c>
      <c r="D721" s="42" t="s">
        <v>760</v>
      </c>
      <c r="E721" s="43" t="s">
        <v>8400</v>
      </c>
      <c r="F721" s="42"/>
      <c r="G721" s="42"/>
      <c r="H721" s="43"/>
      <c r="I721" s="42"/>
      <c r="J721" s="42"/>
      <c r="K721" s="42"/>
      <c r="L721" s="42"/>
      <c r="M721" s="42"/>
      <c r="N721" s="42"/>
      <c r="O721" s="42"/>
      <c r="P721" s="42"/>
      <c r="Q721" s="42"/>
      <c r="R721" s="42" t="s">
        <v>7517</v>
      </c>
      <c r="S721" s="42" t="s">
        <v>540</v>
      </c>
      <c r="T721" s="42" t="s">
        <v>3891</v>
      </c>
      <c r="U721" s="42" t="s">
        <v>7325</v>
      </c>
      <c r="V721" s="44" t="s">
        <v>3892</v>
      </c>
      <c r="W721" s="42" t="s">
        <v>3892</v>
      </c>
    </row>
    <row r="722" spans="1:23">
      <c r="A722" s="40">
        <v>212</v>
      </c>
      <c r="B722" s="41">
        <v>1851113235</v>
      </c>
      <c r="C722" s="42" t="s">
        <v>7538</v>
      </c>
      <c r="D722" s="42" t="s">
        <v>760</v>
      </c>
      <c r="E722" s="43" t="s">
        <v>8401</v>
      </c>
      <c r="F722" s="42"/>
      <c r="G722" s="42"/>
      <c r="H722" s="43"/>
      <c r="I722" s="42"/>
      <c r="J722" s="42"/>
      <c r="K722" s="42"/>
      <c r="L722" s="42"/>
      <c r="M722" s="42"/>
      <c r="N722" s="42"/>
      <c r="O722" s="42"/>
      <c r="P722" s="42"/>
      <c r="Q722" s="42"/>
      <c r="R722" s="42" t="s">
        <v>7517</v>
      </c>
      <c r="S722" s="42" t="s">
        <v>540</v>
      </c>
      <c r="T722" s="42" t="s">
        <v>3891</v>
      </c>
      <c r="U722" s="42" t="s">
        <v>7325</v>
      </c>
      <c r="V722" s="44" t="s">
        <v>3892</v>
      </c>
      <c r="W722" s="42" t="s">
        <v>3892</v>
      </c>
    </row>
    <row r="723" spans="1:23">
      <c r="A723" s="40">
        <v>213</v>
      </c>
      <c r="B723" s="41">
        <v>1751110341</v>
      </c>
      <c r="C723" s="42" t="s">
        <v>7539</v>
      </c>
      <c r="D723" s="42" t="s">
        <v>760</v>
      </c>
      <c r="E723" s="43" t="s">
        <v>8402</v>
      </c>
      <c r="F723" s="42"/>
      <c r="G723" s="42"/>
      <c r="H723" s="43"/>
      <c r="I723" s="42"/>
      <c r="J723" s="42"/>
      <c r="K723" s="42"/>
      <c r="L723" s="42"/>
      <c r="M723" s="42"/>
      <c r="N723" s="42"/>
      <c r="O723" s="42"/>
      <c r="P723" s="42"/>
      <c r="Q723" s="42"/>
      <c r="R723" s="42" t="s">
        <v>7517</v>
      </c>
      <c r="S723" s="42" t="s">
        <v>540</v>
      </c>
      <c r="T723" s="42" t="s">
        <v>3891</v>
      </c>
      <c r="U723" s="42" t="s">
        <v>7325</v>
      </c>
      <c r="V723" s="44" t="s">
        <v>3892</v>
      </c>
      <c r="W723" s="42" t="s">
        <v>3892</v>
      </c>
    </row>
    <row r="724" spans="1:23">
      <c r="A724" s="40">
        <v>214</v>
      </c>
      <c r="B724" s="41">
        <v>1351113052</v>
      </c>
      <c r="C724" s="42" t="s">
        <v>7540</v>
      </c>
      <c r="D724" s="42" t="s">
        <v>760</v>
      </c>
      <c r="E724" s="43" t="s">
        <v>8403</v>
      </c>
      <c r="F724" s="42"/>
      <c r="G724" s="42"/>
      <c r="H724" s="43"/>
      <c r="I724" s="42"/>
      <c r="J724" s="42"/>
      <c r="K724" s="42"/>
      <c r="L724" s="42"/>
      <c r="M724" s="42"/>
      <c r="N724" s="42"/>
      <c r="O724" s="42"/>
      <c r="P724" s="42"/>
      <c r="Q724" s="42"/>
      <c r="R724" s="42" t="s">
        <v>7517</v>
      </c>
      <c r="S724" s="42" t="s">
        <v>540</v>
      </c>
      <c r="T724" s="42" t="s">
        <v>3891</v>
      </c>
      <c r="U724" s="42" t="s">
        <v>7325</v>
      </c>
      <c r="V724" s="44" t="s">
        <v>3892</v>
      </c>
      <c r="W724" s="42" t="s">
        <v>3892</v>
      </c>
    </row>
    <row r="725" spans="1:23">
      <c r="A725" s="40">
        <v>215</v>
      </c>
      <c r="B725" s="41">
        <v>1651132900</v>
      </c>
      <c r="C725" s="42" t="s">
        <v>7541</v>
      </c>
      <c r="D725" s="42" t="s">
        <v>760</v>
      </c>
      <c r="E725" s="43" t="s">
        <v>8404</v>
      </c>
      <c r="F725" s="42"/>
      <c r="G725" s="42"/>
      <c r="H725" s="43"/>
      <c r="I725" s="42"/>
      <c r="J725" s="42"/>
      <c r="K725" s="42"/>
      <c r="L725" s="42"/>
      <c r="M725" s="42"/>
      <c r="N725" s="42"/>
      <c r="O725" s="42"/>
      <c r="P725" s="42"/>
      <c r="Q725" s="42"/>
      <c r="R725" s="42" t="s">
        <v>7517</v>
      </c>
      <c r="S725" s="42" t="s">
        <v>540</v>
      </c>
      <c r="T725" s="42" t="s">
        <v>3891</v>
      </c>
      <c r="U725" s="42" t="s">
        <v>7325</v>
      </c>
      <c r="V725" s="44" t="s">
        <v>3892</v>
      </c>
      <c r="W725" s="42" t="s">
        <v>3892</v>
      </c>
    </row>
    <row r="726" spans="1:23">
      <c r="A726" s="40">
        <v>216</v>
      </c>
      <c r="B726" s="41">
        <v>1651112431</v>
      </c>
      <c r="C726" s="42" t="s">
        <v>7542</v>
      </c>
      <c r="D726" s="42" t="s">
        <v>760</v>
      </c>
      <c r="E726" s="43" t="s">
        <v>8400</v>
      </c>
      <c r="F726" s="42"/>
      <c r="G726" s="42"/>
      <c r="H726" s="43"/>
      <c r="I726" s="42"/>
      <c r="J726" s="42"/>
      <c r="K726" s="42"/>
      <c r="L726" s="42"/>
      <c r="M726" s="42"/>
      <c r="N726" s="42"/>
      <c r="O726" s="42"/>
      <c r="P726" s="42"/>
      <c r="Q726" s="42"/>
      <c r="R726" s="42" t="s">
        <v>7517</v>
      </c>
      <c r="S726" s="42" t="s">
        <v>540</v>
      </c>
      <c r="T726" s="42" t="s">
        <v>3891</v>
      </c>
      <c r="U726" s="42" t="s">
        <v>7325</v>
      </c>
      <c r="V726" s="44" t="s">
        <v>3892</v>
      </c>
      <c r="W726" s="42" t="s">
        <v>3892</v>
      </c>
    </row>
    <row r="727" spans="1:23">
      <c r="A727" s="40">
        <v>217</v>
      </c>
      <c r="B727" s="41">
        <v>1751110185</v>
      </c>
      <c r="C727" s="42" t="s">
        <v>7543</v>
      </c>
      <c r="D727" s="42" t="s">
        <v>765</v>
      </c>
      <c r="E727" s="43" t="s">
        <v>8405</v>
      </c>
      <c r="F727" s="42"/>
      <c r="G727" s="42"/>
      <c r="H727" s="43"/>
      <c r="I727" s="42"/>
      <c r="J727" s="42"/>
      <c r="K727" s="42"/>
      <c r="L727" s="42"/>
      <c r="M727" s="42"/>
      <c r="N727" s="42"/>
      <c r="O727" s="42"/>
      <c r="P727" s="42"/>
      <c r="Q727" s="42"/>
      <c r="R727" s="42" t="s">
        <v>7517</v>
      </c>
      <c r="S727" s="42" t="s">
        <v>540</v>
      </c>
      <c r="T727" s="42" t="s">
        <v>3891</v>
      </c>
      <c r="U727" s="42" t="s">
        <v>7325</v>
      </c>
      <c r="V727" s="44" t="s">
        <v>3892</v>
      </c>
      <c r="W727" s="42" t="s">
        <v>3892</v>
      </c>
    </row>
    <row r="728" spans="1:23">
      <c r="A728" s="40">
        <v>218</v>
      </c>
      <c r="B728" s="41">
        <v>1651112917</v>
      </c>
      <c r="C728" s="42" t="s">
        <v>7544</v>
      </c>
      <c r="D728" s="42" t="s">
        <v>760</v>
      </c>
      <c r="E728" s="43" t="s">
        <v>8406</v>
      </c>
      <c r="F728" s="42"/>
      <c r="G728" s="42"/>
      <c r="H728" s="43"/>
      <c r="I728" s="42"/>
      <c r="J728" s="42"/>
      <c r="K728" s="42"/>
      <c r="L728" s="42"/>
      <c r="M728" s="42"/>
      <c r="N728" s="42"/>
      <c r="O728" s="42"/>
      <c r="P728" s="42"/>
      <c r="Q728" s="42"/>
      <c r="R728" s="42" t="s">
        <v>7517</v>
      </c>
      <c r="S728" s="42" t="s">
        <v>540</v>
      </c>
      <c r="T728" s="42" t="s">
        <v>3891</v>
      </c>
      <c r="U728" s="42" t="s">
        <v>7325</v>
      </c>
      <c r="V728" s="44" t="s">
        <v>3892</v>
      </c>
      <c r="W728" s="42" t="s">
        <v>3892</v>
      </c>
    </row>
    <row r="729" spans="1:23">
      <c r="A729" s="40">
        <v>219</v>
      </c>
      <c r="B729" s="41">
        <v>1651111799</v>
      </c>
      <c r="C729" s="42" t="s">
        <v>7545</v>
      </c>
      <c r="D729" s="42" t="s">
        <v>760</v>
      </c>
      <c r="E729" s="43" t="s">
        <v>8407</v>
      </c>
      <c r="F729" s="42"/>
      <c r="G729" s="42"/>
      <c r="H729" s="43"/>
      <c r="I729" s="42"/>
      <c r="J729" s="42"/>
      <c r="K729" s="42"/>
      <c r="L729" s="42"/>
      <c r="M729" s="42"/>
      <c r="N729" s="42"/>
      <c r="O729" s="42"/>
      <c r="P729" s="42"/>
      <c r="Q729" s="42"/>
      <c r="R729" s="42" t="s">
        <v>7517</v>
      </c>
      <c r="S729" s="42" t="s">
        <v>540</v>
      </c>
      <c r="T729" s="42" t="s">
        <v>3891</v>
      </c>
      <c r="U729" s="42" t="s">
        <v>7325</v>
      </c>
      <c r="V729" s="44" t="s">
        <v>3892</v>
      </c>
      <c r="W729" s="42" t="s">
        <v>3892</v>
      </c>
    </row>
    <row r="730" spans="1:23">
      <c r="A730" s="40">
        <v>220</v>
      </c>
      <c r="B730" s="41">
        <v>1851113271</v>
      </c>
      <c r="C730" s="42" t="s">
        <v>7546</v>
      </c>
      <c r="D730" s="42" t="s">
        <v>760</v>
      </c>
      <c r="E730" s="43" t="s">
        <v>8408</v>
      </c>
      <c r="F730" s="42"/>
      <c r="G730" s="42"/>
      <c r="H730" s="43"/>
      <c r="I730" s="42"/>
      <c r="J730" s="42"/>
      <c r="K730" s="42"/>
      <c r="L730" s="42"/>
      <c r="M730" s="42"/>
      <c r="N730" s="42"/>
      <c r="O730" s="42"/>
      <c r="P730" s="42"/>
      <c r="Q730" s="42"/>
      <c r="R730" s="42" t="s">
        <v>7517</v>
      </c>
      <c r="S730" s="42" t="s">
        <v>540</v>
      </c>
      <c r="T730" s="42" t="s">
        <v>3891</v>
      </c>
      <c r="U730" s="42" t="s">
        <v>7325</v>
      </c>
      <c r="V730" s="44" t="s">
        <v>3892</v>
      </c>
      <c r="W730" s="42" t="s">
        <v>3892</v>
      </c>
    </row>
    <row r="731" spans="1:23">
      <c r="A731" s="40">
        <v>221</v>
      </c>
      <c r="B731" s="41">
        <v>1451113427</v>
      </c>
      <c r="C731" s="42" t="s">
        <v>7547</v>
      </c>
      <c r="D731" s="42" t="s">
        <v>760</v>
      </c>
      <c r="E731" s="43" t="s">
        <v>8409</v>
      </c>
      <c r="F731" s="42"/>
      <c r="G731" s="42"/>
      <c r="H731" s="43"/>
      <c r="I731" s="42"/>
      <c r="J731" s="42"/>
      <c r="K731" s="42"/>
      <c r="L731" s="42"/>
      <c r="M731" s="42"/>
      <c r="N731" s="42"/>
      <c r="O731" s="42"/>
      <c r="P731" s="42"/>
      <c r="Q731" s="42"/>
      <c r="R731" s="42" t="s">
        <v>7517</v>
      </c>
      <c r="S731" s="42" t="s">
        <v>540</v>
      </c>
      <c r="T731" s="42" t="s">
        <v>3891</v>
      </c>
      <c r="U731" s="42" t="s">
        <v>7325</v>
      </c>
      <c r="V731" s="44" t="s">
        <v>3892</v>
      </c>
      <c r="W731" s="42" t="s">
        <v>3892</v>
      </c>
    </row>
    <row r="732" spans="1:23">
      <c r="A732" s="40">
        <v>222</v>
      </c>
      <c r="B732" s="41">
        <v>1251012071</v>
      </c>
      <c r="C732" s="42" t="s">
        <v>7548</v>
      </c>
      <c r="D732" s="42" t="s">
        <v>760</v>
      </c>
      <c r="E732" s="43" t="s">
        <v>8410</v>
      </c>
      <c r="F732" s="42"/>
      <c r="G732" s="42"/>
      <c r="H732" s="43"/>
      <c r="I732" s="42"/>
      <c r="J732" s="42"/>
      <c r="K732" s="42"/>
      <c r="L732" s="42"/>
      <c r="M732" s="42"/>
      <c r="N732" s="42"/>
      <c r="O732" s="42"/>
      <c r="P732" s="42"/>
      <c r="Q732" s="42"/>
      <c r="R732" s="42" t="s">
        <v>7517</v>
      </c>
      <c r="S732" s="42" t="s">
        <v>540</v>
      </c>
      <c r="T732" s="42" t="s">
        <v>3891</v>
      </c>
      <c r="U732" s="42" t="s">
        <v>7325</v>
      </c>
      <c r="V732" s="44" t="s">
        <v>3892</v>
      </c>
      <c r="W732" s="42" t="s">
        <v>3892</v>
      </c>
    </row>
    <row r="733" spans="1:23">
      <c r="A733" s="40">
        <v>223</v>
      </c>
      <c r="B733" s="41">
        <v>1651111737</v>
      </c>
      <c r="C733" s="42" t="s">
        <v>7549</v>
      </c>
      <c r="D733" s="42" t="s">
        <v>760</v>
      </c>
      <c r="E733" s="43" t="s">
        <v>8299</v>
      </c>
      <c r="F733" s="42"/>
      <c r="G733" s="42"/>
      <c r="H733" s="43"/>
      <c r="I733" s="42"/>
      <c r="J733" s="42"/>
      <c r="K733" s="42"/>
      <c r="L733" s="42"/>
      <c r="M733" s="42"/>
      <c r="N733" s="42"/>
      <c r="O733" s="42"/>
      <c r="P733" s="42"/>
      <c r="Q733" s="42"/>
      <c r="R733" s="42" t="s">
        <v>7517</v>
      </c>
      <c r="S733" s="42" t="s">
        <v>540</v>
      </c>
      <c r="T733" s="42" t="s">
        <v>3891</v>
      </c>
      <c r="U733" s="42" t="s">
        <v>7325</v>
      </c>
      <c r="V733" s="44" t="s">
        <v>3892</v>
      </c>
      <c r="W733" s="42" t="s">
        <v>3892</v>
      </c>
    </row>
    <row r="734" spans="1:23">
      <c r="A734" s="40">
        <v>224</v>
      </c>
      <c r="B734" s="41">
        <v>1851112649</v>
      </c>
      <c r="C734" s="42" t="s">
        <v>7550</v>
      </c>
      <c r="D734" s="42" t="s">
        <v>760</v>
      </c>
      <c r="E734" s="43" t="s">
        <v>8411</v>
      </c>
      <c r="F734" s="42"/>
      <c r="G734" s="42"/>
      <c r="H734" s="43"/>
      <c r="I734" s="42"/>
      <c r="J734" s="42"/>
      <c r="K734" s="42"/>
      <c r="L734" s="42"/>
      <c r="M734" s="42"/>
      <c r="N734" s="42"/>
      <c r="O734" s="42"/>
      <c r="P734" s="42"/>
      <c r="Q734" s="42"/>
      <c r="R734" s="42" t="s">
        <v>7517</v>
      </c>
      <c r="S734" s="42" t="s">
        <v>540</v>
      </c>
      <c r="T734" s="42" t="s">
        <v>3891</v>
      </c>
      <c r="U734" s="42" t="s">
        <v>7325</v>
      </c>
      <c r="V734" s="44" t="s">
        <v>3892</v>
      </c>
      <c r="W734" s="42" t="s">
        <v>3892</v>
      </c>
    </row>
    <row r="735" spans="1:23">
      <c r="A735" s="40">
        <v>225</v>
      </c>
      <c r="B735" s="41">
        <v>1851112940</v>
      </c>
      <c r="C735" s="42" t="s">
        <v>7551</v>
      </c>
      <c r="D735" s="42" t="s">
        <v>760</v>
      </c>
      <c r="E735" s="43" t="s">
        <v>8412</v>
      </c>
      <c r="F735" s="42"/>
      <c r="G735" s="42"/>
      <c r="H735" s="43"/>
      <c r="I735" s="42"/>
      <c r="J735" s="42"/>
      <c r="K735" s="42"/>
      <c r="L735" s="42"/>
      <c r="M735" s="42"/>
      <c r="N735" s="42"/>
      <c r="O735" s="42"/>
      <c r="P735" s="42"/>
      <c r="Q735" s="42"/>
      <c r="R735" s="42" t="s">
        <v>7517</v>
      </c>
      <c r="S735" s="42" t="s">
        <v>540</v>
      </c>
      <c r="T735" s="42" t="s">
        <v>3891</v>
      </c>
      <c r="U735" s="42" t="s">
        <v>7325</v>
      </c>
      <c r="V735" s="44" t="s">
        <v>3892</v>
      </c>
      <c r="W735" s="42" t="s">
        <v>3892</v>
      </c>
    </row>
    <row r="736" spans="1:23">
      <c r="A736" s="40">
        <v>226</v>
      </c>
      <c r="B736" s="41">
        <v>1851113084</v>
      </c>
      <c r="C736" s="42" t="s">
        <v>7552</v>
      </c>
      <c r="D736" s="42" t="s">
        <v>760</v>
      </c>
      <c r="E736" s="43" t="s">
        <v>8413</v>
      </c>
      <c r="F736" s="42"/>
      <c r="G736" s="42"/>
      <c r="H736" s="43"/>
      <c r="I736" s="42"/>
      <c r="J736" s="42"/>
      <c r="K736" s="42"/>
      <c r="L736" s="42"/>
      <c r="M736" s="42"/>
      <c r="N736" s="42"/>
      <c r="O736" s="42"/>
      <c r="P736" s="42"/>
      <c r="Q736" s="42"/>
      <c r="R736" s="42" t="s">
        <v>7517</v>
      </c>
      <c r="S736" s="42" t="s">
        <v>540</v>
      </c>
      <c r="T736" s="42" t="s">
        <v>3891</v>
      </c>
      <c r="U736" s="42" t="s">
        <v>7325</v>
      </c>
      <c r="V736" s="44" t="s">
        <v>3892</v>
      </c>
      <c r="W736" s="42" t="s">
        <v>3892</v>
      </c>
    </row>
    <row r="737" spans="1:23">
      <c r="A737" s="40">
        <v>227</v>
      </c>
      <c r="B737" s="41">
        <v>1351112612</v>
      </c>
      <c r="C737" s="42" t="s">
        <v>7553</v>
      </c>
      <c r="D737" s="42" t="s">
        <v>760</v>
      </c>
      <c r="E737" s="43" t="s">
        <v>8414</v>
      </c>
      <c r="F737" s="42"/>
      <c r="G737" s="42"/>
      <c r="H737" s="43"/>
      <c r="I737" s="42"/>
      <c r="J737" s="42"/>
      <c r="K737" s="42"/>
      <c r="L737" s="42"/>
      <c r="M737" s="42"/>
      <c r="N737" s="42"/>
      <c r="O737" s="42"/>
      <c r="P737" s="42"/>
      <c r="Q737" s="42"/>
      <c r="R737" s="42" t="s">
        <v>7517</v>
      </c>
      <c r="S737" s="42" t="s">
        <v>540</v>
      </c>
      <c r="T737" s="42" t="s">
        <v>3891</v>
      </c>
      <c r="U737" s="42" t="s">
        <v>7325</v>
      </c>
      <c r="V737" s="44" t="s">
        <v>3892</v>
      </c>
      <c r="W737" s="42" t="s">
        <v>3892</v>
      </c>
    </row>
    <row r="738" spans="1:23">
      <c r="A738" s="40">
        <v>228</v>
      </c>
      <c r="B738" s="41">
        <v>1451113440</v>
      </c>
      <c r="C738" s="42" t="s">
        <v>7554</v>
      </c>
      <c r="D738" s="42" t="s">
        <v>760</v>
      </c>
      <c r="E738" s="43" t="s">
        <v>8374</v>
      </c>
      <c r="F738" s="42"/>
      <c r="G738" s="42"/>
      <c r="H738" s="43"/>
      <c r="I738" s="42"/>
      <c r="J738" s="42"/>
      <c r="K738" s="42"/>
      <c r="L738" s="42"/>
      <c r="M738" s="42"/>
      <c r="N738" s="42"/>
      <c r="O738" s="42"/>
      <c r="P738" s="42"/>
      <c r="Q738" s="42"/>
      <c r="R738" s="42" t="s">
        <v>7517</v>
      </c>
      <c r="S738" s="42" t="s">
        <v>540</v>
      </c>
      <c r="T738" s="42" t="s">
        <v>3891</v>
      </c>
      <c r="U738" s="42" t="s">
        <v>7325</v>
      </c>
      <c r="V738" s="44" t="s">
        <v>3892</v>
      </c>
      <c r="W738" s="42" t="s">
        <v>3892</v>
      </c>
    </row>
    <row r="739" spans="1:23">
      <c r="A739" s="40">
        <v>229</v>
      </c>
      <c r="B739" s="41">
        <v>1651112932</v>
      </c>
      <c r="C739" s="42" t="s">
        <v>1589</v>
      </c>
      <c r="D739" s="42" t="s">
        <v>3892</v>
      </c>
      <c r="E739" s="43" t="s">
        <v>7273</v>
      </c>
      <c r="F739" s="42"/>
      <c r="G739" s="42"/>
      <c r="H739" s="43"/>
      <c r="I739" s="42"/>
      <c r="J739" s="42"/>
      <c r="K739" s="42"/>
      <c r="L739" s="42"/>
      <c r="M739" s="42"/>
      <c r="N739" s="42"/>
      <c r="O739" s="42"/>
      <c r="P739" s="42"/>
      <c r="Q739" s="42"/>
      <c r="R739" s="42" t="s">
        <v>7517</v>
      </c>
      <c r="S739" s="42" t="s">
        <v>540</v>
      </c>
      <c r="T739" s="42" t="s">
        <v>3891</v>
      </c>
      <c r="U739" s="42" t="s">
        <v>7325</v>
      </c>
      <c r="V739" s="44" t="s">
        <v>3892</v>
      </c>
      <c r="W739" s="42" t="s">
        <v>7345</v>
      </c>
    </row>
    <row r="740" spans="1:23">
      <c r="A740" s="40">
        <v>230</v>
      </c>
      <c r="B740" s="41">
        <v>1751110428</v>
      </c>
      <c r="C740" s="42" t="s">
        <v>7555</v>
      </c>
      <c r="D740" s="42" t="s">
        <v>760</v>
      </c>
      <c r="E740" s="43" t="s">
        <v>8415</v>
      </c>
      <c r="F740" s="42"/>
      <c r="G740" s="42"/>
      <c r="H740" s="43"/>
      <c r="I740" s="42"/>
      <c r="J740" s="42"/>
      <c r="K740" s="42"/>
      <c r="L740" s="42"/>
      <c r="M740" s="42"/>
      <c r="N740" s="42"/>
      <c r="O740" s="42"/>
      <c r="P740" s="42"/>
      <c r="Q740" s="42"/>
      <c r="R740" s="42" t="s">
        <v>7517</v>
      </c>
      <c r="S740" s="42" t="s">
        <v>540</v>
      </c>
      <c r="T740" s="42" t="s">
        <v>3891</v>
      </c>
      <c r="U740" s="42" t="s">
        <v>7325</v>
      </c>
      <c r="V740" s="44" t="s">
        <v>3892</v>
      </c>
      <c r="W740" s="42" t="s">
        <v>3892</v>
      </c>
    </row>
    <row r="741" spans="1:23">
      <c r="A741" s="40">
        <v>231</v>
      </c>
      <c r="B741" s="41">
        <v>1851113058</v>
      </c>
      <c r="C741" s="42" t="s">
        <v>7556</v>
      </c>
      <c r="D741" s="42" t="s">
        <v>3892</v>
      </c>
      <c r="E741" s="43" t="s">
        <v>7273</v>
      </c>
      <c r="F741" s="42"/>
      <c r="G741" s="42"/>
      <c r="H741" s="43"/>
      <c r="I741" s="42"/>
      <c r="J741" s="42"/>
      <c r="K741" s="42"/>
      <c r="L741" s="42"/>
      <c r="M741" s="42"/>
      <c r="N741" s="42"/>
      <c r="O741" s="42"/>
      <c r="P741" s="42"/>
      <c r="Q741" s="42"/>
      <c r="R741" s="42" t="s">
        <v>7517</v>
      </c>
      <c r="S741" s="42" t="s">
        <v>540</v>
      </c>
      <c r="T741" s="42" t="s">
        <v>3891</v>
      </c>
      <c r="U741" s="42" t="s">
        <v>7325</v>
      </c>
      <c r="V741" s="44" t="s">
        <v>3892</v>
      </c>
      <c r="W741" s="42" t="s">
        <v>3892</v>
      </c>
    </row>
    <row r="742" spans="1:23" ht="60">
      <c r="A742" s="40">
        <v>232</v>
      </c>
      <c r="B742" s="41">
        <v>1651112908</v>
      </c>
      <c r="C742" s="42" t="s">
        <v>7557</v>
      </c>
      <c r="D742" s="42" t="s">
        <v>760</v>
      </c>
      <c r="E742" s="43" t="s">
        <v>8416</v>
      </c>
      <c r="F742" s="42"/>
      <c r="G742" s="42"/>
      <c r="H742" s="43"/>
      <c r="I742" s="42"/>
      <c r="J742" s="42"/>
      <c r="K742" s="42"/>
      <c r="L742" s="42"/>
      <c r="M742" s="42"/>
      <c r="N742" s="42"/>
      <c r="O742" s="42"/>
      <c r="P742" s="42"/>
      <c r="Q742" s="42"/>
      <c r="R742" s="42" t="s">
        <v>7517</v>
      </c>
      <c r="S742" s="42" t="s">
        <v>540</v>
      </c>
      <c r="T742" s="42" t="s">
        <v>3891</v>
      </c>
      <c r="U742" s="42" t="s">
        <v>7325</v>
      </c>
      <c r="V742" s="44" t="s">
        <v>7558</v>
      </c>
      <c r="W742" s="42" t="s">
        <v>3905</v>
      </c>
    </row>
    <row r="743" spans="1:23">
      <c r="A743" s="40">
        <v>233</v>
      </c>
      <c r="B743" s="41">
        <v>1651111303</v>
      </c>
      <c r="C743" s="42" t="s">
        <v>7559</v>
      </c>
      <c r="D743" s="42" t="s">
        <v>760</v>
      </c>
      <c r="E743" s="43" t="s">
        <v>8417</v>
      </c>
      <c r="F743" s="42"/>
      <c r="G743" s="42"/>
      <c r="H743" s="43"/>
      <c r="I743" s="42"/>
      <c r="J743" s="42"/>
      <c r="K743" s="42"/>
      <c r="L743" s="42"/>
      <c r="M743" s="42"/>
      <c r="N743" s="42"/>
      <c r="O743" s="42"/>
      <c r="P743" s="42"/>
      <c r="Q743" s="42"/>
      <c r="R743" s="42" t="s">
        <v>7517</v>
      </c>
      <c r="S743" s="42" t="s">
        <v>540</v>
      </c>
      <c r="T743" s="42" t="s">
        <v>3891</v>
      </c>
      <c r="U743" s="42" t="s">
        <v>7325</v>
      </c>
      <c r="V743" s="44" t="s">
        <v>3892</v>
      </c>
      <c r="W743" s="42" t="s">
        <v>3892</v>
      </c>
    </row>
    <row r="744" spans="1:23">
      <c r="A744" s="40">
        <v>234</v>
      </c>
      <c r="B744" s="41">
        <v>1751110095</v>
      </c>
      <c r="C744" s="42" t="s">
        <v>7560</v>
      </c>
      <c r="D744" s="42" t="s">
        <v>760</v>
      </c>
      <c r="E744" s="43" t="s">
        <v>8418</v>
      </c>
      <c r="F744" s="42"/>
      <c r="G744" s="42"/>
      <c r="H744" s="43"/>
      <c r="I744" s="42"/>
      <c r="J744" s="42"/>
      <c r="K744" s="42"/>
      <c r="L744" s="42"/>
      <c r="M744" s="42"/>
      <c r="N744" s="42"/>
      <c r="O744" s="42"/>
      <c r="P744" s="42"/>
      <c r="Q744" s="42"/>
      <c r="R744" s="42" t="s">
        <v>7517</v>
      </c>
      <c r="S744" s="42" t="s">
        <v>540</v>
      </c>
      <c r="T744" s="42" t="s">
        <v>3891</v>
      </c>
      <c r="U744" s="42" t="s">
        <v>7325</v>
      </c>
      <c r="V744" s="44" t="s">
        <v>3892</v>
      </c>
      <c r="W744" s="42" t="s">
        <v>3892</v>
      </c>
    </row>
    <row r="745" spans="1:23">
      <c r="A745" s="40">
        <v>235</v>
      </c>
      <c r="B745" s="41">
        <v>1551112904</v>
      </c>
      <c r="C745" s="42" t="s">
        <v>7561</v>
      </c>
      <c r="D745" s="42" t="s">
        <v>760</v>
      </c>
      <c r="E745" s="43" t="s">
        <v>8419</v>
      </c>
      <c r="F745" s="42"/>
      <c r="G745" s="42"/>
      <c r="H745" s="43"/>
      <c r="I745" s="42"/>
      <c r="J745" s="42"/>
      <c r="K745" s="42"/>
      <c r="L745" s="42"/>
      <c r="M745" s="42"/>
      <c r="N745" s="42"/>
      <c r="O745" s="42"/>
      <c r="P745" s="42"/>
      <c r="Q745" s="42"/>
      <c r="R745" s="42" t="s">
        <v>7517</v>
      </c>
      <c r="S745" s="42" t="s">
        <v>540</v>
      </c>
      <c r="T745" s="42" t="s">
        <v>3891</v>
      </c>
      <c r="U745" s="42" t="s">
        <v>7325</v>
      </c>
      <c r="V745" s="44" t="s">
        <v>3892</v>
      </c>
      <c r="W745" s="42" t="s">
        <v>3892</v>
      </c>
    </row>
    <row r="746" spans="1:23">
      <c r="A746" s="40">
        <v>236</v>
      </c>
      <c r="B746" s="41">
        <v>1851113238</v>
      </c>
      <c r="C746" s="42" t="s">
        <v>7562</v>
      </c>
      <c r="D746" s="42" t="s">
        <v>760</v>
      </c>
      <c r="E746" s="43" t="s">
        <v>7273</v>
      </c>
      <c r="F746" s="42"/>
      <c r="G746" s="42"/>
      <c r="H746" s="43"/>
      <c r="I746" s="42"/>
      <c r="J746" s="42"/>
      <c r="K746" s="42"/>
      <c r="L746" s="42"/>
      <c r="M746" s="42"/>
      <c r="N746" s="42"/>
      <c r="O746" s="42"/>
      <c r="P746" s="42"/>
      <c r="Q746" s="42"/>
      <c r="R746" s="42" t="s">
        <v>7517</v>
      </c>
      <c r="S746" s="42" t="s">
        <v>540</v>
      </c>
      <c r="T746" s="42" t="s">
        <v>3891</v>
      </c>
      <c r="U746" s="42" t="s">
        <v>7325</v>
      </c>
      <c r="V746" s="44" t="s">
        <v>3892</v>
      </c>
      <c r="W746" s="42" t="s">
        <v>3892</v>
      </c>
    </row>
    <row r="747" spans="1:23">
      <c r="A747" s="40">
        <v>237</v>
      </c>
      <c r="B747" s="41">
        <v>1551113251</v>
      </c>
      <c r="C747" s="42" t="s">
        <v>7563</v>
      </c>
      <c r="D747" s="42" t="s">
        <v>760</v>
      </c>
      <c r="E747" s="43" t="s">
        <v>8420</v>
      </c>
      <c r="F747" s="42"/>
      <c r="G747" s="42"/>
      <c r="H747" s="43"/>
      <c r="I747" s="42"/>
      <c r="J747" s="42"/>
      <c r="K747" s="42"/>
      <c r="L747" s="42"/>
      <c r="M747" s="42"/>
      <c r="N747" s="42"/>
      <c r="O747" s="42"/>
      <c r="P747" s="42"/>
      <c r="Q747" s="42"/>
      <c r="R747" s="42" t="s">
        <v>7517</v>
      </c>
      <c r="S747" s="42" t="s">
        <v>540</v>
      </c>
      <c r="T747" s="42" t="s">
        <v>3891</v>
      </c>
      <c r="U747" s="42" t="s">
        <v>7325</v>
      </c>
      <c r="V747" s="44" t="s">
        <v>3892</v>
      </c>
      <c r="W747" s="42" t="s">
        <v>3892</v>
      </c>
    </row>
    <row r="748" spans="1:23">
      <c r="A748" s="40">
        <v>238</v>
      </c>
      <c r="B748" s="41">
        <v>1751112218</v>
      </c>
      <c r="C748" s="42" t="s">
        <v>7564</v>
      </c>
      <c r="D748" s="42" t="s">
        <v>760</v>
      </c>
      <c r="E748" s="43" t="s">
        <v>8421</v>
      </c>
      <c r="F748" s="42"/>
      <c r="G748" s="42"/>
      <c r="H748" s="43"/>
      <c r="I748" s="42"/>
      <c r="J748" s="42"/>
      <c r="K748" s="42"/>
      <c r="L748" s="42"/>
      <c r="M748" s="42"/>
      <c r="N748" s="42"/>
      <c r="O748" s="42"/>
      <c r="P748" s="42"/>
      <c r="Q748" s="42"/>
      <c r="R748" s="42" t="s">
        <v>7517</v>
      </c>
      <c r="S748" s="42" t="s">
        <v>540</v>
      </c>
      <c r="T748" s="42" t="s">
        <v>3891</v>
      </c>
      <c r="U748" s="42" t="s">
        <v>7325</v>
      </c>
      <c r="V748" s="44" t="s">
        <v>3892</v>
      </c>
      <c r="W748" s="42" t="s">
        <v>3892</v>
      </c>
    </row>
    <row r="749" spans="1:23">
      <c r="A749" s="40">
        <v>239</v>
      </c>
      <c r="B749" s="41">
        <v>1651112031</v>
      </c>
      <c r="C749" s="42" t="s">
        <v>7565</v>
      </c>
      <c r="D749" s="42" t="s">
        <v>760</v>
      </c>
      <c r="E749" s="43" t="s">
        <v>8422</v>
      </c>
      <c r="F749" s="42"/>
      <c r="G749" s="42"/>
      <c r="H749" s="43"/>
      <c r="I749" s="42"/>
      <c r="J749" s="42"/>
      <c r="K749" s="42"/>
      <c r="L749" s="42"/>
      <c r="M749" s="42"/>
      <c r="N749" s="42"/>
      <c r="O749" s="42"/>
      <c r="P749" s="42"/>
      <c r="Q749" s="42"/>
      <c r="R749" s="42" t="s">
        <v>7517</v>
      </c>
      <c r="S749" s="42" t="s">
        <v>540</v>
      </c>
      <c r="T749" s="42" t="s">
        <v>3891</v>
      </c>
      <c r="U749" s="42" t="s">
        <v>7325</v>
      </c>
      <c r="V749" s="44" t="s">
        <v>3892</v>
      </c>
      <c r="W749" s="42" t="s">
        <v>3892</v>
      </c>
    </row>
    <row r="750" spans="1:23">
      <c r="A750" s="40">
        <v>240</v>
      </c>
      <c r="B750" s="41">
        <v>1751112247</v>
      </c>
      <c r="C750" s="42" t="s">
        <v>7566</v>
      </c>
      <c r="D750" s="42" t="s">
        <v>760</v>
      </c>
      <c r="E750" s="43" t="s">
        <v>8423</v>
      </c>
      <c r="F750" s="42"/>
      <c r="G750" s="42"/>
      <c r="H750" s="43"/>
      <c r="I750" s="42"/>
      <c r="J750" s="42"/>
      <c r="K750" s="42"/>
      <c r="L750" s="42"/>
      <c r="M750" s="42"/>
      <c r="N750" s="42"/>
      <c r="O750" s="42"/>
      <c r="P750" s="42"/>
      <c r="Q750" s="42"/>
      <c r="R750" s="42" t="s">
        <v>7517</v>
      </c>
      <c r="S750" s="42" t="s">
        <v>540</v>
      </c>
      <c r="T750" s="42" t="s">
        <v>3891</v>
      </c>
      <c r="U750" s="42" t="s">
        <v>7325</v>
      </c>
      <c r="V750" s="44" t="s">
        <v>3892</v>
      </c>
      <c r="W750" s="42" t="s">
        <v>3892</v>
      </c>
    </row>
    <row r="751" spans="1:23">
      <c r="A751" s="40">
        <v>241</v>
      </c>
      <c r="B751" s="41">
        <v>1851113241</v>
      </c>
      <c r="C751" s="42" t="s">
        <v>7567</v>
      </c>
      <c r="D751" s="42" t="s">
        <v>760</v>
      </c>
      <c r="E751" s="43" t="s">
        <v>7273</v>
      </c>
      <c r="F751" s="42"/>
      <c r="G751" s="42"/>
      <c r="H751" s="43"/>
      <c r="I751" s="42"/>
      <c r="J751" s="42"/>
      <c r="K751" s="42"/>
      <c r="L751" s="42"/>
      <c r="M751" s="42"/>
      <c r="N751" s="42"/>
      <c r="O751" s="42"/>
      <c r="P751" s="42"/>
      <c r="Q751" s="42"/>
      <c r="R751" s="42" t="s">
        <v>7517</v>
      </c>
      <c r="S751" s="42" t="s">
        <v>540</v>
      </c>
      <c r="T751" s="42" t="s">
        <v>3891</v>
      </c>
      <c r="U751" s="42" t="s">
        <v>7325</v>
      </c>
      <c r="V751" s="44" t="s">
        <v>3892</v>
      </c>
      <c r="W751" s="42" t="s">
        <v>3892</v>
      </c>
    </row>
    <row r="752" spans="1:23">
      <c r="A752" s="40">
        <v>242</v>
      </c>
      <c r="B752" s="41">
        <v>1551113108</v>
      </c>
      <c r="C752" s="42" t="s">
        <v>7568</v>
      </c>
      <c r="D752" s="42" t="s">
        <v>760</v>
      </c>
      <c r="E752" s="43" t="s">
        <v>8424</v>
      </c>
      <c r="F752" s="42"/>
      <c r="G752" s="42"/>
      <c r="H752" s="43"/>
      <c r="I752" s="42"/>
      <c r="J752" s="42"/>
      <c r="K752" s="42"/>
      <c r="L752" s="42"/>
      <c r="M752" s="42"/>
      <c r="N752" s="42"/>
      <c r="O752" s="42"/>
      <c r="P752" s="42"/>
      <c r="Q752" s="42"/>
      <c r="R752" s="42" t="s">
        <v>7517</v>
      </c>
      <c r="S752" s="42" t="s">
        <v>540</v>
      </c>
      <c r="T752" s="42" t="s">
        <v>3891</v>
      </c>
      <c r="U752" s="42" t="s">
        <v>7325</v>
      </c>
      <c r="V752" s="44" t="s">
        <v>3892</v>
      </c>
      <c r="W752" s="42" t="s">
        <v>3892</v>
      </c>
    </row>
    <row r="753" spans="1:23">
      <c r="A753" s="40">
        <v>243</v>
      </c>
      <c r="B753" s="41">
        <v>1651111396</v>
      </c>
      <c r="C753" s="42" t="s">
        <v>7569</v>
      </c>
      <c r="D753" s="42" t="s">
        <v>760</v>
      </c>
      <c r="E753" s="43" t="s">
        <v>8425</v>
      </c>
      <c r="F753" s="42"/>
      <c r="G753" s="42"/>
      <c r="H753" s="43"/>
      <c r="I753" s="42"/>
      <c r="J753" s="42"/>
      <c r="K753" s="42"/>
      <c r="L753" s="42"/>
      <c r="M753" s="42"/>
      <c r="N753" s="42"/>
      <c r="O753" s="42"/>
      <c r="P753" s="42"/>
      <c r="Q753" s="42"/>
      <c r="R753" s="42" t="s">
        <v>7517</v>
      </c>
      <c r="S753" s="42" t="s">
        <v>540</v>
      </c>
      <c r="T753" s="42" t="s">
        <v>3891</v>
      </c>
      <c r="U753" s="42" t="s">
        <v>7325</v>
      </c>
      <c r="V753" s="44" t="s">
        <v>3892</v>
      </c>
      <c r="W753" s="42" t="s">
        <v>3892</v>
      </c>
    </row>
    <row r="754" spans="1:23">
      <c r="A754" s="40">
        <v>244</v>
      </c>
      <c r="B754" s="41">
        <v>1551113493</v>
      </c>
      <c r="C754" s="42" t="s">
        <v>7570</v>
      </c>
      <c r="D754" s="42" t="s">
        <v>760</v>
      </c>
      <c r="E754" s="43" t="s">
        <v>8426</v>
      </c>
      <c r="F754" s="42"/>
      <c r="G754" s="42"/>
      <c r="H754" s="43"/>
      <c r="I754" s="42"/>
      <c r="J754" s="42"/>
      <c r="K754" s="42"/>
      <c r="L754" s="42"/>
      <c r="M754" s="42"/>
      <c r="N754" s="42"/>
      <c r="O754" s="42"/>
      <c r="P754" s="42"/>
      <c r="Q754" s="42"/>
      <c r="R754" s="42" t="s">
        <v>7517</v>
      </c>
      <c r="S754" s="42" t="s">
        <v>540</v>
      </c>
      <c r="T754" s="42" t="s">
        <v>3891</v>
      </c>
      <c r="U754" s="42" t="s">
        <v>7325</v>
      </c>
      <c r="V754" s="44" t="s">
        <v>3892</v>
      </c>
      <c r="W754" s="42" t="s">
        <v>3892</v>
      </c>
    </row>
    <row r="755" spans="1:23">
      <c r="A755" s="40">
        <v>245</v>
      </c>
      <c r="B755" s="41">
        <v>1651112967</v>
      </c>
      <c r="C755" s="42" t="s">
        <v>7571</v>
      </c>
      <c r="D755" s="42" t="s">
        <v>3892</v>
      </c>
      <c r="E755" s="43" t="s">
        <v>7273</v>
      </c>
      <c r="F755" s="42"/>
      <c r="G755" s="42"/>
      <c r="H755" s="43"/>
      <c r="I755" s="42"/>
      <c r="J755" s="42"/>
      <c r="K755" s="42"/>
      <c r="L755" s="42"/>
      <c r="M755" s="42"/>
      <c r="N755" s="42"/>
      <c r="O755" s="42"/>
      <c r="P755" s="42"/>
      <c r="Q755" s="42"/>
      <c r="R755" s="42" t="s">
        <v>7517</v>
      </c>
      <c r="S755" s="42" t="s">
        <v>540</v>
      </c>
      <c r="T755" s="42" t="s">
        <v>3891</v>
      </c>
      <c r="U755" s="42" t="s">
        <v>7325</v>
      </c>
      <c r="V755" s="44" t="s">
        <v>3892</v>
      </c>
      <c r="W755" s="42" t="s">
        <v>7345</v>
      </c>
    </row>
    <row r="756" spans="1:23">
      <c r="A756" s="40">
        <v>246</v>
      </c>
      <c r="B756" s="41">
        <v>1251012676</v>
      </c>
      <c r="C756" s="42" t="s">
        <v>7572</v>
      </c>
      <c r="D756" s="42" t="s">
        <v>760</v>
      </c>
      <c r="E756" s="43" t="s">
        <v>8427</v>
      </c>
      <c r="F756" s="42"/>
      <c r="G756" s="42"/>
      <c r="H756" s="43"/>
      <c r="I756" s="42"/>
      <c r="J756" s="42"/>
      <c r="K756" s="42"/>
      <c r="L756" s="42"/>
      <c r="M756" s="42"/>
      <c r="N756" s="42"/>
      <c r="O756" s="42"/>
      <c r="P756" s="42"/>
      <c r="Q756" s="42"/>
      <c r="R756" s="42" t="s">
        <v>7517</v>
      </c>
      <c r="S756" s="42" t="s">
        <v>540</v>
      </c>
      <c r="T756" s="42" t="s">
        <v>3891</v>
      </c>
      <c r="U756" s="42" t="s">
        <v>7325</v>
      </c>
      <c r="V756" s="44" t="s">
        <v>3892</v>
      </c>
      <c r="W756" s="42" t="s">
        <v>3892</v>
      </c>
    </row>
    <row r="757" spans="1:23">
      <c r="A757" s="40">
        <v>247</v>
      </c>
      <c r="B757" s="41">
        <v>1551113553</v>
      </c>
      <c r="C757" s="42" t="s">
        <v>7573</v>
      </c>
      <c r="D757" s="42" t="s">
        <v>3892</v>
      </c>
      <c r="E757" s="43" t="s">
        <v>7273</v>
      </c>
      <c r="F757" s="42"/>
      <c r="G757" s="42"/>
      <c r="H757" s="43"/>
      <c r="I757" s="42"/>
      <c r="J757" s="42"/>
      <c r="K757" s="42"/>
      <c r="L757" s="42"/>
      <c r="M757" s="42"/>
      <c r="N757" s="42"/>
      <c r="O757" s="42"/>
      <c r="P757" s="42"/>
      <c r="Q757" s="42"/>
      <c r="R757" s="42" t="s">
        <v>7517</v>
      </c>
      <c r="S757" s="42" t="s">
        <v>540</v>
      </c>
      <c r="T757" s="42" t="s">
        <v>3891</v>
      </c>
      <c r="U757" s="42" t="s">
        <v>7325</v>
      </c>
      <c r="V757" s="44" t="s">
        <v>3892</v>
      </c>
      <c r="W757" s="42" t="s">
        <v>7345</v>
      </c>
    </row>
    <row r="758" spans="1:23">
      <c r="A758" s="40">
        <v>248</v>
      </c>
      <c r="B758" s="41">
        <v>1351113230</v>
      </c>
      <c r="C758" s="42" t="s">
        <v>7574</v>
      </c>
      <c r="D758" s="42" t="s">
        <v>760</v>
      </c>
      <c r="E758" s="43" t="s">
        <v>8428</v>
      </c>
      <c r="F758" s="42"/>
      <c r="G758" s="42"/>
      <c r="H758" s="43"/>
      <c r="I758" s="42"/>
      <c r="J758" s="42"/>
      <c r="K758" s="42"/>
      <c r="L758" s="42"/>
      <c r="M758" s="42"/>
      <c r="N758" s="42"/>
      <c r="O758" s="42"/>
      <c r="P758" s="42"/>
      <c r="Q758" s="42"/>
      <c r="R758" s="42" t="s">
        <v>7517</v>
      </c>
      <c r="S758" s="42" t="s">
        <v>540</v>
      </c>
      <c r="T758" s="42" t="s">
        <v>3891</v>
      </c>
      <c r="U758" s="42" t="s">
        <v>7325</v>
      </c>
      <c r="V758" s="44" t="s">
        <v>3892</v>
      </c>
      <c r="W758" s="42" t="s">
        <v>3892</v>
      </c>
    </row>
    <row r="759" spans="1:23">
      <c r="A759" s="40">
        <v>249</v>
      </c>
      <c r="B759" s="41">
        <v>1651112936</v>
      </c>
      <c r="C759" s="42" t="s">
        <v>7575</v>
      </c>
      <c r="D759" s="42" t="s">
        <v>760</v>
      </c>
      <c r="E759" s="43" t="s">
        <v>8429</v>
      </c>
      <c r="F759" s="42"/>
      <c r="G759" s="42"/>
      <c r="H759" s="43"/>
      <c r="I759" s="42"/>
      <c r="J759" s="42"/>
      <c r="K759" s="42"/>
      <c r="L759" s="42"/>
      <c r="M759" s="42"/>
      <c r="N759" s="42"/>
      <c r="O759" s="42"/>
      <c r="P759" s="42"/>
      <c r="Q759" s="42"/>
      <c r="R759" s="42" t="s">
        <v>7517</v>
      </c>
      <c r="S759" s="42" t="s">
        <v>540</v>
      </c>
      <c r="T759" s="42" t="s">
        <v>3891</v>
      </c>
      <c r="U759" s="42" t="s">
        <v>7325</v>
      </c>
      <c r="V759" s="44" t="s">
        <v>3892</v>
      </c>
      <c r="W759" s="42" t="s">
        <v>3892</v>
      </c>
    </row>
    <row r="760" spans="1:23">
      <c r="A760" s="40">
        <v>250</v>
      </c>
      <c r="B760" s="41">
        <v>1551112817</v>
      </c>
      <c r="C760" s="42" t="s">
        <v>7576</v>
      </c>
      <c r="D760" s="42" t="s">
        <v>760</v>
      </c>
      <c r="E760" s="43" t="s">
        <v>8430</v>
      </c>
      <c r="F760" s="42"/>
      <c r="G760" s="42"/>
      <c r="H760" s="43"/>
      <c r="I760" s="42"/>
      <c r="J760" s="42"/>
      <c r="K760" s="42"/>
      <c r="L760" s="42"/>
      <c r="M760" s="42"/>
      <c r="N760" s="42"/>
      <c r="O760" s="42"/>
      <c r="P760" s="42"/>
      <c r="Q760" s="42"/>
      <c r="R760" s="42" t="s">
        <v>7517</v>
      </c>
      <c r="S760" s="42" t="s">
        <v>540</v>
      </c>
      <c r="T760" s="42" t="s">
        <v>3891</v>
      </c>
      <c r="U760" s="42" t="s">
        <v>7325</v>
      </c>
      <c r="V760" s="44" t="s">
        <v>3892</v>
      </c>
      <c r="W760" s="42" t="s">
        <v>3892</v>
      </c>
    </row>
    <row r="761" spans="1:23">
      <c r="A761" s="40">
        <v>251</v>
      </c>
      <c r="B761" s="41">
        <v>1751112284</v>
      </c>
      <c r="C761" s="42" t="s">
        <v>7577</v>
      </c>
      <c r="D761" s="42" t="s">
        <v>760</v>
      </c>
      <c r="E761" s="43" t="s">
        <v>8431</v>
      </c>
      <c r="F761" s="42"/>
      <c r="G761" s="42"/>
      <c r="H761" s="43"/>
      <c r="I761" s="42"/>
      <c r="J761" s="42"/>
      <c r="K761" s="42"/>
      <c r="L761" s="42"/>
      <c r="M761" s="42"/>
      <c r="N761" s="42"/>
      <c r="O761" s="42"/>
      <c r="P761" s="42"/>
      <c r="Q761" s="42"/>
      <c r="R761" s="42" t="s">
        <v>7517</v>
      </c>
      <c r="S761" s="42" t="s">
        <v>540</v>
      </c>
      <c r="T761" s="42" t="s">
        <v>3891</v>
      </c>
      <c r="U761" s="42" t="s">
        <v>7325</v>
      </c>
      <c r="V761" s="44" t="s">
        <v>3892</v>
      </c>
      <c r="W761" s="42" t="s">
        <v>3892</v>
      </c>
    </row>
    <row r="762" spans="1:23">
      <c r="A762" s="40">
        <v>252</v>
      </c>
      <c r="B762" s="41">
        <v>1651112042</v>
      </c>
      <c r="C762" s="42" t="s">
        <v>7578</v>
      </c>
      <c r="D762" s="42" t="s">
        <v>760</v>
      </c>
      <c r="E762" s="43" t="s">
        <v>8432</v>
      </c>
      <c r="F762" s="42"/>
      <c r="G762" s="42"/>
      <c r="H762" s="43"/>
      <c r="I762" s="42"/>
      <c r="J762" s="42"/>
      <c r="K762" s="42"/>
      <c r="L762" s="42"/>
      <c r="M762" s="42"/>
      <c r="N762" s="42"/>
      <c r="O762" s="42"/>
      <c r="P762" s="42"/>
      <c r="Q762" s="42"/>
      <c r="R762" s="42" t="s">
        <v>7517</v>
      </c>
      <c r="S762" s="42" t="s">
        <v>540</v>
      </c>
      <c r="T762" s="42" t="s">
        <v>3891</v>
      </c>
      <c r="U762" s="42" t="s">
        <v>7325</v>
      </c>
      <c r="V762" s="44" t="s">
        <v>3892</v>
      </c>
      <c r="W762" s="42" t="s">
        <v>3892</v>
      </c>
    </row>
    <row r="763" spans="1:23">
      <c r="A763" s="40">
        <v>253</v>
      </c>
      <c r="B763" s="41">
        <v>1751112292</v>
      </c>
      <c r="C763" s="42" t="s">
        <v>7579</v>
      </c>
      <c r="D763" s="42" t="s">
        <v>760</v>
      </c>
      <c r="E763" s="43" t="s">
        <v>8433</v>
      </c>
      <c r="F763" s="42"/>
      <c r="G763" s="42"/>
      <c r="H763" s="43"/>
      <c r="I763" s="42"/>
      <c r="J763" s="42"/>
      <c r="K763" s="42"/>
      <c r="L763" s="42"/>
      <c r="M763" s="42"/>
      <c r="N763" s="42"/>
      <c r="O763" s="42"/>
      <c r="P763" s="42"/>
      <c r="Q763" s="42"/>
      <c r="R763" s="42" t="s">
        <v>7517</v>
      </c>
      <c r="S763" s="42" t="s">
        <v>540</v>
      </c>
      <c r="T763" s="42" t="s">
        <v>3891</v>
      </c>
      <c r="U763" s="42" t="s">
        <v>7325</v>
      </c>
      <c r="V763" s="44" t="s">
        <v>3892</v>
      </c>
      <c r="W763" s="42" t="s">
        <v>3892</v>
      </c>
    </row>
    <row r="764" spans="1:23">
      <c r="A764" s="40">
        <v>254</v>
      </c>
      <c r="B764" s="41">
        <v>1651112862</v>
      </c>
      <c r="C764" s="42" t="s">
        <v>7580</v>
      </c>
      <c r="D764" s="42" t="s">
        <v>760</v>
      </c>
      <c r="E764" s="43" t="s">
        <v>8434</v>
      </c>
      <c r="F764" s="42"/>
      <c r="G764" s="42"/>
      <c r="H764" s="43"/>
      <c r="I764" s="42"/>
      <c r="J764" s="42"/>
      <c r="K764" s="42"/>
      <c r="L764" s="42"/>
      <c r="M764" s="42"/>
      <c r="N764" s="42"/>
      <c r="O764" s="42"/>
      <c r="P764" s="42"/>
      <c r="Q764" s="42"/>
      <c r="R764" s="42" t="s">
        <v>7517</v>
      </c>
      <c r="S764" s="42" t="s">
        <v>540</v>
      </c>
      <c r="T764" s="42" t="s">
        <v>3891</v>
      </c>
      <c r="U764" s="42" t="s">
        <v>7325</v>
      </c>
      <c r="V764" s="44" t="s">
        <v>3892</v>
      </c>
      <c r="W764" s="42" t="s">
        <v>3892</v>
      </c>
    </row>
    <row r="765" spans="1:23">
      <c r="A765" s="40">
        <v>255</v>
      </c>
      <c r="B765" s="41">
        <v>1651111683</v>
      </c>
      <c r="C765" s="42" t="s">
        <v>7581</v>
      </c>
      <c r="D765" s="42" t="s">
        <v>760</v>
      </c>
      <c r="E765" s="43" t="s">
        <v>8435</v>
      </c>
      <c r="F765" s="42"/>
      <c r="G765" s="42"/>
      <c r="H765" s="43"/>
      <c r="I765" s="42"/>
      <c r="J765" s="42"/>
      <c r="K765" s="42"/>
      <c r="L765" s="42"/>
      <c r="M765" s="42"/>
      <c r="N765" s="42"/>
      <c r="O765" s="42"/>
      <c r="P765" s="42"/>
      <c r="Q765" s="42"/>
      <c r="R765" s="42" t="s">
        <v>7517</v>
      </c>
      <c r="S765" s="42" t="s">
        <v>540</v>
      </c>
      <c r="T765" s="42" t="s">
        <v>3891</v>
      </c>
      <c r="U765" s="42" t="s">
        <v>7325</v>
      </c>
      <c r="V765" s="44" t="s">
        <v>3892</v>
      </c>
      <c r="W765" s="42" t="s">
        <v>3892</v>
      </c>
    </row>
    <row r="766" spans="1:23">
      <c r="A766" s="40">
        <v>256</v>
      </c>
      <c r="B766" s="41">
        <v>1551113241</v>
      </c>
      <c r="C766" s="42" t="s">
        <v>7582</v>
      </c>
      <c r="D766" s="42" t="s">
        <v>760</v>
      </c>
      <c r="E766" s="43" t="s">
        <v>8436</v>
      </c>
      <c r="F766" s="42"/>
      <c r="G766" s="42"/>
      <c r="H766" s="43"/>
      <c r="I766" s="42"/>
      <c r="J766" s="42"/>
      <c r="K766" s="42"/>
      <c r="L766" s="42"/>
      <c r="M766" s="42"/>
      <c r="N766" s="42"/>
      <c r="O766" s="42"/>
      <c r="P766" s="42"/>
      <c r="Q766" s="42"/>
      <c r="R766" s="42" t="s">
        <v>7517</v>
      </c>
      <c r="S766" s="42" t="s">
        <v>540</v>
      </c>
      <c r="T766" s="42" t="s">
        <v>3891</v>
      </c>
      <c r="U766" s="42" t="s">
        <v>7325</v>
      </c>
      <c r="V766" s="44" t="s">
        <v>3892</v>
      </c>
      <c r="W766" s="42" t="s">
        <v>3892</v>
      </c>
    </row>
    <row r="767" spans="1:23">
      <c r="A767" s="40">
        <v>257</v>
      </c>
      <c r="B767" s="41">
        <v>1351072467</v>
      </c>
      <c r="C767" s="42" t="s">
        <v>7583</v>
      </c>
      <c r="D767" s="42" t="s">
        <v>760</v>
      </c>
      <c r="E767" s="43" t="s">
        <v>8437</v>
      </c>
      <c r="F767" s="42"/>
      <c r="G767" s="42"/>
      <c r="H767" s="43"/>
      <c r="I767" s="42"/>
      <c r="J767" s="42"/>
      <c r="K767" s="42"/>
      <c r="L767" s="42"/>
      <c r="M767" s="42"/>
      <c r="N767" s="42"/>
      <c r="O767" s="42"/>
      <c r="P767" s="42"/>
      <c r="Q767" s="42"/>
      <c r="R767" s="42" t="s">
        <v>7584</v>
      </c>
      <c r="S767" s="42" t="s">
        <v>258</v>
      </c>
      <c r="T767" s="42" t="s">
        <v>4574</v>
      </c>
      <c r="U767" s="42" t="s">
        <v>7325</v>
      </c>
      <c r="V767" s="44" t="s">
        <v>3892</v>
      </c>
      <c r="W767" s="42" t="s">
        <v>3892</v>
      </c>
    </row>
    <row r="768" spans="1:23">
      <c r="A768" s="40">
        <v>258</v>
      </c>
      <c r="B768" s="41">
        <v>1551072882</v>
      </c>
      <c r="C768" s="42" t="s">
        <v>7585</v>
      </c>
      <c r="D768" s="42" t="s">
        <v>765</v>
      </c>
      <c r="E768" s="43" t="s">
        <v>8438</v>
      </c>
      <c r="F768" s="42"/>
      <c r="G768" s="42"/>
      <c r="H768" s="43"/>
      <c r="I768" s="42"/>
      <c r="J768" s="42"/>
      <c r="K768" s="42"/>
      <c r="L768" s="42"/>
      <c r="M768" s="42"/>
      <c r="N768" s="42"/>
      <c r="O768" s="42"/>
      <c r="P768" s="42"/>
      <c r="Q768" s="42"/>
      <c r="R768" s="42" t="s">
        <v>7584</v>
      </c>
      <c r="S768" s="42" t="s">
        <v>258</v>
      </c>
      <c r="T768" s="42" t="s">
        <v>4574</v>
      </c>
      <c r="U768" s="42" t="s">
        <v>7325</v>
      </c>
      <c r="V768" s="44" t="s">
        <v>3892</v>
      </c>
      <c r="W768" s="42" t="s">
        <v>3892</v>
      </c>
    </row>
    <row r="769" spans="1:23">
      <c r="A769" s="40">
        <v>259</v>
      </c>
      <c r="B769" s="41">
        <v>1751072216</v>
      </c>
      <c r="C769" s="42" t="s">
        <v>7586</v>
      </c>
      <c r="D769" s="42" t="s">
        <v>765</v>
      </c>
      <c r="E769" s="43" t="s">
        <v>8439</v>
      </c>
      <c r="F769" s="42"/>
      <c r="G769" s="42"/>
      <c r="H769" s="43"/>
      <c r="I769" s="42"/>
      <c r="J769" s="42"/>
      <c r="K769" s="42"/>
      <c r="L769" s="42"/>
      <c r="M769" s="42"/>
      <c r="N769" s="42"/>
      <c r="O769" s="42"/>
      <c r="P769" s="42"/>
      <c r="Q769" s="42"/>
      <c r="R769" s="42" t="s">
        <v>7584</v>
      </c>
      <c r="S769" s="42" t="s">
        <v>258</v>
      </c>
      <c r="T769" s="42" t="s">
        <v>4574</v>
      </c>
      <c r="U769" s="42" t="s">
        <v>7325</v>
      </c>
      <c r="V769" s="44" t="s">
        <v>3892</v>
      </c>
      <c r="W769" s="42" t="s">
        <v>3892</v>
      </c>
    </row>
    <row r="770" spans="1:23">
      <c r="A770" s="40">
        <v>260</v>
      </c>
      <c r="B770" s="41">
        <v>1651071839</v>
      </c>
      <c r="C770" s="42" t="s">
        <v>7587</v>
      </c>
      <c r="D770" s="42" t="s">
        <v>760</v>
      </c>
      <c r="E770" s="43" t="s">
        <v>8440</v>
      </c>
      <c r="F770" s="42"/>
      <c r="G770" s="42"/>
      <c r="H770" s="43"/>
      <c r="I770" s="42"/>
      <c r="J770" s="42"/>
      <c r="K770" s="42"/>
      <c r="L770" s="42"/>
      <c r="M770" s="42"/>
      <c r="N770" s="42"/>
      <c r="O770" s="42"/>
      <c r="P770" s="42"/>
      <c r="Q770" s="42"/>
      <c r="R770" s="42" t="s">
        <v>7584</v>
      </c>
      <c r="S770" s="42" t="s">
        <v>258</v>
      </c>
      <c r="T770" s="42" t="s">
        <v>4574</v>
      </c>
      <c r="U770" s="42" t="s">
        <v>7325</v>
      </c>
      <c r="V770" s="44" t="s">
        <v>3892</v>
      </c>
      <c r="W770" s="42" t="s">
        <v>3892</v>
      </c>
    </row>
    <row r="771" spans="1:23">
      <c r="A771" s="40">
        <v>261</v>
      </c>
      <c r="B771" s="41">
        <v>1751070415</v>
      </c>
      <c r="C771" s="42" t="s">
        <v>7588</v>
      </c>
      <c r="D771" s="42" t="s">
        <v>760</v>
      </c>
      <c r="E771" s="43" t="s">
        <v>8333</v>
      </c>
      <c r="F771" s="42"/>
      <c r="G771" s="42"/>
      <c r="H771" s="43"/>
      <c r="I771" s="42"/>
      <c r="J771" s="42"/>
      <c r="K771" s="42"/>
      <c r="L771" s="42"/>
      <c r="M771" s="42"/>
      <c r="N771" s="42"/>
      <c r="O771" s="42"/>
      <c r="P771" s="42"/>
      <c r="Q771" s="42"/>
      <c r="R771" s="42" t="s">
        <v>7584</v>
      </c>
      <c r="S771" s="42" t="s">
        <v>258</v>
      </c>
      <c r="T771" s="42" t="s">
        <v>4574</v>
      </c>
      <c r="U771" s="42" t="s">
        <v>7325</v>
      </c>
      <c r="V771" s="44" t="s">
        <v>3892</v>
      </c>
      <c r="W771" s="42" t="s">
        <v>3892</v>
      </c>
    </row>
    <row r="772" spans="1:23">
      <c r="A772" s="40">
        <v>262</v>
      </c>
      <c r="B772" s="41">
        <v>1551073039</v>
      </c>
      <c r="C772" s="42" t="s">
        <v>7589</v>
      </c>
      <c r="D772" s="42" t="s">
        <v>760</v>
      </c>
      <c r="E772" s="43" t="s">
        <v>8441</v>
      </c>
      <c r="F772" s="42"/>
      <c r="G772" s="42"/>
      <c r="H772" s="43"/>
      <c r="I772" s="42"/>
      <c r="J772" s="42"/>
      <c r="K772" s="42"/>
      <c r="L772" s="42"/>
      <c r="M772" s="42"/>
      <c r="N772" s="42"/>
      <c r="O772" s="42"/>
      <c r="P772" s="42"/>
      <c r="Q772" s="42"/>
      <c r="R772" s="42" t="s">
        <v>7584</v>
      </c>
      <c r="S772" s="42" t="s">
        <v>258</v>
      </c>
      <c r="T772" s="42" t="s">
        <v>4574</v>
      </c>
      <c r="U772" s="42" t="s">
        <v>7325</v>
      </c>
      <c r="V772" s="44" t="s">
        <v>3892</v>
      </c>
      <c r="W772" s="42" t="s">
        <v>3892</v>
      </c>
    </row>
    <row r="773" spans="1:23">
      <c r="A773" s="40">
        <v>263</v>
      </c>
      <c r="B773" s="41">
        <v>1651071741</v>
      </c>
      <c r="C773" s="42" t="s">
        <v>7590</v>
      </c>
      <c r="D773" s="42" t="s">
        <v>760</v>
      </c>
      <c r="E773" s="43" t="s">
        <v>8395</v>
      </c>
      <c r="F773" s="42"/>
      <c r="G773" s="42"/>
      <c r="H773" s="43"/>
      <c r="I773" s="42"/>
      <c r="J773" s="42"/>
      <c r="K773" s="42"/>
      <c r="L773" s="42"/>
      <c r="M773" s="42"/>
      <c r="N773" s="42"/>
      <c r="O773" s="42"/>
      <c r="P773" s="42"/>
      <c r="Q773" s="42"/>
      <c r="R773" s="42" t="s">
        <v>7584</v>
      </c>
      <c r="S773" s="42" t="s">
        <v>258</v>
      </c>
      <c r="T773" s="42" t="s">
        <v>4574</v>
      </c>
      <c r="U773" s="42" t="s">
        <v>7325</v>
      </c>
      <c r="V773" s="44" t="s">
        <v>3892</v>
      </c>
      <c r="W773" s="42" t="s">
        <v>3892</v>
      </c>
    </row>
    <row r="774" spans="1:23">
      <c r="A774" s="40">
        <v>264</v>
      </c>
      <c r="B774" s="41">
        <v>1751070156</v>
      </c>
      <c r="C774" s="42" t="s">
        <v>7591</v>
      </c>
      <c r="D774" s="42" t="s">
        <v>760</v>
      </c>
      <c r="E774" s="43" t="s">
        <v>8442</v>
      </c>
      <c r="F774" s="42"/>
      <c r="G774" s="42"/>
      <c r="H774" s="43"/>
      <c r="I774" s="42"/>
      <c r="J774" s="42"/>
      <c r="K774" s="42"/>
      <c r="L774" s="42"/>
      <c r="M774" s="42"/>
      <c r="N774" s="42"/>
      <c r="O774" s="42"/>
      <c r="P774" s="42"/>
      <c r="Q774" s="42"/>
      <c r="R774" s="42" t="s">
        <v>7584</v>
      </c>
      <c r="S774" s="42" t="s">
        <v>258</v>
      </c>
      <c r="T774" s="42" t="s">
        <v>4574</v>
      </c>
      <c r="U774" s="42" t="s">
        <v>7325</v>
      </c>
      <c r="V774" s="44" t="s">
        <v>3892</v>
      </c>
      <c r="W774" s="42" t="s">
        <v>3892</v>
      </c>
    </row>
    <row r="775" spans="1:23">
      <c r="A775" s="40">
        <v>265</v>
      </c>
      <c r="B775" s="41">
        <v>1551072827</v>
      </c>
      <c r="C775" s="42" t="s">
        <v>7592</v>
      </c>
      <c r="D775" s="42" t="s">
        <v>3892</v>
      </c>
      <c r="E775" s="43" t="s">
        <v>7273</v>
      </c>
      <c r="F775" s="42"/>
      <c r="G775" s="42"/>
      <c r="H775" s="43"/>
      <c r="I775" s="42"/>
      <c r="J775" s="42"/>
      <c r="K775" s="42"/>
      <c r="L775" s="42"/>
      <c r="M775" s="42"/>
      <c r="N775" s="42"/>
      <c r="O775" s="42"/>
      <c r="P775" s="42"/>
      <c r="Q775" s="42"/>
      <c r="R775" s="42" t="s">
        <v>7584</v>
      </c>
      <c r="S775" s="42" t="s">
        <v>258</v>
      </c>
      <c r="T775" s="42" t="s">
        <v>4574</v>
      </c>
      <c r="U775" s="42" t="s">
        <v>7325</v>
      </c>
      <c r="V775" s="44" t="s">
        <v>3892</v>
      </c>
      <c r="W775" s="42" t="s">
        <v>7345</v>
      </c>
    </row>
    <row r="776" spans="1:23">
      <c r="A776" s="40">
        <v>266</v>
      </c>
      <c r="B776" s="41">
        <v>1551073151</v>
      </c>
      <c r="C776" s="42" t="s">
        <v>7593</v>
      </c>
      <c r="D776" s="42" t="s">
        <v>3892</v>
      </c>
      <c r="E776" s="43" t="s">
        <v>7273</v>
      </c>
      <c r="F776" s="42"/>
      <c r="G776" s="42"/>
      <c r="H776" s="43"/>
      <c r="I776" s="42"/>
      <c r="J776" s="42"/>
      <c r="K776" s="42"/>
      <c r="L776" s="42"/>
      <c r="M776" s="42"/>
      <c r="N776" s="42"/>
      <c r="O776" s="42"/>
      <c r="P776" s="42"/>
      <c r="Q776" s="42"/>
      <c r="R776" s="42" t="s">
        <v>7584</v>
      </c>
      <c r="S776" s="42" t="s">
        <v>258</v>
      </c>
      <c r="T776" s="42" t="s">
        <v>4574</v>
      </c>
      <c r="U776" s="42" t="s">
        <v>7325</v>
      </c>
      <c r="V776" s="44" t="s">
        <v>3892</v>
      </c>
      <c r="W776" s="42" t="s">
        <v>7345</v>
      </c>
    </row>
    <row r="777" spans="1:23">
      <c r="A777" s="40">
        <v>267</v>
      </c>
      <c r="B777" s="41">
        <v>1651071828</v>
      </c>
      <c r="C777" s="42" t="s">
        <v>7594</v>
      </c>
      <c r="D777" s="42" t="s">
        <v>760</v>
      </c>
      <c r="E777" s="43" t="s">
        <v>8443</v>
      </c>
      <c r="F777" s="42"/>
      <c r="G777" s="42"/>
      <c r="H777" s="43"/>
      <c r="I777" s="42"/>
      <c r="J777" s="42"/>
      <c r="K777" s="42"/>
      <c r="L777" s="42"/>
      <c r="M777" s="42"/>
      <c r="N777" s="42"/>
      <c r="O777" s="42"/>
      <c r="P777" s="42"/>
      <c r="Q777" s="42"/>
      <c r="R777" s="42" t="s">
        <v>7584</v>
      </c>
      <c r="S777" s="42" t="s">
        <v>258</v>
      </c>
      <c r="T777" s="42" t="s">
        <v>4574</v>
      </c>
      <c r="U777" s="42" t="s">
        <v>7325</v>
      </c>
      <c r="V777" s="44" t="s">
        <v>3892</v>
      </c>
      <c r="W777" s="42" t="s">
        <v>3892</v>
      </c>
    </row>
    <row r="778" spans="1:23">
      <c r="A778" s="40">
        <v>268</v>
      </c>
      <c r="B778" s="41">
        <v>1251072365</v>
      </c>
      <c r="C778" s="42" t="s">
        <v>7595</v>
      </c>
      <c r="D778" s="42" t="s">
        <v>760</v>
      </c>
      <c r="E778" s="43" t="s">
        <v>8444</v>
      </c>
      <c r="F778" s="42"/>
      <c r="G778" s="42"/>
      <c r="H778" s="43"/>
      <c r="I778" s="42"/>
      <c r="J778" s="42"/>
      <c r="K778" s="42"/>
      <c r="L778" s="42"/>
      <c r="M778" s="42"/>
      <c r="N778" s="42"/>
      <c r="O778" s="42"/>
      <c r="P778" s="42"/>
      <c r="Q778" s="42"/>
      <c r="R778" s="42" t="s">
        <v>7584</v>
      </c>
      <c r="S778" s="42" t="s">
        <v>258</v>
      </c>
      <c r="T778" s="42" t="s">
        <v>4574</v>
      </c>
      <c r="U778" s="42" t="s">
        <v>7325</v>
      </c>
      <c r="V778" s="44" t="s">
        <v>3892</v>
      </c>
      <c r="W778" s="42" t="s">
        <v>3892</v>
      </c>
    </row>
    <row r="779" spans="1:23">
      <c r="A779" s="40">
        <v>269</v>
      </c>
      <c r="B779" s="41">
        <v>1651072956</v>
      </c>
      <c r="C779" s="42" t="s">
        <v>7596</v>
      </c>
      <c r="D779" s="42" t="s">
        <v>760</v>
      </c>
      <c r="E779" s="43" t="s">
        <v>8445</v>
      </c>
      <c r="F779" s="42"/>
      <c r="G779" s="42"/>
      <c r="H779" s="43"/>
      <c r="I779" s="42"/>
      <c r="J779" s="42"/>
      <c r="K779" s="42"/>
      <c r="L779" s="42"/>
      <c r="M779" s="42"/>
      <c r="N779" s="42"/>
      <c r="O779" s="42"/>
      <c r="P779" s="42"/>
      <c r="Q779" s="42"/>
      <c r="R779" s="42" t="s">
        <v>7584</v>
      </c>
      <c r="S779" s="42" t="s">
        <v>258</v>
      </c>
      <c r="T779" s="42" t="s">
        <v>4574</v>
      </c>
      <c r="U779" s="42" t="s">
        <v>7325</v>
      </c>
      <c r="V779" s="44" t="s">
        <v>3892</v>
      </c>
      <c r="W779" s="42" t="s">
        <v>3892</v>
      </c>
    </row>
    <row r="780" spans="1:23">
      <c r="A780" s="40">
        <v>270</v>
      </c>
      <c r="B780" s="41">
        <v>1551073438</v>
      </c>
      <c r="C780" s="42" t="s">
        <v>7597</v>
      </c>
      <c r="D780" s="42" t="s">
        <v>3892</v>
      </c>
      <c r="E780" s="43" t="s">
        <v>7273</v>
      </c>
      <c r="F780" s="42"/>
      <c r="G780" s="42"/>
      <c r="H780" s="43"/>
      <c r="I780" s="42"/>
      <c r="J780" s="42"/>
      <c r="K780" s="42"/>
      <c r="L780" s="42"/>
      <c r="M780" s="42"/>
      <c r="N780" s="42"/>
      <c r="O780" s="42"/>
      <c r="P780" s="42"/>
      <c r="Q780" s="42"/>
      <c r="R780" s="42" t="s">
        <v>7584</v>
      </c>
      <c r="S780" s="42" t="s">
        <v>258</v>
      </c>
      <c r="T780" s="42" t="s">
        <v>4574</v>
      </c>
      <c r="U780" s="42" t="s">
        <v>7325</v>
      </c>
      <c r="V780" s="44" t="s">
        <v>3892</v>
      </c>
      <c r="W780" s="42" t="s">
        <v>7345</v>
      </c>
    </row>
    <row r="781" spans="1:23">
      <c r="A781" s="40">
        <v>271</v>
      </c>
      <c r="B781" s="41">
        <v>1651071770</v>
      </c>
      <c r="C781" s="42" t="s">
        <v>7598</v>
      </c>
      <c r="D781" s="42" t="s">
        <v>760</v>
      </c>
      <c r="E781" s="43" t="s">
        <v>8446</v>
      </c>
      <c r="F781" s="42"/>
      <c r="G781" s="42"/>
      <c r="H781" s="43"/>
      <c r="I781" s="42"/>
      <c r="J781" s="42"/>
      <c r="K781" s="42"/>
      <c r="L781" s="42"/>
      <c r="M781" s="42"/>
      <c r="N781" s="42"/>
      <c r="O781" s="42"/>
      <c r="P781" s="42"/>
      <c r="Q781" s="42"/>
      <c r="R781" s="42" t="s">
        <v>7584</v>
      </c>
      <c r="S781" s="42" t="s">
        <v>258</v>
      </c>
      <c r="T781" s="42" t="s">
        <v>4574</v>
      </c>
      <c r="U781" s="42" t="s">
        <v>7325</v>
      </c>
      <c r="V781" s="44" t="s">
        <v>3892</v>
      </c>
      <c r="W781" s="42" t="s">
        <v>3892</v>
      </c>
    </row>
    <row r="782" spans="1:23">
      <c r="A782" s="40">
        <v>272</v>
      </c>
      <c r="B782" s="41">
        <v>1751070546</v>
      </c>
      <c r="C782" s="42" t="s">
        <v>7599</v>
      </c>
      <c r="D782" s="42" t="s">
        <v>760</v>
      </c>
      <c r="E782" s="43" t="s">
        <v>8421</v>
      </c>
      <c r="F782" s="42"/>
      <c r="G782" s="42"/>
      <c r="H782" s="43"/>
      <c r="I782" s="42"/>
      <c r="J782" s="42"/>
      <c r="K782" s="42"/>
      <c r="L782" s="42"/>
      <c r="M782" s="42"/>
      <c r="N782" s="42"/>
      <c r="O782" s="42"/>
      <c r="P782" s="42"/>
      <c r="Q782" s="42"/>
      <c r="R782" s="42" t="s">
        <v>7584</v>
      </c>
      <c r="S782" s="42" t="s">
        <v>258</v>
      </c>
      <c r="T782" s="42" t="s">
        <v>4574</v>
      </c>
      <c r="U782" s="42" t="s">
        <v>7325</v>
      </c>
      <c r="V782" s="44" t="s">
        <v>3892</v>
      </c>
      <c r="W782" s="42" t="s">
        <v>3892</v>
      </c>
    </row>
    <row r="783" spans="1:23">
      <c r="A783" s="40">
        <v>273</v>
      </c>
      <c r="B783" s="41">
        <v>1451072926</v>
      </c>
      <c r="C783" s="42" t="s">
        <v>7600</v>
      </c>
      <c r="D783" s="42" t="s">
        <v>760</v>
      </c>
      <c r="E783" s="43" t="s">
        <v>8447</v>
      </c>
      <c r="F783" s="42"/>
      <c r="G783" s="42"/>
      <c r="H783" s="43"/>
      <c r="I783" s="42"/>
      <c r="J783" s="42"/>
      <c r="K783" s="42"/>
      <c r="L783" s="42"/>
      <c r="M783" s="42"/>
      <c r="N783" s="42"/>
      <c r="O783" s="42"/>
      <c r="P783" s="42"/>
      <c r="Q783" s="42"/>
      <c r="R783" s="42" t="s">
        <v>7584</v>
      </c>
      <c r="S783" s="42" t="s">
        <v>258</v>
      </c>
      <c r="T783" s="42" t="s">
        <v>4574</v>
      </c>
      <c r="U783" s="42" t="s">
        <v>7325</v>
      </c>
      <c r="V783" s="44" t="s">
        <v>3892</v>
      </c>
      <c r="W783" s="42" t="s">
        <v>3892</v>
      </c>
    </row>
    <row r="784" spans="1:23">
      <c r="A784" s="40">
        <v>274</v>
      </c>
      <c r="B784" s="41">
        <v>1451071810</v>
      </c>
      <c r="C784" s="42" t="s">
        <v>7601</v>
      </c>
      <c r="D784" s="42" t="s">
        <v>765</v>
      </c>
      <c r="E784" s="43" t="s">
        <v>8448</v>
      </c>
      <c r="F784" s="42"/>
      <c r="G784" s="42"/>
      <c r="H784" s="43"/>
      <c r="I784" s="42"/>
      <c r="J784" s="42"/>
      <c r="K784" s="42"/>
      <c r="L784" s="42"/>
      <c r="M784" s="42"/>
      <c r="N784" s="42"/>
      <c r="O784" s="42"/>
      <c r="P784" s="42"/>
      <c r="Q784" s="42"/>
      <c r="R784" s="42" t="s">
        <v>7584</v>
      </c>
      <c r="S784" s="42" t="s">
        <v>258</v>
      </c>
      <c r="T784" s="42" t="s">
        <v>4574</v>
      </c>
      <c r="U784" s="42" t="s">
        <v>7325</v>
      </c>
      <c r="V784" s="44" t="s">
        <v>3892</v>
      </c>
      <c r="W784" s="42" t="s">
        <v>3892</v>
      </c>
    </row>
    <row r="785" spans="1:23">
      <c r="A785" s="40">
        <v>275</v>
      </c>
      <c r="B785" s="41">
        <v>1651072890</v>
      </c>
      <c r="C785" s="42" t="s">
        <v>7602</v>
      </c>
      <c r="D785" s="42" t="s">
        <v>760</v>
      </c>
      <c r="E785" s="43" t="s">
        <v>8434</v>
      </c>
      <c r="F785" s="42"/>
      <c r="G785" s="42"/>
      <c r="H785" s="43"/>
      <c r="I785" s="42"/>
      <c r="J785" s="42"/>
      <c r="K785" s="42"/>
      <c r="L785" s="42"/>
      <c r="M785" s="42"/>
      <c r="N785" s="42"/>
      <c r="O785" s="42"/>
      <c r="P785" s="42"/>
      <c r="Q785" s="42"/>
      <c r="R785" s="42" t="s">
        <v>7584</v>
      </c>
      <c r="S785" s="42" t="s">
        <v>258</v>
      </c>
      <c r="T785" s="42" t="s">
        <v>4574</v>
      </c>
      <c r="U785" s="42" t="s">
        <v>7325</v>
      </c>
      <c r="V785" s="44" t="s">
        <v>3892</v>
      </c>
      <c r="W785" s="42" t="s">
        <v>3892</v>
      </c>
    </row>
    <row r="786" spans="1:23">
      <c r="A786" s="40">
        <v>276</v>
      </c>
      <c r="B786" s="41">
        <v>1551073182</v>
      </c>
      <c r="C786" s="42" t="s">
        <v>7603</v>
      </c>
      <c r="D786" s="42" t="s">
        <v>760</v>
      </c>
      <c r="E786" s="43" t="s">
        <v>8436</v>
      </c>
      <c r="F786" s="42"/>
      <c r="G786" s="42"/>
      <c r="H786" s="43"/>
      <c r="I786" s="42"/>
      <c r="J786" s="42"/>
      <c r="K786" s="42"/>
      <c r="L786" s="42"/>
      <c r="M786" s="42"/>
      <c r="N786" s="42"/>
      <c r="O786" s="42"/>
      <c r="P786" s="42"/>
      <c r="Q786" s="42"/>
      <c r="R786" s="42" t="s">
        <v>7584</v>
      </c>
      <c r="S786" s="42" t="s">
        <v>258</v>
      </c>
      <c r="T786" s="42" t="s">
        <v>4574</v>
      </c>
      <c r="U786" s="42" t="s">
        <v>7325</v>
      </c>
      <c r="V786" s="44" t="s">
        <v>3892</v>
      </c>
      <c r="W786" s="42" t="s">
        <v>3892</v>
      </c>
    </row>
    <row r="787" spans="1:23">
      <c r="A787" s="40">
        <v>277</v>
      </c>
      <c r="B787" s="41">
        <v>1551073246</v>
      </c>
      <c r="C787" s="42" t="s">
        <v>7604</v>
      </c>
      <c r="D787" s="42" t="s">
        <v>3892</v>
      </c>
      <c r="E787" s="43" t="s">
        <v>7273</v>
      </c>
      <c r="F787" s="42"/>
      <c r="G787" s="42"/>
      <c r="H787" s="43"/>
      <c r="I787" s="42"/>
      <c r="J787" s="42"/>
      <c r="K787" s="42"/>
      <c r="L787" s="42"/>
      <c r="M787" s="42"/>
      <c r="N787" s="42"/>
      <c r="O787" s="42"/>
      <c r="P787" s="42"/>
      <c r="Q787" s="42"/>
      <c r="R787" s="42" t="s">
        <v>7584</v>
      </c>
      <c r="S787" s="42" t="s">
        <v>258</v>
      </c>
      <c r="T787" s="42" t="s">
        <v>4574</v>
      </c>
      <c r="U787" s="42" t="s">
        <v>7325</v>
      </c>
      <c r="V787" s="44" t="s">
        <v>3892</v>
      </c>
      <c r="W787" s="42" t="s">
        <v>7345</v>
      </c>
    </row>
    <row r="788" spans="1:23">
      <c r="A788" s="40">
        <v>278</v>
      </c>
      <c r="B788" s="41">
        <v>1551073333</v>
      </c>
      <c r="C788" s="42" t="s">
        <v>7605</v>
      </c>
      <c r="D788" s="42" t="s">
        <v>760</v>
      </c>
      <c r="E788" s="43" t="s">
        <v>8449</v>
      </c>
      <c r="F788" s="42"/>
      <c r="G788" s="42"/>
      <c r="H788" s="43"/>
      <c r="I788" s="42"/>
      <c r="J788" s="42"/>
      <c r="K788" s="42"/>
      <c r="L788" s="42"/>
      <c r="M788" s="42"/>
      <c r="N788" s="42"/>
      <c r="O788" s="42"/>
      <c r="P788" s="42"/>
      <c r="Q788" s="42"/>
      <c r="R788" s="42" t="s">
        <v>7584</v>
      </c>
      <c r="S788" s="42" t="s">
        <v>258</v>
      </c>
      <c r="T788" s="42" t="s">
        <v>4574</v>
      </c>
      <c r="U788" s="42" t="s">
        <v>7325</v>
      </c>
      <c r="V788" s="44" t="s">
        <v>3892</v>
      </c>
      <c r="W788" s="42" t="s">
        <v>3892</v>
      </c>
    </row>
    <row r="789" spans="1:23">
      <c r="A789" s="40">
        <v>279</v>
      </c>
      <c r="B789" s="41">
        <v>1551073292</v>
      </c>
      <c r="C789" s="42" t="s">
        <v>7606</v>
      </c>
      <c r="D789" s="42" t="s">
        <v>760</v>
      </c>
      <c r="E789" s="43" t="s">
        <v>8450</v>
      </c>
      <c r="F789" s="42"/>
      <c r="G789" s="42"/>
      <c r="H789" s="43"/>
      <c r="I789" s="42"/>
      <c r="J789" s="42"/>
      <c r="K789" s="42"/>
      <c r="L789" s="42"/>
      <c r="M789" s="42"/>
      <c r="N789" s="42"/>
      <c r="O789" s="42"/>
      <c r="P789" s="42"/>
      <c r="Q789" s="42"/>
      <c r="R789" s="42" t="s">
        <v>7584</v>
      </c>
      <c r="S789" s="42" t="s">
        <v>258</v>
      </c>
      <c r="T789" s="42" t="s">
        <v>4574</v>
      </c>
      <c r="U789" s="42" t="s">
        <v>7325</v>
      </c>
      <c r="V789" s="44" t="s">
        <v>3892</v>
      </c>
      <c r="W789" s="42" t="s">
        <v>3892</v>
      </c>
    </row>
    <row r="790" spans="1:23">
      <c r="A790" s="40">
        <v>280</v>
      </c>
      <c r="B790" s="41">
        <v>1651071840</v>
      </c>
      <c r="C790" s="42" t="s">
        <v>7607</v>
      </c>
      <c r="D790" s="42" t="s">
        <v>760</v>
      </c>
      <c r="E790" s="43" t="s">
        <v>8451</v>
      </c>
      <c r="F790" s="42"/>
      <c r="G790" s="42"/>
      <c r="H790" s="43"/>
      <c r="I790" s="42"/>
      <c r="J790" s="42"/>
      <c r="K790" s="42"/>
      <c r="L790" s="42"/>
      <c r="M790" s="42"/>
      <c r="N790" s="42"/>
      <c r="O790" s="42"/>
      <c r="P790" s="42"/>
      <c r="Q790" s="42"/>
      <c r="R790" s="42" t="s">
        <v>7584</v>
      </c>
      <c r="S790" s="42" t="s">
        <v>258</v>
      </c>
      <c r="T790" s="42" t="s">
        <v>4574</v>
      </c>
      <c r="U790" s="42" t="s">
        <v>7325</v>
      </c>
      <c r="V790" s="44" t="s">
        <v>3892</v>
      </c>
      <c r="W790" s="42" t="s">
        <v>3892</v>
      </c>
    </row>
    <row r="791" spans="1:23">
      <c r="A791" s="40">
        <v>281</v>
      </c>
      <c r="B791" s="41">
        <v>1651071856</v>
      </c>
      <c r="C791" s="42" t="s">
        <v>7608</v>
      </c>
      <c r="D791" s="42" t="s">
        <v>760</v>
      </c>
      <c r="E791" s="43" t="s">
        <v>8452</v>
      </c>
      <c r="F791" s="42"/>
      <c r="G791" s="42"/>
      <c r="H791" s="43"/>
      <c r="I791" s="42"/>
      <c r="J791" s="42"/>
      <c r="K791" s="42"/>
      <c r="L791" s="42"/>
      <c r="M791" s="42"/>
      <c r="N791" s="42"/>
      <c r="O791" s="42"/>
      <c r="P791" s="42"/>
      <c r="Q791" s="42"/>
      <c r="R791" s="42" t="s">
        <v>7584</v>
      </c>
      <c r="S791" s="42" t="s">
        <v>258</v>
      </c>
      <c r="T791" s="42" t="s">
        <v>4574</v>
      </c>
      <c r="U791" s="42" t="s">
        <v>7325</v>
      </c>
      <c r="V791" s="44" t="s">
        <v>3892</v>
      </c>
      <c r="W791" s="42" t="s">
        <v>3892</v>
      </c>
    </row>
    <row r="792" spans="1:23">
      <c r="A792" s="40">
        <v>282</v>
      </c>
      <c r="B792" s="41">
        <v>1351073053</v>
      </c>
      <c r="C792" s="42" t="s">
        <v>7609</v>
      </c>
      <c r="D792" s="42" t="s">
        <v>765</v>
      </c>
      <c r="E792" s="43" t="s">
        <v>8453</v>
      </c>
      <c r="F792" s="42"/>
      <c r="G792" s="42"/>
      <c r="H792" s="43"/>
      <c r="I792" s="42"/>
      <c r="J792" s="42"/>
      <c r="K792" s="42"/>
      <c r="L792" s="42"/>
      <c r="M792" s="42"/>
      <c r="N792" s="42"/>
      <c r="O792" s="42"/>
      <c r="P792" s="42"/>
      <c r="Q792" s="42"/>
      <c r="R792" s="42" t="s">
        <v>7584</v>
      </c>
      <c r="S792" s="42" t="s">
        <v>258</v>
      </c>
      <c r="T792" s="42" t="s">
        <v>4574</v>
      </c>
      <c r="U792" s="42" t="s">
        <v>7325</v>
      </c>
      <c r="V792" s="44" t="s">
        <v>3892</v>
      </c>
      <c r="W792" s="42" t="s">
        <v>3892</v>
      </c>
    </row>
    <row r="793" spans="1:23">
      <c r="A793" s="40">
        <v>283</v>
      </c>
      <c r="B793" s="41">
        <v>1551073222</v>
      </c>
      <c r="C793" s="42" t="s">
        <v>7610</v>
      </c>
      <c r="D793" s="42" t="s">
        <v>765</v>
      </c>
      <c r="E793" s="43" t="s">
        <v>8454</v>
      </c>
      <c r="F793" s="42"/>
      <c r="G793" s="42"/>
      <c r="H793" s="43"/>
      <c r="I793" s="42"/>
      <c r="J793" s="42"/>
      <c r="K793" s="42"/>
      <c r="L793" s="42"/>
      <c r="M793" s="42"/>
      <c r="N793" s="42"/>
      <c r="O793" s="42"/>
      <c r="P793" s="42"/>
      <c r="Q793" s="42"/>
      <c r="R793" s="42" t="s">
        <v>7584</v>
      </c>
      <c r="S793" s="42" t="s">
        <v>258</v>
      </c>
      <c r="T793" s="42" t="s">
        <v>4574</v>
      </c>
      <c r="U793" s="42" t="s">
        <v>7325</v>
      </c>
      <c r="V793" s="44" t="s">
        <v>3892</v>
      </c>
      <c r="W793" s="42" t="s">
        <v>3892</v>
      </c>
    </row>
    <row r="794" spans="1:23">
      <c r="A794" s="40">
        <v>284</v>
      </c>
      <c r="B794" s="41">
        <v>1551072982</v>
      </c>
      <c r="C794" s="42" t="s">
        <v>7611</v>
      </c>
      <c r="D794" s="42" t="s">
        <v>760</v>
      </c>
      <c r="E794" s="43" t="s">
        <v>8455</v>
      </c>
      <c r="F794" s="42"/>
      <c r="G794" s="42"/>
      <c r="H794" s="43"/>
      <c r="I794" s="42"/>
      <c r="J794" s="42"/>
      <c r="K794" s="42"/>
      <c r="L794" s="42"/>
      <c r="M794" s="42"/>
      <c r="N794" s="42"/>
      <c r="O794" s="42"/>
      <c r="P794" s="42"/>
      <c r="Q794" s="42"/>
      <c r="R794" s="42" t="s">
        <v>7584</v>
      </c>
      <c r="S794" s="42" t="s">
        <v>258</v>
      </c>
      <c r="T794" s="42" t="s">
        <v>4574</v>
      </c>
      <c r="U794" s="42" t="s">
        <v>7325</v>
      </c>
      <c r="V794" s="44" t="s">
        <v>3892</v>
      </c>
      <c r="W794" s="42" t="s">
        <v>3892</v>
      </c>
    </row>
    <row r="795" spans="1:23">
      <c r="A795" s="40">
        <v>285</v>
      </c>
      <c r="B795" s="41">
        <v>1651071556</v>
      </c>
      <c r="C795" s="42" t="s">
        <v>7612</v>
      </c>
      <c r="D795" s="42" t="s">
        <v>760</v>
      </c>
      <c r="E795" s="43" t="s">
        <v>8456</v>
      </c>
      <c r="F795" s="42"/>
      <c r="G795" s="42"/>
      <c r="H795" s="43"/>
      <c r="I795" s="42"/>
      <c r="J795" s="42"/>
      <c r="K795" s="42"/>
      <c r="L795" s="42"/>
      <c r="M795" s="42"/>
      <c r="N795" s="42"/>
      <c r="O795" s="42"/>
      <c r="P795" s="42"/>
      <c r="Q795" s="42"/>
      <c r="R795" s="42" t="s">
        <v>7584</v>
      </c>
      <c r="S795" s="42" t="s">
        <v>258</v>
      </c>
      <c r="T795" s="42" t="s">
        <v>4574</v>
      </c>
      <c r="U795" s="42" t="s">
        <v>7325</v>
      </c>
      <c r="V795" s="44" t="s">
        <v>3892</v>
      </c>
      <c r="W795" s="42" t="s">
        <v>3892</v>
      </c>
    </row>
    <row r="796" spans="1:23">
      <c r="A796" s="40">
        <v>286</v>
      </c>
      <c r="B796" s="41">
        <v>1651072865</v>
      </c>
      <c r="C796" s="42" t="s">
        <v>7613</v>
      </c>
      <c r="D796" s="42" t="s">
        <v>760</v>
      </c>
      <c r="E796" s="43" t="s">
        <v>8457</v>
      </c>
      <c r="F796" s="42"/>
      <c r="G796" s="42"/>
      <c r="H796" s="43"/>
      <c r="I796" s="42"/>
      <c r="J796" s="42"/>
      <c r="K796" s="42"/>
      <c r="L796" s="42"/>
      <c r="M796" s="42"/>
      <c r="N796" s="42"/>
      <c r="O796" s="42"/>
      <c r="P796" s="42"/>
      <c r="Q796" s="42"/>
      <c r="R796" s="42" t="s">
        <v>7584</v>
      </c>
      <c r="S796" s="42" t="s">
        <v>258</v>
      </c>
      <c r="T796" s="42" t="s">
        <v>4574</v>
      </c>
      <c r="U796" s="42" t="s">
        <v>7325</v>
      </c>
      <c r="V796" s="44" t="s">
        <v>3892</v>
      </c>
      <c r="W796" s="42" t="s">
        <v>3892</v>
      </c>
    </row>
    <row r="797" spans="1:23">
      <c r="A797" s="40">
        <v>287</v>
      </c>
      <c r="B797" s="41">
        <v>1651072963</v>
      </c>
      <c r="C797" s="42" t="s">
        <v>7614</v>
      </c>
      <c r="D797" s="42" t="s">
        <v>765</v>
      </c>
      <c r="E797" s="43" t="s">
        <v>8425</v>
      </c>
      <c r="F797" s="42"/>
      <c r="G797" s="42"/>
      <c r="H797" s="43"/>
      <c r="I797" s="42"/>
      <c r="J797" s="42"/>
      <c r="K797" s="42"/>
      <c r="L797" s="42"/>
      <c r="M797" s="42"/>
      <c r="N797" s="42"/>
      <c r="O797" s="42"/>
      <c r="P797" s="42"/>
      <c r="Q797" s="42"/>
      <c r="R797" s="42" t="s">
        <v>7584</v>
      </c>
      <c r="S797" s="42" t="s">
        <v>258</v>
      </c>
      <c r="T797" s="42" t="s">
        <v>4574</v>
      </c>
      <c r="U797" s="42" t="s">
        <v>7325</v>
      </c>
      <c r="V797" s="44" t="s">
        <v>3892</v>
      </c>
      <c r="W797" s="42" t="s">
        <v>3892</v>
      </c>
    </row>
    <row r="798" spans="1:23">
      <c r="A798" s="40">
        <v>288</v>
      </c>
      <c r="B798" s="41">
        <v>1651072096</v>
      </c>
      <c r="C798" s="42" t="s">
        <v>7615</v>
      </c>
      <c r="D798" s="42" t="s">
        <v>765</v>
      </c>
      <c r="E798" s="43" t="s">
        <v>8249</v>
      </c>
      <c r="F798" s="42"/>
      <c r="G798" s="42"/>
      <c r="H798" s="43"/>
      <c r="I798" s="42"/>
      <c r="J798" s="42"/>
      <c r="K798" s="42"/>
      <c r="L798" s="42"/>
      <c r="M798" s="42"/>
      <c r="N798" s="42"/>
      <c r="O798" s="42"/>
      <c r="P798" s="42"/>
      <c r="Q798" s="42"/>
      <c r="R798" s="42" t="s">
        <v>7584</v>
      </c>
      <c r="S798" s="42" t="s">
        <v>258</v>
      </c>
      <c r="T798" s="42" t="s">
        <v>4574</v>
      </c>
      <c r="U798" s="42" t="s">
        <v>7325</v>
      </c>
      <c r="V798" s="44" t="s">
        <v>3892</v>
      </c>
      <c r="W798" s="42" t="s">
        <v>3892</v>
      </c>
    </row>
    <row r="799" spans="1:23">
      <c r="A799" s="40">
        <v>289</v>
      </c>
      <c r="B799" s="41">
        <v>1651072452</v>
      </c>
      <c r="C799" s="42" t="s">
        <v>7616</v>
      </c>
      <c r="D799" s="42" t="s">
        <v>765</v>
      </c>
      <c r="E799" s="43" t="s">
        <v>8458</v>
      </c>
      <c r="F799" s="42"/>
      <c r="G799" s="42"/>
      <c r="H799" s="43"/>
      <c r="I799" s="42"/>
      <c r="J799" s="42"/>
      <c r="K799" s="42"/>
      <c r="L799" s="42"/>
      <c r="M799" s="42"/>
      <c r="N799" s="42"/>
      <c r="O799" s="42"/>
      <c r="P799" s="42"/>
      <c r="Q799" s="42"/>
      <c r="R799" s="42" t="s">
        <v>7584</v>
      </c>
      <c r="S799" s="42" t="s">
        <v>258</v>
      </c>
      <c r="T799" s="42" t="s">
        <v>4574</v>
      </c>
      <c r="U799" s="42" t="s">
        <v>7325</v>
      </c>
      <c r="V799" s="44" t="s">
        <v>3892</v>
      </c>
      <c r="W799" s="42" t="s">
        <v>3892</v>
      </c>
    </row>
    <row r="800" spans="1:23">
      <c r="A800" s="40">
        <v>290</v>
      </c>
      <c r="B800" s="41">
        <v>1651071377</v>
      </c>
      <c r="C800" s="42" t="s">
        <v>7617</v>
      </c>
      <c r="D800" s="42" t="s">
        <v>765</v>
      </c>
      <c r="E800" s="43" t="s">
        <v>8459</v>
      </c>
      <c r="F800" s="42"/>
      <c r="G800" s="42"/>
      <c r="H800" s="43"/>
      <c r="I800" s="42"/>
      <c r="J800" s="42"/>
      <c r="K800" s="42"/>
      <c r="L800" s="42"/>
      <c r="M800" s="42"/>
      <c r="N800" s="42"/>
      <c r="O800" s="42"/>
      <c r="P800" s="42"/>
      <c r="Q800" s="42"/>
      <c r="R800" s="42" t="s">
        <v>7584</v>
      </c>
      <c r="S800" s="42" t="s">
        <v>258</v>
      </c>
      <c r="T800" s="42" t="s">
        <v>4574</v>
      </c>
      <c r="U800" s="42" t="s">
        <v>7325</v>
      </c>
      <c r="V800" s="44" t="s">
        <v>3892</v>
      </c>
      <c r="W800" s="42" t="s">
        <v>3892</v>
      </c>
    </row>
    <row r="801" spans="1:23">
      <c r="A801" s="40">
        <v>291</v>
      </c>
      <c r="B801" s="41">
        <v>1851073267</v>
      </c>
      <c r="C801" s="42" t="s">
        <v>7618</v>
      </c>
      <c r="D801" s="42" t="s">
        <v>765</v>
      </c>
      <c r="E801" s="43" t="s">
        <v>8460</v>
      </c>
      <c r="F801" s="42"/>
      <c r="G801" s="42"/>
      <c r="H801" s="43"/>
      <c r="I801" s="42"/>
      <c r="J801" s="42"/>
      <c r="K801" s="42"/>
      <c r="L801" s="42"/>
      <c r="M801" s="42"/>
      <c r="N801" s="42"/>
      <c r="O801" s="42"/>
      <c r="P801" s="42"/>
      <c r="Q801" s="42"/>
      <c r="R801" s="42" t="s">
        <v>7584</v>
      </c>
      <c r="S801" s="42" t="s">
        <v>258</v>
      </c>
      <c r="T801" s="42" t="s">
        <v>4574</v>
      </c>
      <c r="U801" s="42" t="s">
        <v>7325</v>
      </c>
      <c r="V801" s="44" t="s">
        <v>3892</v>
      </c>
      <c r="W801" s="42" t="s">
        <v>3892</v>
      </c>
    </row>
    <row r="802" spans="1:23">
      <c r="A802" s="40">
        <v>292</v>
      </c>
      <c r="B802" s="41">
        <v>1651071707</v>
      </c>
      <c r="C802" s="42" t="s">
        <v>7619</v>
      </c>
      <c r="D802" s="42" t="s">
        <v>760</v>
      </c>
      <c r="E802" s="43" t="s">
        <v>8461</v>
      </c>
      <c r="F802" s="42"/>
      <c r="G802" s="42"/>
      <c r="H802" s="43"/>
      <c r="I802" s="42"/>
      <c r="J802" s="42"/>
      <c r="K802" s="42"/>
      <c r="L802" s="42"/>
      <c r="M802" s="42"/>
      <c r="N802" s="42"/>
      <c r="O802" s="42"/>
      <c r="P802" s="42"/>
      <c r="Q802" s="42"/>
      <c r="R802" s="42" t="s">
        <v>7584</v>
      </c>
      <c r="S802" s="42" t="s">
        <v>258</v>
      </c>
      <c r="T802" s="42" t="s">
        <v>4574</v>
      </c>
      <c r="U802" s="42" t="s">
        <v>7325</v>
      </c>
      <c r="V802" s="44" t="s">
        <v>3892</v>
      </c>
      <c r="W802" s="42" t="s">
        <v>3892</v>
      </c>
    </row>
    <row r="803" spans="1:23">
      <c r="A803" s="40">
        <v>293</v>
      </c>
      <c r="B803" s="41">
        <v>1651072933</v>
      </c>
      <c r="C803" s="42" t="s">
        <v>7620</v>
      </c>
      <c r="D803" s="42" t="s">
        <v>3892</v>
      </c>
      <c r="E803" s="43" t="s">
        <v>7273</v>
      </c>
      <c r="F803" s="42"/>
      <c r="G803" s="42"/>
      <c r="H803" s="43"/>
      <c r="I803" s="42"/>
      <c r="J803" s="42"/>
      <c r="K803" s="42"/>
      <c r="L803" s="42"/>
      <c r="M803" s="42"/>
      <c r="N803" s="42"/>
      <c r="O803" s="42"/>
      <c r="P803" s="42"/>
      <c r="Q803" s="42"/>
      <c r="R803" s="42" t="s">
        <v>7584</v>
      </c>
      <c r="S803" s="42" t="s">
        <v>258</v>
      </c>
      <c r="T803" s="42" t="s">
        <v>4574</v>
      </c>
      <c r="U803" s="42" t="s">
        <v>7325</v>
      </c>
      <c r="V803" s="44" t="s">
        <v>3892</v>
      </c>
      <c r="W803" s="42" t="s">
        <v>7345</v>
      </c>
    </row>
    <row r="804" spans="1:23">
      <c r="A804" s="40">
        <v>294</v>
      </c>
      <c r="B804" s="41">
        <v>1651072534</v>
      </c>
      <c r="C804" s="42" t="s">
        <v>7621</v>
      </c>
      <c r="D804" s="42" t="s">
        <v>765</v>
      </c>
      <c r="E804" s="43" t="s">
        <v>8462</v>
      </c>
      <c r="F804" s="42"/>
      <c r="G804" s="42"/>
      <c r="H804" s="43"/>
      <c r="I804" s="42"/>
      <c r="J804" s="42"/>
      <c r="K804" s="42"/>
      <c r="L804" s="42"/>
      <c r="M804" s="42"/>
      <c r="N804" s="42"/>
      <c r="O804" s="42"/>
      <c r="P804" s="42"/>
      <c r="Q804" s="42"/>
      <c r="R804" s="42" t="s">
        <v>7584</v>
      </c>
      <c r="S804" s="42" t="s">
        <v>258</v>
      </c>
      <c r="T804" s="42" t="s">
        <v>4574</v>
      </c>
      <c r="U804" s="42" t="s">
        <v>7325</v>
      </c>
      <c r="V804" s="44" t="s">
        <v>3892</v>
      </c>
      <c r="W804" s="42" t="s">
        <v>3892</v>
      </c>
    </row>
    <row r="805" spans="1:23">
      <c r="A805" s="40">
        <v>295</v>
      </c>
      <c r="B805" s="41">
        <v>1651072912</v>
      </c>
      <c r="C805" s="42" t="s">
        <v>7622</v>
      </c>
      <c r="D805" s="42" t="s">
        <v>765</v>
      </c>
      <c r="E805" s="43" t="s">
        <v>8463</v>
      </c>
      <c r="F805" s="42"/>
      <c r="G805" s="42"/>
      <c r="H805" s="43"/>
      <c r="I805" s="42"/>
      <c r="J805" s="42"/>
      <c r="K805" s="42"/>
      <c r="L805" s="42"/>
      <c r="M805" s="42"/>
      <c r="N805" s="42"/>
      <c r="O805" s="42"/>
      <c r="P805" s="42"/>
      <c r="Q805" s="42"/>
      <c r="R805" s="42" t="s">
        <v>7584</v>
      </c>
      <c r="S805" s="42" t="s">
        <v>258</v>
      </c>
      <c r="T805" s="42" t="s">
        <v>4574</v>
      </c>
      <c r="U805" s="42" t="s">
        <v>7325</v>
      </c>
      <c r="V805" s="44" t="s">
        <v>3892</v>
      </c>
      <c r="W805" s="42" t="s">
        <v>3892</v>
      </c>
    </row>
    <row r="806" spans="1:23">
      <c r="A806" s="40">
        <v>296</v>
      </c>
      <c r="B806" s="41">
        <v>1651071267</v>
      </c>
      <c r="C806" s="42" t="s">
        <v>7623</v>
      </c>
      <c r="D806" s="42" t="s">
        <v>760</v>
      </c>
      <c r="E806" s="43" t="s">
        <v>8464</v>
      </c>
      <c r="F806" s="42"/>
      <c r="G806" s="42"/>
      <c r="H806" s="43"/>
      <c r="I806" s="42"/>
      <c r="J806" s="42"/>
      <c r="K806" s="42"/>
      <c r="L806" s="42"/>
      <c r="M806" s="42"/>
      <c r="N806" s="42"/>
      <c r="O806" s="42"/>
      <c r="P806" s="42"/>
      <c r="Q806" s="42"/>
      <c r="R806" s="42" t="s">
        <v>7584</v>
      </c>
      <c r="S806" s="42" t="s">
        <v>258</v>
      </c>
      <c r="T806" s="42" t="s">
        <v>4574</v>
      </c>
      <c r="U806" s="42" t="s">
        <v>7325</v>
      </c>
      <c r="V806" s="44" t="s">
        <v>3892</v>
      </c>
      <c r="W806" s="42" t="s">
        <v>3892</v>
      </c>
    </row>
    <row r="807" spans="1:23">
      <c r="A807" s="40">
        <v>297</v>
      </c>
      <c r="B807" s="41">
        <v>1551073332</v>
      </c>
      <c r="C807" s="42" t="s">
        <v>7624</v>
      </c>
      <c r="D807" s="42" t="s">
        <v>765</v>
      </c>
      <c r="E807" s="43" t="s">
        <v>8363</v>
      </c>
      <c r="F807" s="42"/>
      <c r="G807" s="42"/>
      <c r="H807" s="43"/>
      <c r="I807" s="42"/>
      <c r="J807" s="42"/>
      <c r="K807" s="42"/>
      <c r="L807" s="42"/>
      <c r="M807" s="42"/>
      <c r="N807" s="42"/>
      <c r="O807" s="42"/>
      <c r="P807" s="42"/>
      <c r="Q807" s="42"/>
      <c r="R807" s="42" t="s">
        <v>7584</v>
      </c>
      <c r="S807" s="42" t="s">
        <v>258</v>
      </c>
      <c r="T807" s="42" t="s">
        <v>4574</v>
      </c>
      <c r="U807" s="42" t="s">
        <v>7325</v>
      </c>
      <c r="V807" s="44" t="s">
        <v>3892</v>
      </c>
      <c r="W807" s="42" t="s">
        <v>3892</v>
      </c>
    </row>
    <row r="808" spans="1:23">
      <c r="A808" s="40">
        <v>298</v>
      </c>
      <c r="B808" s="41">
        <v>1851073073</v>
      </c>
      <c r="C808" s="42" t="s">
        <v>7625</v>
      </c>
      <c r="D808" s="42" t="s">
        <v>760</v>
      </c>
      <c r="E808" s="43" t="s">
        <v>8247</v>
      </c>
      <c r="F808" s="42"/>
      <c r="G808" s="42"/>
      <c r="H808" s="43"/>
      <c r="I808" s="42"/>
      <c r="J808" s="42"/>
      <c r="K808" s="42"/>
      <c r="L808" s="42"/>
      <c r="M808" s="42"/>
      <c r="N808" s="42"/>
      <c r="O808" s="42"/>
      <c r="P808" s="42"/>
      <c r="Q808" s="42"/>
      <c r="R808" s="42" t="s">
        <v>7584</v>
      </c>
      <c r="S808" s="42" t="s">
        <v>258</v>
      </c>
      <c r="T808" s="42" t="s">
        <v>4574</v>
      </c>
      <c r="U808" s="42" t="s">
        <v>7325</v>
      </c>
      <c r="V808" s="44" t="s">
        <v>3892</v>
      </c>
      <c r="W808" s="42" t="s">
        <v>3892</v>
      </c>
    </row>
    <row r="809" spans="1:23">
      <c r="A809" s="40">
        <v>299</v>
      </c>
      <c r="B809" s="41">
        <v>1651072914</v>
      </c>
      <c r="C809" s="42" t="s">
        <v>7626</v>
      </c>
      <c r="D809" s="42" t="s">
        <v>765</v>
      </c>
      <c r="E809" s="43" t="s">
        <v>8451</v>
      </c>
      <c r="F809" s="42"/>
      <c r="G809" s="42"/>
      <c r="H809" s="43"/>
      <c r="I809" s="42"/>
      <c r="J809" s="42"/>
      <c r="K809" s="42"/>
      <c r="L809" s="42"/>
      <c r="M809" s="42"/>
      <c r="N809" s="42"/>
      <c r="O809" s="42"/>
      <c r="P809" s="42"/>
      <c r="Q809" s="42"/>
      <c r="R809" s="42" t="s">
        <v>7584</v>
      </c>
      <c r="S809" s="42" t="s">
        <v>258</v>
      </c>
      <c r="T809" s="42" t="s">
        <v>4574</v>
      </c>
      <c r="U809" s="42" t="s">
        <v>7325</v>
      </c>
      <c r="V809" s="44" t="s">
        <v>3892</v>
      </c>
      <c r="W809" s="42" t="s">
        <v>3892</v>
      </c>
    </row>
    <row r="810" spans="1:23">
      <c r="A810" s="40">
        <v>300</v>
      </c>
      <c r="B810" s="41">
        <v>1551073207</v>
      </c>
      <c r="C810" s="42" t="s">
        <v>7627</v>
      </c>
      <c r="D810" s="42" t="s">
        <v>760</v>
      </c>
      <c r="E810" s="43" t="s">
        <v>8465</v>
      </c>
      <c r="F810" s="42"/>
      <c r="G810" s="42"/>
      <c r="H810" s="43"/>
      <c r="I810" s="42"/>
      <c r="J810" s="42"/>
      <c r="K810" s="42"/>
      <c r="L810" s="42"/>
      <c r="M810" s="42"/>
      <c r="N810" s="42"/>
      <c r="O810" s="42"/>
      <c r="P810" s="42"/>
      <c r="Q810" s="42"/>
      <c r="R810" s="42" t="s">
        <v>7584</v>
      </c>
      <c r="S810" s="42" t="s">
        <v>258</v>
      </c>
      <c r="T810" s="42" t="s">
        <v>4574</v>
      </c>
      <c r="U810" s="42" t="s">
        <v>7325</v>
      </c>
      <c r="V810" s="44" t="s">
        <v>3892</v>
      </c>
      <c r="W810" s="42" t="s">
        <v>3892</v>
      </c>
    </row>
    <row r="811" spans="1:23">
      <c r="A811" s="40">
        <v>301</v>
      </c>
      <c r="B811" s="41">
        <v>1551073258</v>
      </c>
      <c r="C811" s="42" t="s">
        <v>7628</v>
      </c>
      <c r="D811" s="42" t="s">
        <v>760</v>
      </c>
      <c r="E811" s="43" t="s">
        <v>8466</v>
      </c>
      <c r="F811" s="42"/>
      <c r="G811" s="42"/>
      <c r="H811" s="43"/>
      <c r="I811" s="42"/>
      <c r="J811" s="42"/>
      <c r="K811" s="42"/>
      <c r="L811" s="42"/>
      <c r="M811" s="42"/>
      <c r="N811" s="42"/>
      <c r="O811" s="42"/>
      <c r="P811" s="42"/>
      <c r="Q811" s="42"/>
      <c r="R811" s="42" t="s">
        <v>7584</v>
      </c>
      <c r="S811" s="42" t="s">
        <v>258</v>
      </c>
      <c r="T811" s="42" t="s">
        <v>4574</v>
      </c>
      <c r="U811" s="42" t="s">
        <v>7325</v>
      </c>
      <c r="V811" s="44" t="s">
        <v>3892</v>
      </c>
      <c r="W811" s="42" t="s">
        <v>3892</v>
      </c>
    </row>
    <row r="812" spans="1:23">
      <c r="A812" s="40">
        <v>302</v>
      </c>
      <c r="B812" s="41">
        <v>1751070373</v>
      </c>
      <c r="C812" s="42" t="s">
        <v>7629</v>
      </c>
      <c r="D812" s="42" t="s">
        <v>760</v>
      </c>
      <c r="E812" s="43" t="s">
        <v>8467</v>
      </c>
      <c r="F812" s="42"/>
      <c r="G812" s="42"/>
      <c r="H812" s="43"/>
      <c r="I812" s="42"/>
      <c r="J812" s="42"/>
      <c r="K812" s="42"/>
      <c r="L812" s="42"/>
      <c r="M812" s="42"/>
      <c r="N812" s="42"/>
      <c r="O812" s="42"/>
      <c r="P812" s="42"/>
      <c r="Q812" s="42"/>
      <c r="R812" s="42" t="s">
        <v>7584</v>
      </c>
      <c r="S812" s="42" t="s">
        <v>258</v>
      </c>
      <c r="T812" s="42" t="s">
        <v>4574</v>
      </c>
      <c r="U812" s="42" t="s">
        <v>7325</v>
      </c>
      <c r="V812" s="44" t="s">
        <v>3892</v>
      </c>
      <c r="W812" s="42" t="s">
        <v>3892</v>
      </c>
    </row>
    <row r="813" spans="1:23">
      <c r="A813" s="40">
        <v>303</v>
      </c>
      <c r="B813" s="41">
        <v>1651071553</v>
      </c>
      <c r="C813" s="42" t="s">
        <v>7630</v>
      </c>
      <c r="D813" s="42" t="s">
        <v>760</v>
      </c>
      <c r="E813" s="43" t="s">
        <v>8468</v>
      </c>
      <c r="F813" s="42"/>
      <c r="G813" s="42"/>
      <c r="H813" s="43"/>
      <c r="I813" s="42"/>
      <c r="J813" s="42"/>
      <c r="K813" s="42"/>
      <c r="L813" s="42"/>
      <c r="M813" s="42"/>
      <c r="N813" s="42"/>
      <c r="O813" s="42"/>
      <c r="P813" s="42"/>
      <c r="Q813" s="42"/>
      <c r="R813" s="42" t="s">
        <v>7584</v>
      </c>
      <c r="S813" s="42" t="s">
        <v>258</v>
      </c>
      <c r="T813" s="42" t="s">
        <v>4574</v>
      </c>
      <c r="U813" s="42" t="s">
        <v>7325</v>
      </c>
      <c r="V813" s="44" t="s">
        <v>3892</v>
      </c>
      <c r="W813" s="42" t="s">
        <v>3892</v>
      </c>
    </row>
    <row r="814" spans="1:23">
      <c r="A814" s="40">
        <v>304</v>
      </c>
      <c r="B814" s="41">
        <v>1451071628</v>
      </c>
      <c r="C814" s="42" t="s">
        <v>7631</v>
      </c>
      <c r="D814" s="42" t="s">
        <v>760</v>
      </c>
      <c r="E814" s="43" t="s">
        <v>8469</v>
      </c>
      <c r="F814" s="42"/>
      <c r="G814" s="42"/>
      <c r="H814" s="43"/>
      <c r="I814" s="42"/>
      <c r="J814" s="42"/>
      <c r="K814" s="42"/>
      <c r="L814" s="42"/>
      <c r="M814" s="42"/>
      <c r="N814" s="42"/>
      <c r="O814" s="42"/>
      <c r="P814" s="42"/>
      <c r="Q814" s="42"/>
      <c r="R814" s="42" t="s">
        <v>7584</v>
      </c>
      <c r="S814" s="42" t="s">
        <v>258</v>
      </c>
      <c r="T814" s="42" t="s">
        <v>4574</v>
      </c>
      <c r="U814" s="42" t="s">
        <v>7325</v>
      </c>
      <c r="V814" s="44" t="s">
        <v>3892</v>
      </c>
      <c r="W814" s="42" t="s">
        <v>3892</v>
      </c>
    </row>
    <row r="815" spans="1:23">
      <c r="A815" s="40">
        <v>305</v>
      </c>
      <c r="B815" s="41">
        <v>1551072933</v>
      </c>
      <c r="C815" s="42" t="s">
        <v>7632</v>
      </c>
      <c r="D815" s="42" t="s">
        <v>3892</v>
      </c>
      <c r="E815" s="43" t="s">
        <v>7273</v>
      </c>
      <c r="F815" s="42"/>
      <c r="G815" s="42"/>
      <c r="H815" s="43"/>
      <c r="I815" s="42"/>
      <c r="J815" s="42"/>
      <c r="K815" s="42"/>
      <c r="L815" s="42"/>
      <c r="M815" s="42"/>
      <c r="N815" s="42"/>
      <c r="O815" s="42"/>
      <c r="P815" s="42"/>
      <c r="Q815" s="42"/>
      <c r="R815" s="42" t="s">
        <v>7584</v>
      </c>
      <c r="S815" s="42" t="s">
        <v>258</v>
      </c>
      <c r="T815" s="42" t="s">
        <v>4574</v>
      </c>
      <c r="U815" s="42" t="s">
        <v>7325</v>
      </c>
      <c r="V815" s="44" t="s">
        <v>3892</v>
      </c>
      <c r="W815" s="42" t="s">
        <v>7345</v>
      </c>
    </row>
    <row r="816" spans="1:23">
      <c r="A816" s="40">
        <v>306</v>
      </c>
      <c r="B816" s="41">
        <v>1551072944</v>
      </c>
      <c r="C816" s="42" t="s">
        <v>7633</v>
      </c>
      <c r="D816" s="42" t="s">
        <v>760</v>
      </c>
      <c r="E816" s="43" t="s">
        <v>8470</v>
      </c>
      <c r="F816" s="42"/>
      <c r="G816" s="42"/>
      <c r="H816" s="43"/>
      <c r="I816" s="42"/>
      <c r="J816" s="42"/>
      <c r="K816" s="42"/>
      <c r="L816" s="42"/>
      <c r="M816" s="42"/>
      <c r="N816" s="42"/>
      <c r="O816" s="42"/>
      <c r="P816" s="42"/>
      <c r="Q816" s="42"/>
      <c r="R816" s="42" t="s">
        <v>7584</v>
      </c>
      <c r="S816" s="42" t="s">
        <v>258</v>
      </c>
      <c r="T816" s="42" t="s">
        <v>4574</v>
      </c>
      <c r="U816" s="42" t="s">
        <v>7325</v>
      </c>
      <c r="V816" s="44" t="s">
        <v>3892</v>
      </c>
      <c r="W816" s="42" t="s">
        <v>3892</v>
      </c>
    </row>
    <row r="817" spans="1:23">
      <c r="A817" s="40">
        <v>307</v>
      </c>
      <c r="B817" s="41">
        <v>1751070340</v>
      </c>
      <c r="C817" s="42" t="s">
        <v>7634</v>
      </c>
      <c r="D817" s="42" t="s">
        <v>765</v>
      </c>
      <c r="E817" s="43" t="s">
        <v>8471</v>
      </c>
      <c r="F817" s="42"/>
      <c r="G817" s="42"/>
      <c r="H817" s="43"/>
      <c r="I817" s="42"/>
      <c r="J817" s="42"/>
      <c r="K817" s="42"/>
      <c r="L817" s="42"/>
      <c r="M817" s="42"/>
      <c r="N817" s="42"/>
      <c r="O817" s="42"/>
      <c r="P817" s="42"/>
      <c r="Q817" s="42"/>
      <c r="R817" s="42" t="s">
        <v>7584</v>
      </c>
      <c r="S817" s="42" t="s">
        <v>258</v>
      </c>
      <c r="T817" s="42" t="s">
        <v>4574</v>
      </c>
      <c r="U817" s="42" t="s">
        <v>7325</v>
      </c>
      <c r="V817" s="44" t="s">
        <v>3892</v>
      </c>
      <c r="W817" s="42" t="s">
        <v>3892</v>
      </c>
    </row>
    <row r="818" spans="1:23">
      <c r="A818" s="40">
        <v>308</v>
      </c>
      <c r="B818" s="41">
        <v>1651072883</v>
      </c>
      <c r="C818" s="42" t="s">
        <v>7635</v>
      </c>
      <c r="D818" s="42" t="s">
        <v>760</v>
      </c>
      <c r="E818" s="43" t="s">
        <v>8449</v>
      </c>
      <c r="F818" s="42"/>
      <c r="G818" s="42"/>
      <c r="H818" s="43"/>
      <c r="I818" s="42"/>
      <c r="J818" s="42"/>
      <c r="K818" s="42"/>
      <c r="L818" s="42"/>
      <c r="M818" s="42"/>
      <c r="N818" s="42"/>
      <c r="O818" s="42"/>
      <c r="P818" s="42"/>
      <c r="Q818" s="42"/>
      <c r="R818" s="42" t="s">
        <v>7584</v>
      </c>
      <c r="S818" s="42" t="s">
        <v>258</v>
      </c>
      <c r="T818" s="42" t="s">
        <v>4574</v>
      </c>
      <c r="U818" s="42" t="s">
        <v>7325</v>
      </c>
      <c r="V818" s="44" t="s">
        <v>3892</v>
      </c>
      <c r="W818" s="42" t="s">
        <v>3892</v>
      </c>
    </row>
    <row r="819" spans="1:23">
      <c r="A819" s="40">
        <v>309</v>
      </c>
      <c r="B819" s="41">
        <v>1751072289</v>
      </c>
      <c r="C819" s="42" t="s">
        <v>7636</v>
      </c>
      <c r="D819" s="42" t="s">
        <v>765</v>
      </c>
      <c r="E819" s="43" t="s">
        <v>8472</v>
      </c>
      <c r="F819" s="42"/>
      <c r="G819" s="42"/>
      <c r="H819" s="43"/>
      <c r="I819" s="42"/>
      <c r="J819" s="42"/>
      <c r="K819" s="42"/>
      <c r="L819" s="42"/>
      <c r="M819" s="42"/>
      <c r="N819" s="42"/>
      <c r="O819" s="42"/>
      <c r="P819" s="42"/>
      <c r="Q819" s="42"/>
      <c r="R819" s="42" t="s">
        <v>7584</v>
      </c>
      <c r="S819" s="42" t="s">
        <v>258</v>
      </c>
      <c r="T819" s="42" t="s">
        <v>4574</v>
      </c>
      <c r="U819" s="42" t="s">
        <v>7325</v>
      </c>
      <c r="V819" s="44" t="s">
        <v>3892</v>
      </c>
      <c r="W819" s="42" t="s">
        <v>3892</v>
      </c>
    </row>
    <row r="820" spans="1:23">
      <c r="A820" s="40">
        <v>310</v>
      </c>
      <c r="B820" s="41">
        <v>1551073341</v>
      </c>
      <c r="C820" s="42" t="s">
        <v>7637</v>
      </c>
      <c r="D820" s="42" t="s">
        <v>765</v>
      </c>
      <c r="E820" s="43" t="s">
        <v>8473</v>
      </c>
      <c r="F820" s="42"/>
      <c r="G820" s="42"/>
      <c r="H820" s="43"/>
      <c r="I820" s="42"/>
      <c r="J820" s="42"/>
      <c r="K820" s="42"/>
      <c r="L820" s="42"/>
      <c r="M820" s="42"/>
      <c r="N820" s="42"/>
      <c r="O820" s="42"/>
      <c r="P820" s="42"/>
      <c r="Q820" s="42"/>
      <c r="R820" s="42" t="s">
        <v>7584</v>
      </c>
      <c r="S820" s="42" t="s">
        <v>258</v>
      </c>
      <c r="T820" s="42" t="s">
        <v>4574</v>
      </c>
      <c r="U820" s="42" t="s">
        <v>7325</v>
      </c>
      <c r="V820" s="44" t="s">
        <v>3892</v>
      </c>
      <c r="W820" s="42" t="s">
        <v>3892</v>
      </c>
    </row>
    <row r="821" spans="1:23">
      <c r="A821" s="40">
        <v>311</v>
      </c>
      <c r="B821" s="41">
        <v>1651071802</v>
      </c>
      <c r="C821" s="42" t="s">
        <v>7638</v>
      </c>
      <c r="D821" s="42" t="s">
        <v>760</v>
      </c>
      <c r="E821" s="43" t="s">
        <v>8464</v>
      </c>
      <c r="F821" s="42"/>
      <c r="G821" s="42"/>
      <c r="H821" s="43"/>
      <c r="I821" s="42"/>
      <c r="J821" s="42"/>
      <c r="K821" s="42"/>
      <c r="L821" s="42"/>
      <c r="M821" s="42"/>
      <c r="N821" s="42"/>
      <c r="O821" s="42"/>
      <c r="P821" s="42"/>
      <c r="Q821" s="42"/>
      <c r="R821" s="42" t="s">
        <v>7584</v>
      </c>
      <c r="S821" s="42" t="s">
        <v>258</v>
      </c>
      <c r="T821" s="42" t="s">
        <v>4574</v>
      </c>
      <c r="U821" s="42" t="s">
        <v>7325</v>
      </c>
      <c r="V821" s="44" t="s">
        <v>3892</v>
      </c>
      <c r="W821" s="42" t="s">
        <v>3892</v>
      </c>
    </row>
    <row r="822" spans="1:23">
      <c r="A822" s="40">
        <v>312</v>
      </c>
      <c r="B822" s="41">
        <v>1551072872</v>
      </c>
      <c r="C822" s="42" t="s">
        <v>7639</v>
      </c>
      <c r="D822" s="42" t="s">
        <v>3892</v>
      </c>
      <c r="E822" s="43" t="s">
        <v>7273</v>
      </c>
      <c r="F822" s="42"/>
      <c r="G822" s="42"/>
      <c r="H822" s="43"/>
      <c r="I822" s="42"/>
      <c r="J822" s="42"/>
      <c r="K822" s="42"/>
      <c r="L822" s="42"/>
      <c r="M822" s="42"/>
      <c r="N822" s="42"/>
      <c r="O822" s="42"/>
      <c r="P822" s="42"/>
      <c r="Q822" s="42"/>
      <c r="R822" s="42" t="s">
        <v>7584</v>
      </c>
      <c r="S822" s="42" t="s">
        <v>258</v>
      </c>
      <c r="T822" s="42" t="s">
        <v>4574</v>
      </c>
      <c r="U822" s="42" t="s">
        <v>7325</v>
      </c>
      <c r="V822" s="44" t="s">
        <v>3892</v>
      </c>
      <c r="W822" s="42" t="s">
        <v>7345</v>
      </c>
    </row>
    <row r="823" spans="1:23">
      <c r="A823" s="40">
        <v>313</v>
      </c>
      <c r="B823" s="41">
        <v>1851072952</v>
      </c>
      <c r="C823" s="42" t="s">
        <v>7640</v>
      </c>
      <c r="D823" s="42" t="s">
        <v>760</v>
      </c>
      <c r="E823" s="43" t="s">
        <v>8474</v>
      </c>
      <c r="F823" s="42"/>
      <c r="G823" s="42"/>
      <c r="H823" s="43"/>
      <c r="I823" s="42"/>
      <c r="J823" s="42"/>
      <c r="K823" s="42"/>
      <c r="L823" s="42"/>
      <c r="M823" s="42"/>
      <c r="N823" s="42"/>
      <c r="O823" s="42"/>
      <c r="P823" s="42"/>
      <c r="Q823" s="42"/>
      <c r="R823" s="42" t="s">
        <v>7584</v>
      </c>
      <c r="S823" s="42" t="s">
        <v>258</v>
      </c>
      <c r="T823" s="42" t="s">
        <v>4574</v>
      </c>
      <c r="U823" s="42" t="s">
        <v>7325</v>
      </c>
      <c r="V823" s="44" t="s">
        <v>3892</v>
      </c>
      <c r="W823" s="42" t="s">
        <v>3892</v>
      </c>
    </row>
    <row r="824" spans="1:23">
      <c r="A824" s="40">
        <v>314</v>
      </c>
      <c r="B824" s="41">
        <v>1751072211</v>
      </c>
      <c r="C824" s="42" t="s">
        <v>7641</v>
      </c>
      <c r="D824" s="42" t="s">
        <v>765</v>
      </c>
      <c r="E824" s="43" t="s">
        <v>8475</v>
      </c>
      <c r="F824" s="42"/>
      <c r="G824" s="42"/>
      <c r="H824" s="43"/>
      <c r="I824" s="42"/>
      <c r="J824" s="42"/>
      <c r="K824" s="42"/>
      <c r="L824" s="42"/>
      <c r="M824" s="42"/>
      <c r="N824" s="42"/>
      <c r="O824" s="42"/>
      <c r="P824" s="42"/>
      <c r="Q824" s="42"/>
      <c r="R824" s="42" t="s">
        <v>7584</v>
      </c>
      <c r="S824" s="42" t="s">
        <v>258</v>
      </c>
      <c r="T824" s="42" t="s">
        <v>4574</v>
      </c>
      <c r="U824" s="42" t="s">
        <v>7325</v>
      </c>
      <c r="V824" s="44" t="s">
        <v>3892</v>
      </c>
      <c r="W824" s="42" t="s">
        <v>3892</v>
      </c>
    </row>
    <row r="825" spans="1:23">
      <c r="A825" s="40">
        <v>315</v>
      </c>
      <c r="B825" s="41">
        <v>1551073247</v>
      </c>
      <c r="C825" s="42" t="s">
        <v>7642</v>
      </c>
      <c r="D825" s="42" t="s">
        <v>760</v>
      </c>
      <c r="E825" s="43" t="s">
        <v>8476</v>
      </c>
      <c r="F825" s="42"/>
      <c r="G825" s="42"/>
      <c r="H825" s="43"/>
      <c r="I825" s="42"/>
      <c r="J825" s="42"/>
      <c r="K825" s="42"/>
      <c r="L825" s="42"/>
      <c r="M825" s="42"/>
      <c r="N825" s="42"/>
      <c r="O825" s="42"/>
      <c r="P825" s="42"/>
      <c r="Q825" s="42"/>
      <c r="R825" s="42" t="s">
        <v>7584</v>
      </c>
      <c r="S825" s="42" t="s">
        <v>258</v>
      </c>
      <c r="T825" s="42" t="s">
        <v>4574</v>
      </c>
      <c r="U825" s="42" t="s">
        <v>7325</v>
      </c>
      <c r="V825" s="44" t="s">
        <v>3892</v>
      </c>
      <c r="W825" s="42" t="s">
        <v>3892</v>
      </c>
    </row>
    <row r="826" spans="1:23">
      <c r="A826" s="40">
        <v>316</v>
      </c>
      <c r="B826" s="41">
        <v>1651071385</v>
      </c>
      <c r="C826" s="42" t="s">
        <v>7643</v>
      </c>
      <c r="D826" s="42" t="s">
        <v>760</v>
      </c>
      <c r="E826" s="43" t="s">
        <v>8477</v>
      </c>
      <c r="F826" s="42"/>
      <c r="G826" s="42"/>
      <c r="H826" s="43"/>
      <c r="I826" s="42"/>
      <c r="J826" s="42"/>
      <c r="K826" s="42"/>
      <c r="L826" s="42"/>
      <c r="M826" s="42"/>
      <c r="N826" s="42"/>
      <c r="O826" s="42"/>
      <c r="P826" s="42"/>
      <c r="Q826" s="42"/>
      <c r="R826" s="42" t="s">
        <v>7584</v>
      </c>
      <c r="S826" s="42" t="s">
        <v>258</v>
      </c>
      <c r="T826" s="42" t="s">
        <v>4574</v>
      </c>
      <c r="U826" s="42" t="s">
        <v>7325</v>
      </c>
      <c r="V826" s="44" t="s">
        <v>3892</v>
      </c>
      <c r="W826" s="42" t="s">
        <v>3892</v>
      </c>
    </row>
    <row r="827" spans="1:23">
      <c r="A827" s="40">
        <v>317</v>
      </c>
      <c r="B827" s="41">
        <v>1651072870</v>
      </c>
      <c r="C827" s="42" t="s">
        <v>7644</v>
      </c>
      <c r="D827" s="42" t="s">
        <v>765</v>
      </c>
      <c r="E827" s="43" t="s">
        <v>8396</v>
      </c>
      <c r="F827" s="42"/>
      <c r="G827" s="42"/>
      <c r="H827" s="43"/>
      <c r="I827" s="42"/>
      <c r="J827" s="42"/>
      <c r="K827" s="42"/>
      <c r="L827" s="42"/>
      <c r="M827" s="42"/>
      <c r="N827" s="42"/>
      <c r="O827" s="42"/>
      <c r="P827" s="42"/>
      <c r="Q827" s="42"/>
      <c r="R827" s="42" t="s">
        <v>7584</v>
      </c>
      <c r="S827" s="42" t="s">
        <v>258</v>
      </c>
      <c r="T827" s="42" t="s">
        <v>4574</v>
      </c>
      <c r="U827" s="42" t="s">
        <v>7325</v>
      </c>
      <c r="V827" s="44" t="s">
        <v>3892</v>
      </c>
      <c r="W827" s="42" t="s">
        <v>3892</v>
      </c>
    </row>
    <row r="828" spans="1:23">
      <c r="A828" s="40">
        <v>318</v>
      </c>
      <c r="B828" s="41">
        <v>1751070227</v>
      </c>
      <c r="C828" s="42" t="s">
        <v>7645</v>
      </c>
      <c r="D828" s="42" t="s">
        <v>760</v>
      </c>
      <c r="E828" s="43" t="s">
        <v>8478</v>
      </c>
      <c r="F828" s="42"/>
      <c r="G828" s="42"/>
      <c r="H828" s="43"/>
      <c r="I828" s="42"/>
      <c r="J828" s="42"/>
      <c r="K828" s="42"/>
      <c r="L828" s="42"/>
      <c r="M828" s="42"/>
      <c r="N828" s="42"/>
      <c r="O828" s="42"/>
      <c r="P828" s="42"/>
      <c r="Q828" s="42"/>
      <c r="R828" s="42" t="s">
        <v>7584</v>
      </c>
      <c r="S828" s="42" t="s">
        <v>258</v>
      </c>
      <c r="T828" s="42" t="s">
        <v>4574</v>
      </c>
      <c r="U828" s="42" t="s">
        <v>7325</v>
      </c>
      <c r="V828" s="44" t="s">
        <v>3892</v>
      </c>
      <c r="W828" s="42" t="s">
        <v>3892</v>
      </c>
    </row>
    <row r="829" spans="1:23">
      <c r="A829" s="40">
        <v>319</v>
      </c>
      <c r="B829" s="41">
        <v>1551073538</v>
      </c>
      <c r="C829" s="42" t="s">
        <v>7646</v>
      </c>
      <c r="D829" s="42" t="s">
        <v>760</v>
      </c>
      <c r="E829" s="43" t="s">
        <v>8479</v>
      </c>
      <c r="F829" s="42"/>
      <c r="G829" s="42"/>
      <c r="H829" s="43"/>
      <c r="I829" s="42"/>
      <c r="J829" s="42"/>
      <c r="K829" s="42"/>
      <c r="L829" s="42"/>
      <c r="M829" s="42"/>
      <c r="N829" s="42"/>
      <c r="O829" s="42"/>
      <c r="P829" s="42"/>
      <c r="Q829" s="42"/>
      <c r="R829" s="42" t="s">
        <v>7584</v>
      </c>
      <c r="S829" s="42" t="s">
        <v>258</v>
      </c>
      <c r="T829" s="42" t="s">
        <v>4574</v>
      </c>
      <c r="U829" s="42" t="s">
        <v>7325</v>
      </c>
      <c r="V829" s="44" t="s">
        <v>3892</v>
      </c>
      <c r="W829" s="42" t="s">
        <v>3892</v>
      </c>
    </row>
    <row r="830" spans="1:23">
      <c r="A830" s="40">
        <v>320</v>
      </c>
      <c r="B830" s="41">
        <v>1751071401</v>
      </c>
      <c r="C830" s="42" t="s">
        <v>7647</v>
      </c>
      <c r="D830" s="42" t="s">
        <v>760</v>
      </c>
      <c r="E830" s="43" t="s">
        <v>8480</v>
      </c>
      <c r="F830" s="42"/>
      <c r="G830" s="42"/>
      <c r="H830" s="43"/>
      <c r="I830" s="42"/>
      <c r="J830" s="42"/>
      <c r="K830" s="42"/>
      <c r="L830" s="42"/>
      <c r="M830" s="42"/>
      <c r="N830" s="42"/>
      <c r="O830" s="42"/>
      <c r="P830" s="42"/>
      <c r="Q830" s="42"/>
      <c r="R830" s="42" t="s">
        <v>7584</v>
      </c>
      <c r="S830" s="42" t="s">
        <v>258</v>
      </c>
      <c r="T830" s="42" t="s">
        <v>4574</v>
      </c>
      <c r="U830" s="42" t="s">
        <v>7325</v>
      </c>
      <c r="V830" s="44" t="s">
        <v>3892</v>
      </c>
      <c r="W830" s="42" t="s">
        <v>3892</v>
      </c>
    </row>
    <row r="831" spans="1:23">
      <c r="A831" s="40">
        <v>321</v>
      </c>
      <c r="B831" s="41">
        <v>1751070521</v>
      </c>
      <c r="C831" s="42" t="s">
        <v>7648</v>
      </c>
      <c r="D831" s="42" t="s">
        <v>765</v>
      </c>
      <c r="E831" s="43" t="s">
        <v>8481</v>
      </c>
      <c r="F831" s="42"/>
      <c r="G831" s="42"/>
      <c r="H831" s="43"/>
      <c r="I831" s="42"/>
      <c r="J831" s="42"/>
      <c r="K831" s="42"/>
      <c r="L831" s="42"/>
      <c r="M831" s="42"/>
      <c r="N831" s="42"/>
      <c r="O831" s="42"/>
      <c r="P831" s="42"/>
      <c r="Q831" s="42"/>
      <c r="R831" s="42" t="s">
        <v>7584</v>
      </c>
      <c r="S831" s="42" t="s">
        <v>258</v>
      </c>
      <c r="T831" s="42" t="s">
        <v>4574</v>
      </c>
      <c r="U831" s="42" t="s">
        <v>7325</v>
      </c>
      <c r="V831" s="44" t="s">
        <v>3892</v>
      </c>
      <c r="W831" s="42" t="s">
        <v>3892</v>
      </c>
    </row>
    <row r="832" spans="1:23">
      <c r="A832" s="40">
        <v>322</v>
      </c>
      <c r="B832" s="41">
        <v>1651071894</v>
      </c>
      <c r="C832" s="42" t="s">
        <v>7649</v>
      </c>
      <c r="D832" s="42" t="s">
        <v>760</v>
      </c>
      <c r="E832" s="43" t="s">
        <v>8482</v>
      </c>
      <c r="F832" s="42"/>
      <c r="G832" s="42"/>
      <c r="H832" s="43"/>
      <c r="I832" s="42"/>
      <c r="J832" s="42"/>
      <c r="K832" s="42"/>
      <c r="L832" s="42"/>
      <c r="M832" s="42"/>
      <c r="N832" s="42"/>
      <c r="O832" s="42"/>
      <c r="P832" s="42"/>
      <c r="Q832" s="42"/>
      <c r="R832" s="42" t="s">
        <v>7584</v>
      </c>
      <c r="S832" s="42" t="s">
        <v>258</v>
      </c>
      <c r="T832" s="42" t="s">
        <v>4574</v>
      </c>
      <c r="U832" s="42" t="s">
        <v>7325</v>
      </c>
      <c r="V832" s="44" t="s">
        <v>3892</v>
      </c>
      <c r="W832" s="42" t="s">
        <v>3892</v>
      </c>
    </row>
    <row r="833" spans="1:23">
      <c r="A833" s="40">
        <v>323</v>
      </c>
      <c r="B833" s="41">
        <v>1551072889</v>
      </c>
      <c r="C833" s="42" t="s">
        <v>7650</v>
      </c>
      <c r="D833" s="42" t="s">
        <v>765</v>
      </c>
      <c r="E833" s="43" t="s">
        <v>8483</v>
      </c>
      <c r="F833" s="42"/>
      <c r="G833" s="42"/>
      <c r="H833" s="43"/>
      <c r="I833" s="42"/>
      <c r="J833" s="42"/>
      <c r="K833" s="42"/>
      <c r="L833" s="42"/>
      <c r="M833" s="42"/>
      <c r="N833" s="42"/>
      <c r="O833" s="42"/>
      <c r="P833" s="42"/>
      <c r="Q833" s="42"/>
      <c r="R833" s="42" t="s">
        <v>7584</v>
      </c>
      <c r="S833" s="42" t="s">
        <v>258</v>
      </c>
      <c r="T833" s="42" t="s">
        <v>4574</v>
      </c>
      <c r="U833" s="42" t="s">
        <v>7325</v>
      </c>
      <c r="V833" s="44" t="s">
        <v>3892</v>
      </c>
      <c r="W833" s="42" t="s">
        <v>3892</v>
      </c>
    </row>
    <row r="834" spans="1:23">
      <c r="A834" s="40">
        <v>324</v>
      </c>
      <c r="B834" s="41">
        <v>1751072233</v>
      </c>
      <c r="C834" s="42" t="s">
        <v>7651</v>
      </c>
      <c r="D834" s="42" t="s">
        <v>765</v>
      </c>
      <c r="E834" s="43" t="s">
        <v>8484</v>
      </c>
      <c r="F834" s="42"/>
      <c r="G834" s="42"/>
      <c r="H834" s="43"/>
      <c r="I834" s="42"/>
      <c r="J834" s="42"/>
      <c r="K834" s="42"/>
      <c r="L834" s="42"/>
      <c r="M834" s="42"/>
      <c r="N834" s="42"/>
      <c r="O834" s="42"/>
      <c r="P834" s="42"/>
      <c r="Q834" s="42"/>
      <c r="R834" s="42" t="s">
        <v>7584</v>
      </c>
      <c r="S834" s="42" t="s">
        <v>258</v>
      </c>
      <c r="T834" s="42" t="s">
        <v>4574</v>
      </c>
      <c r="U834" s="42" t="s">
        <v>7325</v>
      </c>
      <c r="V834" s="44" t="s">
        <v>3892</v>
      </c>
      <c r="W834" s="42" t="s">
        <v>3892</v>
      </c>
    </row>
    <row r="835" spans="1:23">
      <c r="A835" s="40">
        <v>325</v>
      </c>
      <c r="B835" s="41">
        <v>1851073156</v>
      </c>
      <c r="C835" s="42" t="s">
        <v>7652</v>
      </c>
      <c r="D835" s="42" t="s">
        <v>760</v>
      </c>
      <c r="E835" s="43" t="s">
        <v>8485</v>
      </c>
      <c r="F835" s="42"/>
      <c r="G835" s="42"/>
      <c r="H835" s="43"/>
      <c r="I835" s="42"/>
      <c r="J835" s="42"/>
      <c r="K835" s="42"/>
      <c r="L835" s="42"/>
      <c r="M835" s="42"/>
      <c r="N835" s="42"/>
      <c r="O835" s="42"/>
      <c r="P835" s="42"/>
      <c r="Q835" s="42"/>
      <c r="R835" s="42" t="s">
        <v>7584</v>
      </c>
      <c r="S835" s="42" t="s">
        <v>258</v>
      </c>
      <c r="T835" s="42" t="s">
        <v>4574</v>
      </c>
      <c r="U835" s="42" t="s">
        <v>7325</v>
      </c>
      <c r="V835" s="44" t="s">
        <v>3892</v>
      </c>
      <c r="W835" s="42" t="s">
        <v>3892</v>
      </c>
    </row>
    <row r="836" spans="1:23">
      <c r="A836" s="40">
        <v>326</v>
      </c>
      <c r="B836" s="41">
        <v>1551073135</v>
      </c>
      <c r="C836" s="42" t="s">
        <v>7653</v>
      </c>
      <c r="D836" s="42" t="s">
        <v>3892</v>
      </c>
      <c r="E836" s="43" t="s">
        <v>7273</v>
      </c>
      <c r="F836" s="42"/>
      <c r="G836" s="42"/>
      <c r="H836" s="43"/>
      <c r="I836" s="42"/>
      <c r="J836" s="42"/>
      <c r="K836" s="42"/>
      <c r="L836" s="42"/>
      <c r="M836" s="42"/>
      <c r="N836" s="42"/>
      <c r="O836" s="42"/>
      <c r="P836" s="42"/>
      <c r="Q836" s="42"/>
      <c r="R836" s="42" t="s">
        <v>7584</v>
      </c>
      <c r="S836" s="42" t="s">
        <v>258</v>
      </c>
      <c r="T836" s="42" t="s">
        <v>4574</v>
      </c>
      <c r="U836" s="42" t="s">
        <v>7325</v>
      </c>
      <c r="V836" s="44" t="s">
        <v>3892</v>
      </c>
      <c r="W836" s="42" t="s">
        <v>3892</v>
      </c>
    </row>
    <row r="837" spans="1:23">
      <c r="A837" s="40">
        <v>327</v>
      </c>
      <c r="B837" s="41">
        <v>1551073071</v>
      </c>
      <c r="C837" s="42" t="s">
        <v>7654</v>
      </c>
      <c r="D837" s="42" t="s">
        <v>765</v>
      </c>
      <c r="E837" s="43" t="s">
        <v>8292</v>
      </c>
      <c r="F837" s="42"/>
      <c r="G837" s="42"/>
      <c r="H837" s="43"/>
      <c r="I837" s="42"/>
      <c r="J837" s="42"/>
      <c r="K837" s="42"/>
      <c r="L837" s="42"/>
      <c r="M837" s="42"/>
      <c r="N837" s="42"/>
      <c r="O837" s="42"/>
      <c r="P837" s="42"/>
      <c r="Q837" s="42"/>
      <c r="R837" s="42" t="s">
        <v>7584</v>
      </c>
      <c r="S837" s="42" t="s">
        <v>258</v>
      </c>
      <c r="T837" s="42" t="s">
        <v>4574</v>
      </c>
      <c r="U837" s="42" t="s">
        <v>7325</v>
      </c>
      <c r="V837" s="44" t="s">
        <v>3892</v>
      </c>
      <c r="W837" s="42" t="s">
        <v>3892</v>
      </c>
    </row>
    <row r="838" spans="1:23">
      <c r="A838" s="40">
        <v>328</v>
      </c>
      <c r="B838" s="41">
        <v>1451043383</v>
      </c>
      <c r="C838" s="42" t="s">
        <v>7655</v>
      </c>
      <c r="D838" s="42" t="s">
        <v>3892</v>
      </c>
      <c r="E838" s="43" t="s">
        <v>7273</v>
      </c>
      <c r="F838" s="42"/>
      <c r="G838" s="42"/>
      <c r="H838" s="43"/>
      <c r="I838" s="42"/>
      <c r="J838" s="42"/>
      <c r="K838" s="42"/>
      <c r="L838" s="42"/>
      <c r="M838" s="42"/>
      <c r="N838" s="42"/>
      <c r="O838" s="42"/>
      <c r="P838" s="42"/>
      <c r="Q838" s="42"/>
      <c r="R838" s="42" t="s">
        <v>7656</v>
      </c>
      <c r="S838" s="42" t="s">
        <v>359</v>
      </c>
      <c r="T838" s="42" t="s">
        <v>3891</v>
      </c>
      <c r="U838" s="42" t="s">
        <v>7325</v>
      </c>
      <c r="V838" s="44" t="s">
        <v>3892</v>
      </c>
      <c r="W838" s="42" t="s">
        <v>7345</v>
      </c>
    </row>
    <row r="839" spans="1:23">
      <c r="A839" s="40">
        <v>329</v>
      </c>
      <c r="B839" s="41">
        <v>1451041857</v>
      </c>
      <c r="C839" s="42" t="s">
        <v>7657</v>
      </c>
      <c r="D839" s="42" t="s">
        <v>3892</v>
      </c>
      <c r="E839" s="43" t="s">
        <v>7273</v>
      </c>
      <c r="F839" s="42"/>
      <c r="G839" s="42"/>
      <c r="H839" s="43"/>
      <c r="I839" s="42"/>
      <c r="J839" s="42"/>
      <c r="K839" s="42"/>
      <c r="L839" s="42"/>
      <c r="M839" s="42"/>
      <c r="N839" s="42"/>
      <c r="O839" s="42"/>
      <c r="P839" s="42"/>
      <c r="Q839" s="42"/>
      <c r="R839" s="42" t="s">
        <v>7656</v>
      </c>
      <c r="S839" s="42" t="s">
        <v>359</v>
      </c>
      <c r="T839" s="42" t="s">
        <v>3891</v>
      </c>
      <c r="U839" s="42" t="s">
        <v>7325</v>
      </c>
      <c r="V839" s="44" t="s">
        <v>3892</v>
      </c>
      <c r="W839" s="42" t="s">
        <v>7345</v>
      </c>
    </row>
    <row r="840" spans="1:23">
      <c r="A840" s="40">
        <v>330</v>
      </c>
      <c r="B840" s="41">
        <v>1551043400</v>
      </c>
      <c r="C840" s="42" t="s">
        <v>7658</v>
      </c>
      <c r="D840" s="42" t="s">
        <v>760</v>
      </c>
      <c r="E840" s="43" t="s">
        <v>8486</v>
      </c>
      <c r="F840" s="42"/>
      <c r="G840" s="42"/>
      <c r="H840" s="43"/>
      <c r="I840" s="42"/>
      <c r="J840" s="42"/>
      <c r="K840" s="42"/>
      <c r="L840" s="42"/>
      <c r="M840" s="42"/>
      <c r="N840" s="42"/>
      <c r="O840" s="42"/>
      <c r="P840" s="42"/>
      <c r="Q840" s="42"/>
      <c r="R840" s="42" t="s">
        <v>7656</v>
      </c>
      <c r="S840" s="42" t="s">
        <v>359</v>
      </c>
      <c r="T840" s="42" t="s">
        <v>3891</v>
      </c>
      <c r="U840" s="42" t="s">
        <v>7325</v>
      </c>
      <c r="V840" s="44" t="s">
        <v>3892</v>
      </c>
      <c r="W840" s="42" t="s">
        <v>3892</v>
      </c>
    </row>
    <row r="841" spans="1:23">
      <c r="A841" s="40">
        <v>331</v>
      </c>
      <c r="B841" s="41">
        <v>1651041503</v>
      </c>
      <c r="C841" s="42" t="s">
        <v>7659</v>
      </c>
      <c r="D841" s="42" t="s">
        <v>760</v>
      </c>
      <c r="E841" s="43" t="s">
        <v>8338</v>
      </c>
      <c r="F841" s="42"/>
      <c r="G841" s="42"/>
      <c r="H841" s="43"/>
      <c r="I841" s="42"/>
      <c r="J841" s="42"/>
      <c r="K841" s="42"/>
      <c r="L841" s="42"/>
      <c r="M841" s="42"/>
      <c r="N841" s="42"/>
      <c r="O841" s="42"/>
      <c r="P841" s="42"/>
      <c r="Q841" s="42"/>
      <c r="R841" s="42" t="s">
        <v>7656</v>
      </c>
      <c r="S841" s="42" t="s">
        <v>359</v>
      </c>
      <c r="T841" s="42" t="s">
        <v>3891</v>
      </c>
      <c r="U841" s="42" t="s">
        <v>7325</v>
      </c>
      <c r="V841" s="44" t="s">
        <v>3892</v>
      </c>
      <c r="W841" s="42" t="s">
        <v>3892</v>
      </c>
    </row>
    <row r="842" spans="1:23">
      <c r="A842" s="40">
        <v>332</v>
      </c>
      <c r="B842" s="41">
        <v>1751040573</v>
      </c>
      <c r="C842" s="42" t="s">
        <v>7660</v>
      </c>
      <c r="D842" s="42" t="s">
        <v>760</v>
      </c>
      <c r="E842" s="43" t="s">
        <v>8487</v>
      </c>
      <c r="F842" s="42"/>
      <c r="G842" s="42"/>
      <c r="H842" s="43"/>
      <c r="I842" s="42"/>
      <c r="J842" s="42"/>
      <c r="K842" s="42"/>
      <c r="L842" s="42"/>
      <c r="M842" s="42"/>
      <c r="N842" s="42"/>
      <c r="O842" s="42"/>
      <c r="P842" s="42"/>
      <c r="Q842" s="42"/>
      <c r="R842" s="42" t="s">
        <v>7656</v>
      </c>
      <c r="S842" s="42" t="s">
        <v>359</v>
      </c>
      <c r="T842" s="42" t="s">
        <v>3891</v>
      </c>
      <c r="U842" s="42" t="s">
        <v>7325</v>
      </c>
      <c r="V842" s="44" t="s">
        <v>3892</v>
      </c>
      <c r="W842" s="42" t="s">
        <v>3892</v>
      </c>
    </row>
    <row r="843" spans="1:23">
      <c r="A843" s="40">
        <v>333</v>
      </c>
      <c r="B843" s="41">
        <v>1251080198</v>
      </c>
      <c r="C843" s="42" t="s">
        <v>7661</v>
      </c>
      <c r="D843" s="42" t="s">
        <v>760</v>
      </c>
      <c r="E843" s="43" t="s">
        <v>8488</v>
      </c>
      <c r="F843" s="42"/>
      <c r="G843" s="42"/>
      <c r="H843" s="43"/>
      <c r="I843" s="42"/>
      <c r="J843" s="42"/>
      <c r="K843" s="42"/>
      <c r="L843" s="42"/>
      <c r="M843" s="42"/>
      <c r="N843" s="42"/>
      <c r="O843" s="42"/>
      <c r="P843" s="42"/>
      <c r="Q843" s="42"/>
      <c r="R843" s="42" t="s">
        <v>7656</v>
      </c>
      <c r="S843" s="42" t="s">
        <v>359</v>
      </c>
      <c r="T843" s="42" t="s">
        <v>3891</v>
      </c>
      <c r="U843" s="42" t="s">
        <v>7325</v>
      </c>
      <c r="V843" s="44" t="s">
        <v>3892</v>
      </c>
      <c r="W843" s="42" t="s">
        <v>3892</v>
      </c>
    </row>
    <row r="844" spans="1:23">
      <c r="A844" s="40">
        <v>334</v>
      </c>
      <c r="B844" s="41">
        <v>1551043477</v>
      </c>
      <c r="C844" s="42" t="s">
        <v>7662</v>
      </c>
      <c r="D844" s="42" t="s">
        <v>760</v>
      </c>
      <c r="E844" s="43" t="s">
        <v>8489</v>
      </c>
      <c r="F844" s="42"/>
      <c r="G844" s="42"/>
      <c r="H844" s="43"/>
      <c r="I844" s="42"/>
      <c r="J844" s="42"/>
      <c r="K844" s="42"/>
      <c r="L844" s="42"/>
      <c r="M844" s="42"/>
      <c r="N844" s="42"/>
      <c r="O844" s="42"/>
      <c r="P844" s="42"/>
      <c r="Q844" s="42"/>
      <c r="R844" s="42" t="s">
        <v>7656</v>
      </c>
      <c r="S844" s="42" t="s">
        <v>359</v>
      </c>
      <c r="T844" s="42" t="s">
        <v>3891</v>
      </c>
      <c r="U844" s="42" t="s">
        <v>7325</v>
      </c>
      <c r="V844" s="44" t="s">
        <v>3892</v>
      </c>
      <c r="W844" s="42" t="s">
        <v>3892</v>
      </c>
    </row>
    <row r="845" spans="1:23">
      <c r="A845" s="40">
        <v>335</v>
      </c>
      <c r="B845" s="41">
        <v>1551043143</v>
      </c>
      <c r="C845" s="42" t="s">
        <v>7663</v>
      </c>
      <c r="D845" s="42" t="s">
        <v>760</v>
      </c>
      <c r="E845" s="43" t="s">
        <v>8490</v>
      </c>
      <c r="F845" s="42"/>
      <c r="G845" s="42"/>
      <c r="H845" s="43"/>
      <c r="I845" s="42"/>
      <c r="J845" s="42"/>
      <c r="K845" s="42"/>
      <c r="L845" s="42"/>
      <c r="M845" s="42"/>
      <c r="N845" s="42"/>
      <c r="O845" s="42"/>
      <c r="P845" s="42"/>
      <c r="Q845" s="42"/>
      <c r="R845" s="42" t="s">
        <v>7656</v>
      </c>
      <c r="S845" s="42" t="s">
        <v>359</v>
      </c>
      <c r="T845" s="42" t="s">
        <v>3891</v>
      </c>
      <c r="U845" s="42" t="s">
        <v>7325</v>
      </c>
      <c r="V845" s="44" t="s">
        <v>3892</v>
      </c>
      <c r="W845" s="42" t="s">
        <v>3892</v>
      </c>
    </row>
    <row r="846" spans="1:23">
      <c r="A846" s="40">
        <v>336</v>
      </c>
      <c r="B846" s="41">
        <v>1551042910</v>
      </c>
      <c r="C846" s="42" t="s">
        <v>7664</v>
      </c>
      <c r="D846" s="42" t="s">
        <v>760</v>
      </c>
      <c r="E846" s="43" t="s">
        <v>8491</v>
      </c>
      <c r="F846" s="42"/>
      <c r="G846" s="42"/>
      <c r="H846" s="43"/>
      <c r="I846" s="42"/>
      <c r="J846" s="42"/>
      <c r="K846" s="42"/>
      <c r="L846" s="42"/>
      <c r="M846" s="42"/>
      <c r="N846" s="42"/>
      <c r="O846" s="42"/>
      <c r="P846" s="42"/>
      <c r="Q846" s="42"/>
      <c r="R846" s="42" t="s">
        <v>7656</v>
      </c>
      <c r="S846" s="42" t="s">
        <v>359</v>
      </c>
      <c r="T846" s="42" t="s">
        <v>3891</v>
      </c>
      <c r="U846" s="42" t="s">
        <v>7325</v>
      </c>
      <c r="V846" s="44" t="s">
        <v>3892</v>
      </c>
      <c r="W846" s="42" t="s">
        <v>3892</v>
      </c>
    </row>
    <row r="847" spans="1:23">
      <c r="A847" s="40">
        <v>337</v>
      </c>
      <c r="B847" s="41">
        <v>1551043363</v>
      </c>
      <c r="C847" s="42" t="s">
        <v>7665</v>
      </c>
      <c r="D847" s="42" t="s">
        <v>760</v>
      </c>
      <c r="E847" s="43" t="s">
        <v>8492</v>
      </c>
      <c r="F847" s="42"/>
      <c r="G847" s="42"/>
      <c r="H847" s="43"/>
      <c r="I847" s="42"/>
      <c r="J847" s="42"/>
      <c r="K847" s="42"/>
      <c r="L847" s="42"/>
      <c r="M847" s="42"/>
      <c r="N847" s="42"/>
      <c r="O847" s="42"/>
      <c r="P847" s="42"/>
      <c r="Q847" s="42"/>
      <c r="R847" s="42" t="s">
        <v>7656</v>
      </c>
      <c r="S847" s="42" t="s">
        <v>359</v>
      </c>
      <c r="T847" s="42" t="s">
        <v>3891</v>
      </c>
      <c r="U847" s="42" t="s">
        <v>7325</v>
      </c>
      <c r="V847" s="44" t="s">
        <v>3892</v>
      </c>
      <c r="W847" s="42" t="s">
        <v>3892</v>
      </c>
    </row>
    <row r="848" spans="1:23">
      <c r="A848" s="40">
        <v>338</v>
      </c>
      <c r="B848" s="41">
        <v>1551043191</v>
      </c>
      <c r="C848" s="42" t="s">
        <v>7666</v>
      </c>
      <c r="D848" s="42" t="s">
        <v>760</v>
      </c>
      <c r="E848" s="43" t="s">
        <v>8493</v>
      </c>
      <c r="F848" s="42"/>
      <c r="G848" s="42"/>
      <c r="H848" s="43"/>
      <c r="I848" s="42"/>
      <c r="J848" s="42"/>
      <c r="K848" s="42"/>
      <c r="L848" s="42"/>
      <c r="M848" s="42"/>
      <c r="N848" s="42"/>
      <c r="O848" s="42"/>
      <c r="P848" s="42"/>
      <c r="Q848" s="42"/>
      <c r="R848" s="42" t="s">
        <v>7656</v>
      </c>
      <c r="S848" s="42" t="s">
        <v>359</v>
      </c>
      <c r="T848" s="42" t="s">
        <v>3891</v>
      </c>
      <c r="U848" s="42" t="s">
        <v>7325</v>
      </c>
      <c r="V848" s="44" t="s">
        <v>3892</v>
      </c>
      <c r="W848" s="42" t="s">
        <v>3892</v>
      </c>
    </row>
    <row r="849" spans="1:23">
      <c r="A849" s="40">
        <v>339</v>
      </c>
      <c r="B849" s="41">
        <v>1551043196</v>
      </c>
      <c r="C849" s="42" t="s">
        <v>7667</v>
      </c>
      <c r="D849" s="42" t="s">
        <v>3892</v>
      </c>
      <c r="E849" s="43" t="s">
        <v>7273</v>
      </c>
      <c r="F849" s="42"/>
      <c r="G849" s="42"/>
      <c r="H849" s="43"/>
      <c r="I849" s="42"/>
      <c r="J849" s="42"/>
      <c r="K849" s="42"/>
      <c r="L849" s="42"/>
      <c r="M849" s="42"/>
      <c r="N849" s="42"/>
      <c r="O849" s="42"/>
      <c r="P849" s="42"/>
      <c r="Q849" s="42"/>
      <c r="R849" s="42" t="s">
        <v>7656</v>
      </c>
      <c r="S849" s="42" t="s">
        <v>359</v>
      </c>
      <c r="T849" s="42" t="s">
        <v>3891</v>
      </c>
      <c r="U849" s="42" t="s">
        <v>7325</v>
      </c>
      <c r="V849" s="44" t="s">
        <v>3892</v>
      </c>
      <c r="W849" s="42" t="s">
        <v>7345</v>
      </c>
    </row>
    <row r="850" spans="1:23">
      <c r="A850" s="40">
        <v>340</v>
      </c>
      <c r="B850" s="41">
        <v>1851043237</v>
      </c>
      <c r="C850" s="42" t="s">
        <v>7668</v>
      </c>
      <c r="D850" s="42" t="s">
        <v>760</v>
      </c>
      <c r="E850" s="43" t="s">
        <v>8494</v>
      </c>
      <c r="F850" s="42"/>
      <c r="G850" s="42"/>
      <c r="H850" s="43"/>
      <c r="I850" s="42"/>
      <c r="J850" s="42"/>
      <c r="K850" s="42"/>
      <c r="L850" s="42"/>
      <c r="M850" s="42"/>
      <c r="N850" s="42"/>
      <c r="O850" s="42"/>
      <c r="P850" s="42"/>
      <c r="Q850" s="42"/>
      <c r="R850" s="42" t="s">
        <v>7656</v>
      </c>
      <c r="S850" s="42" t="s">
        <v>359</v>
      </c>
      <c r="T850" s="42" t="s">
        <v>3891</v>
      </c>
      <c r="U850" s="42" t="s">
        <v>7325</v>
      </c>
      <c r="V850" s="44" t="s">
        <v>3892</v>
      </c>
      <c r="W850" s="42" t="s">
        <v>3892</v>
      </c>
    </row>
    <row r="851" spans="1:23">
      <c r="A851" s="40">
        <v>341</v>
      </c>
      <c r="B851" s="41">
        <v>1851042763</v>
      </c>
      <c r="C851" s="42" t="s">
        <v>7669</v>
      </c>
      <c r="D851" s="42" t="s">
        <v>760</v>
      </c>
      <c r="E851" s="43" t="s">
        <v>8495</v>
      </c>
      <c r="F851" s="42"/>
      <c r="G851" s="42"/>
      <c r="H851" s="43"/>
      <c r="I851" s="42"/>
      <c r="J851" s="42"/>
      <c r="K851" s="42"/>
      <c r="L851" s="42"/>
      <c r="M851" s="42"/>
      <c r="N851" s="42"/>
      <c r="O851" s="42"/>
      <c r="P851" s="42"/>
      <c r="Q851" s="42"/>
      <c r="R851" s="42" t="s">
        <v>7656</v>
      </c>
      <c r="S851" s="42" t="s">
        <v>359</v>
      </c>
      <c r="T851" s="42" t="s">
        <v>3891</v>
      </c>
      <c r="U851" s="42" t="s">
        <v>7325</v>
      </c>
      <c r="V851" s="44" t="s">
        <v>3892</v>
      </c>
      <c r="W851" s="42" t="s">
        <v>3892</v>
      </c>
    </row>
    <row r="852" spans="1:23">
      <c r="A852" s="40">
        <v>342</v>
      </c>
      <c r="B852" s="41">
        <v>1651042077</v>
      </c>
      <c r="C852" s="42" t="s">
        <v>7670</v>
      </c>
      <c r="D852" s="42" t="s">
        <v>760</v>
      </c>
      <c r="E852" s="43" t="s">
        <v>8496</v>
      </c>
      <c r="F852" s="42"/>
      <c r="G852" s="42"/>
      <c r="H852" s="43"/>
      <c r="I852" s="42"/>
      <c r="J852" s="42"/>
      <c r="K852" s="42"/>
      <c r="L852" s="42"/>
      <c r="M852" s="42"/>
      <c r="N852" s="42"/>
      <c r="O852" s="42"/>
      <c r="P852" s="42"/>
      <c r="Q852" s="42"/>
      <c r="R852" s="42" t="s">
        <v>7656</v>
      </c>
      <c r="S852" s="42" t="s">
        <v>359</v>
      </c>
      <c r="T852" s="42" t="s">
        <v>3891</v>
      </c>
      <c r="U852" s="42" t="s">
        <v>7325</v>
      </c>
      <c r="V852" s="44" t="s">
        <v>3892</v>
      </c>
      <c r="W852" s="42" t="s">
        <v>3892</v>
      </c>
    </row>
    <row r="853" spans="1:23">
      <c r="A853" s="40">
        <v>343</v>
      </c>
      <c r="B853" s="41">
        <v>1651042841</v>
      </c>
      <c r="C853" s="42" t="s">
        <v>7671</v>
      </c>
      <c r="D853" s="42" t="s">
        <v>760</v>
      </c>
      <c r="E853" s="43" t="s">
        <v>8497</v>
      </c>
      <c r="F853" s="42"/>
      <c r="G853" s="42"/>
      <c r="H853" s="43"/>
      <c r="I853" s="42"/>
      <c r="J853" s="42"/>
      <c r="K853" s="42"/>
      <c r="L853" s="42"/>
      <c r="M853" s="42"/>
      <c r="N853" s="42"/>
      <c r="O853" s="42"/>
      <c r="P853" s="42"/>
      <c r="Q853" s="42"/>
      <c r="R853" s="42" t="s">
        <v>7656</v>
      </c>
      <c r="S853" s="42" t="s">
        <v>359</v>
      </c>
      <c r="T853" s="42" t="s">
        <v>3891</v>
      </c>
      <c r="U853" s="42" t="s">
        <v>7325</v>
      </c>
      <c r="V853" s="44" t="s">
        <v>3892</v>
      </c>
      <c r="W853" s="42" t="s">
        <v>3892</v>
      </c>
    </row>
    <row r="854" spans="1:23">
      <c r="A854" s="40">
        <v>344</v>
      </c>
      <c r="B854" s="41">
        <v>1551042839</v>
      </c>
      <c r="C854" s="42" t="s">
        <v>7672</v>
      </c>
      <c r="D854" s="42" t="s">
        <v>760</v>
      </c>
      <c r="E854" s="43" t="s">
        <v>8498</v>
      </c>
      <c r="F854" s="42"/>
      <c r="G854" s="42"/>
      <c r="H854" s="43"/>
      <c r="I854" s="42"/>
      <c r="J854" s="42"/>
      <c r="K854" s="42"/>
      <c r="L854" s="42"/>
      <c r="M854" s="42"/>
      <c r="N854" s="42"/>
      <c r="O854" s="42"/>
      <c r="P854" s="42"/>
      <c r="Q854" s="42"/>
      <c r="R854" s="42" t="s">
        <v>7656</v>
      </c>
      <c r="S854" s="42" t="s">
        <v>359</v>
      </c>
      <c r="T854" s="42" t="s">
        <v>3891</v>
      </c>
      <c r="U854" s="42" t="s">
        <v>7325</v>
      </c>
      <c r="V854" s="44" t="s">
        <v>3892</v>
      </c>
      <c r="W854" s="42" t="s">
        <v>3892</v>
      </c>
    </row>
    <row r="855" spans="1:23">
      <c r="A855" s="40">
        <v>345</v>
      </c>
      <c r="B855" s="41">
        <v>1751042301</v>
      </c>
      <c r="C855" s="42" t="s">
        <v>7673</v>
      </c>
      <c r="D855" s="42" t="s">
        <v>760</v>
      </c>
      <c r="E855" s="43" t="s">
        <v>8499</v>
      </c>
      <c r="F855" s="42"/>
      <c r="G855" s="42"/>
      <c r="H855" s="43"/>
      <c r="I855" s="42"/>
      <c r="J855" s="42"/>
      <c r="K855" s="42"/>
      <c r="L855" s="42"/>
      <c r="M855" s="42"/>
      <c r="N855" s="42"/>
      <c r="O855" s="42"/>
      <c r="P855" s="42"/>
      <c r="Q855" s="42"/>
      <c r="R855" s="42" t="s">
        <v>7656</v>
      </c>
      <c r="S855" s="42" t="s">
        <v>359</v>
      </c>
      <c r="T855" s="42" t="s">
        <v>3891</v>
      </c>
      <c r="U855" s="42" t="s">
        <v>7325</v>
      </c>
      <c r="V855" s="44" t="s">
        <v>3892</v>
      </c>
      <c r="W855" s="42" t="s">
        <v>3892</v>
      </c>
    </row>
    <row r="856" spans="1:23">
      <c r="A856" s="40">
        <v>346</v>
      </c>
      <c r="B856" s="41">
        <v>1651042071</v>
      </c>
      <c r="C856" s="42" t="s">
        <v>7674</v>
      </c>
      <c r="D856" s="42" t="s">
        <v>760</v>
      </c>
      <c r="E856" s="43" t="s">
        <v>8500</v>
      </c>
      <c r="F856" s="42"/>
      <c r="G856" s="42"/>
      <c r="H856" s="43"/>
      <c r="I856" s="42"/>
      <c r="J856" s="42"/>
      <c r="K856" s="42"/>
      <c r="L856" s="42"/>
      <c r="M856" s="42"/>
      <c r="N856" s="42"/>
      <c r="O856" s="42"/>
      <c r="P856" s="42"/>
      <c r="Q856" s="42"/>
      <c r="R856" s="42" t="s">
        <v>7656</v>
      </c>
      <c r="S856" s="42" t="s">
        <v>359</v>
      </c>
      <c r="T856" s="42" t="s">
        <v>3891</v>
      </c>
      <c r="U856" s="42" t="s">
        <v>7325</v>
      </c>
      <c r="V856" s="44" t="s">
        <v>3892</v>
      </c>
      <c r="W856" s="42" t="s">
        <v>3892</v>
      </c>
    </row>
    <row r="857" spans="1:23">
      <c r="A857" s="40">
        <v>347</v>
      </c>
      <c r="B857" s="41">
        <v>1551042929</v>
      </c>
      <c r="C857" s="42" t="s">
        <v>7675</v>
      </c>
      <c r="D857" s="42" t="s">
        <v>760</v>
      </c>
      <c r="E857" s="43" t="s">
        <v>7214</v>
      </c>
      <c r="F857" s="42"/>
      <c r="G857" s="42"/>
      <c r="H857" s="43"/>
      <c r="I857" s="42"/>
      <c r="J857" s="42"/>
      <c r="K857" s="42"/>
      <c r="L857" s="42"/>
      <c r="M857" s="42"/>
      <c r="N857" s="42"/>
      <c r="O857" s="42"/>
      <c r="P857" s="42"/>
      <c r="Q857" s="42"/>
      <c r="R857" s="42" t="s">
        <v>7656</v>
      </c>
      <c r="S857" s="42" t="s">
        <v>359</v>
      </c>
      <c r="T857" s="42" t="s">
        <v>3891</v>
      </c>
      <c r="U857" s="42" t="s">
        <v>7325</v>
      </c>
      <c r="V857" s="44" t="s">
        <v>3892</v>
      </c>
      <c r="W857" s="42" t="s">
        <v>3892</v>
      </c>
    </row>
    <row r="858" spans="1:23">
      <c r="A858" s="40">
        <v>348</v>
      </c>
      <c r="B858" s="41">
        <v>1551042807</v>
      </c>
      <c r="C858" s="42" t="s">
        <v>7676</v>
      </c>
      <c r="D858" s="42" t="s">
        <v>760</v>
      </c>
      <c r="E858" s="43" t="s">
        <v>8501</v>
      </c>
      <c r="F858" s="42"/>
      <c r="G858" s="42"/>
      <c r="H858" s="43"/>
      <c r="I858" s="42"/>
      <c r="J858" s="42"/>
      <c r="K858" s="42"/>
      <c r="L858" s="42"/>
      <c r="M858" s="42"/>
      <c r="N858" s="42"/>
      <c r="O858" s="42"/>
      <c r="P858" s="42"/>
      <c r="Q858" s="42"/>
      <c r="R858" s="42" t="s">
        <v>7656</v>
      </c>
      <c r="S858" s="42" t="s">
        <v>359</v>
      </c>
      <c r="T858" s="42" t="s">
        <v>3891</v>
      </c>
      <c r="U858" s="42" t="s">
        <v>7325</v>
      </c>
      <c r="V858" s="44" t="s">
        <v>3892</v>
      </c>
      <c r="W858" s="42" t="s">
        <v>3892</v>
      </c>
    </row>
    <row r="859" spans="1:23">
      <c r="A859" s="40">
        <v>349</v>
      </c>
      <c r="B859" s="41">
        <v>1551042972</v>
      </c>
      <c r="C859" s="42" t="s">
        <v>7677</v>
      </c>
      <c r="D859" s="42" t="s">
        <v>760</v>
      </c>
      <c r="E859" s="43" t="s">
        <v>8502</v>
      </c>
      <c r="F859" s="42"/>
      <c r="G859" s="42"/>
      <c r="H859" s="43"/>
      <c r="I859" s="42"/>
      <c r="J859" s="42"/>
      <c r="K859" s="42"/>
      <c r="L859" s="42"/>
      <c r="M859" s="42"/>
      <c r="N859" s="42"/>
      <c r="O859" s="42"/>
      <c r="P859" s="42"/>
      <c r="Q859" s="42"/>
      <c r="R859" s="42" t="s">
        <v>7656</v>
      </c>
      <c r="S859" s="42" t="s">
        <v>359</v>
      </c>
      <c r="T859" s="42" t="s">
        <v>3891</v>
      </c>
      <c r="U859" s="42" t="s">
        <v>7325</v>
      </c>
      <c r="V859" s="44" t="s">
        <v>3892</v>
      </c>
      <c r="W859" s="42" t="s">
        <v>3892</v>
      </c>
    </row>
    <row r="860" spans="1:23">
      <c r="A860" s="40">
        <v>350</v>
      </c>
      <c r="B860" s="41">
        <v>1551043064</v>
      </c>
      <c r="C860" s="42" t="s">
        <v>7678</v>
      </c>
      <c r="D860" s="42" t="s">
        <v>760</v>
      </c>
      <c r="E860" s="43" t="s">
        <v>8503</v>
      </c>
      <c r="F860" s="42"/>
      <c r="G860" s="42"/>
      <c r="H860" s="43"/>
      <c r="I860" s="42"/>
      <c r="J860" s="42"/>
      <c r="K860" s="42"/>
      <c r="L860" s="42"/>
      <c r="M860" s="42"/>
      <c r="N860" s="42"/>
      <c r="O860" s="42"/>
      <c r="P860" s="42"/>
      <c r="Q860" s="42"/>
      <c r="R860" s="42" t="s">
        <v>7656</v>
      </c>
      <c r="S860" s="42" t="s">
        <v>359</v>
      </c>
      <c r="T860" s="42" t="s">
        <v>3891</v>
      </c>
      <c r="U860" s="42" t="s">
        <v>7325</v>
      </c>
      <c r="V860" s="44" t="s">
        <v>3892</v>
      </c>
      <c r="W860" s="42" t="s">
        <v>3892</v>
      </c>
    </row>
    <row r="861" spans="1:23">
      <c r="A861" s="40">
        <v>351</v>
      </c>
      <c r="B861" s="41">
        <v>1451042005</v>
      </c>
      <c r="C861" s="42" t="s">
        <v>7679</v>
      </c>
      <c r="D861" s="42" t="s">
        <v>3892</v>
      </c>
      <c r="E861" s="43" t="s">
        <v>7273</v>
      </c>
      <c r="F861" s="42"/>
      <c r="G861" s="42"/>
      <c r="H861" s="43"/>
      <c r="I861" s="42"/>
      <c r="J861" s="42"/>
      <c r="K861" s="42"/>
      <c r="L861" s="42"/>
      <c r="M861" s="42"/>
      <c r="N861" s="42"/>
      <c r="O861" s="42"/>
      <c r="P861" s="42"/>
      <c r="Q861" s="42"/>
      <c r="R861" s="42" t="s">
        <v>7656</v>
      </c>
      <c r="S861" s="42" t="s">
        <v>359</v>
      </c>
      <c r="T861" s="42" t="s">
        <v>3891</v>
      </c>
      <c r="U861" s="42" t="s">
        <v>7325</v>
      </c>
      <c r="V861" s="44" t="s">
        <v>3892</v>
      </c>
      <c r="W861" s="42" t="s">
        <v>7345</v>
      </c>
    </row>
    <row r="862" spans="1:23">
      <c r="A862" s="40">
        <v>352</v>
      </c>
      <c r="B862" s="41">
        <v>1551043365</v>
      </c>
      <c r="C862" s="42" t="s">
        <v>7680</v>
      </c>
      <c r="D862" s="42" t="s">
        <v>760</v>
      </c>
      <c r="E862" s="43" t="s">
        <v>8504</v>
      </c>
      <c r="F862" s="42"/>
      <c r="G862" s="42"/>
      <c r="H862" s="43"/>
      <c r="I862" s="42"/>
      <c r="J862" s="42"/>
      <c r="K862" s="42"/>
      <c r="L862" s="42"/>
      <c r="M862" s="42"/>
      <c r="N862" s="42"/>
      <c r="O862" s="42"/>
      <c r="P862" s="42"/>
      <c r="Q862" s="42"/>
      <c r="R862" s="42" t="s">
        <v>7656</v>
      </c>
      <c r="S862" s="42" t="s">
        <v>359</v>
      </c>
      <c r="T862" s="42" t="s">
        <v>3891</v>
      </c>
      <c r="U862" s="42" t="s">
        <v>7325</v>
      </c>
      <c r="V862" s="44" t="s">
        <v>3892</v>
      </c>
      <c r="W862" s="42" t="s">
        <v>3892</v>
      </c>
    </row>
    <row r="863" spans="1:23">
      <c r="A863" s="40">
        <v>353</v>
      </c>
      <c r="B863" s="41">
        <v>1351012491</v>
      </c>
      <c r="C863" s="42" t="s">
        <v>7681</v>
      </c>
      <c r="D863" s="42" t="s">
        <v>760</v>
      </c>
      <c r="E863" s="43" t="s">
        <v>8505</v>
      </c>
      <c r="F863" s="42"/>
      <c r="G863" s="42"/>
      <c r="H863" s="43"/>
      <c r="I863" s="42"/>
      <c r="J863" s="42"/>
      <c r="K863" s="42"/>
      <c r="L863" s="42"/>
      <c r="M863" s="42"/>
      <c r="N863" s="42"/>
      <c r="O863" s="42"/>
      <c r="P863" s="42"/>
      <c r="Q863" s="42"/>
      <c r="R863" s="42" t="s">
        <v>7656</v>
      </c>
      <c r="S863" s="42" t="s">
        <v>359</v>
      </c>
      <c r="T863" s="42" t="s">
        <v>3891</v>
      </c>
      <c r="U863" s="42" t="s">
        <v>7325</v>
      </c>
      <c r="V863" s="44" t="s">
        <v>3892</v>
      </c>
      <c r="W863" s="42" t="s">
        <v>3892</v>
      </c>
    </row>
    <row r="864" spans="1:23">
      <c r="A864" s="40">
        <v>354</v>
      </c>
      <c r="B864" s="41">
        <v>1651041535</v>
      </c>
      <c r="C864" s="42" t="s">
        <v>7682</v>
      </c>
      <c r="D864" s="42" t="s">
        <v>760</v>
      </c>
      <c r="E864" s="43" t="s">
        <v>8319</v>
      </c>
      <c r="F864" s="42"/>
      <c r="G864" s="42"/>
      <c r="H864" s="43"/>
      <c r="I864" s="42"/>
      <c r="J864" s="42"/>
      <c r="K864" s="42"/>
      <c r="L864" s="42"/>
      <c r="M864" s="42"/>
      <c r="N864" s="42"/>
      <c r="O864" s="42"/>
      <c r="P864" s="42"/>
      <c r="Q864" s="42"/>
      <c r="R864" s="42" t="s">
        <v>7656</v>
      </c>
      <c r="S864" s="42" t="s">
        <v>359</v>
      </c>
      <c r="T864" s="42" t="s">
        <v>3891</v>
      </c>
      <c r="U864" s="42" t="s">
        <v>7325</v>
      </c>
      <c r="V864" s="44" t="s">
        <v>3892</v>
      </c>
      <c r="W864" s="42" t="s">
        <v>3892</v>
      </c>
    </row>
    <row r="865" spans="1:23">
      <c r="A865" s="40">
        <v>355</v>
      </c>
      <c r="B865" s="41">
        <v>1751040231</v>
      </c>
      <c r="C865" s="42" t="s">
        <v>7683</v>
      </c>
      <c r="D865" s="42" t="s">
        <v>760</v>
      </c>
      <c r="E865" s="43" t="s">
        <v>8506</v>
      </c>
      <c r="F865" s="42"/>
      <c r="G865" s="42"/>
      <c r="H865" s="43"/>
      <c r="I865" s="42"/>
      <c r="J865" s="42"/>
      <c r="K865" s="42"/>
      <c r="L865" s="42"/>
      <c r="M865" s="42"/>
      <c r="N865" s="42"/>
      <c r="O865" s="42"/>
      <c r="P865" s="42"/>
      <c r="Q865" s="42"/>
      <c r="R865" s="42" t="s">
        <v>7656</v>
      </c>
      <c r="S865" s="42" t="s">
        <v>359</v>
      </c>
      <c r="T865" s="42" t="s">
        <v>3891</v>
      </c>
      <c r="U865" s="42" t="s">
        <v>7325</v>
      </c>
      <c r="V865" s="44" t="s">
        <v>3892</v>
      </c>
      <c r="W865" s="42" t="s">
        <v>3892</v>
      </c>
    </row>
    <row r="866" spans="1:23">
      <c r="A866" s="40">
        <v>356</v>
      </c>
      <c r="B866" s="41">
        <v>1351012511</v>
      </c>
      <c r="C866" s="42" t="s">
        <v>7684</v>
      </c>
      <c r="D866" s="42" t="s">
        <v>3892</v>
      </c>
      <c r="E866" s="43" t="s">
        <v>7273</v>
      </c>
      <c r="F866" s="42"/>
      <c r="G866" s="42"/>
      <c r="H866" s="43"/>
      <c r="I866" s="42"/>
      <c r="J866" s="42"/>
      <c r="K866" s="42"/>
      <c r="L866" s="42"/>
      <c r="M866" s="42"/>
      <c r="N866" s="42"/>
      <c r="O866" s="42"/>
      <c r="P866" s="42"/>
      <c r="Q866" s="42"/>
      <c r="R866" s="42" t="s">
        <v>7656</v>
      </c>
      <c r="S866" s="42" t="s">
        <v>359</v>
      </c>
      <c r="T866" s="42" t="s">
        <v>3891</v>
      </c>
      <c r="U866" s="42" t="s">
        <v>7325</v>
      </c>
      <c r="V866" s="44" t="s">
        <v>3892</v>
      </c>
      <c r="W866" s="42" t="s">
        <v>7345</v>
      </c>
    </row>
    <row r="867" spans="1:23">
      <c r="A867" s="40">
        <v>357</v>
      </c>
      <c r="B867" s="41">
        <v>1851043044</v>
      </c>
      <c r="C867" s="42" t="s">
        <v>7685</v>
      </c>
      <c r="D867" s="42" t="s">
        <v>3892</v>
      </c>
      <c r="E867" s="43" t="s">
        <v>8507</v>
      </c>
      <c r="F867" s="42"/>
      <c r="G867" s="42" t="s">
        <v>7686</v>
      </c>
      <c r="H867" s="43">
        <v>43684</v>
      </c>
      <c r="I867" s="42"/>
      <c r="J867" s="42"/>
      <c r="K867" s="42"/>
      <c r="L867" s="42"/>
      <c r="M867" s="42"/>
      <c r="N867" s="42"/>
      <c r="O867" s="42"/>
      <c r="P867" s="42"/>
      <c r="Q867" s="42"/>
      <c r="R867" s="42" t="s">
        <v>7656</v>
      </c>
      <c r="S867" s="42" t="s">
        <v>359</v>
      </c>
      <c r="T867" s="42" t="s">
        <v>3891</v>
      </c>
      <c r="U867" s="42" t="s">
        <v>7325</v>
      </c>
      <c r="V867" s="44" t="s">
        <v>3892</v>
      </c>
      <c r="W867" s="42" t="s">
        <v>7345</v>
      </c>
    </row>
    <row r="868" spans="1:23">
      <c r="A868" s="40">
        <v>358</v>
      </c>
      <c r="B868" s="41">
        <v>1551043038</v>
      </c>
      <c r="C868" s="42" t="s">
        <v>7687</v>
      </c>
      <c r="D868" s="42" t="s">
        <v>760</v>
      </c>
      <c r="E868" s="43" t="s">
        <v>8508</v>
      </c>
      <c r="F868" s="42"/>
      <c r="G868" s="42"/>
      <c r="H868" s="43"/>
      <c r="I868" s="42"/>
      <c r="J868" s="42"/>
      <c r="K868" s="42"/>
      <c r="L868" s="42"/>
      <c r="M868" s="42"/>
      <c r="N868" s="42"/>
      <c r="O868" s="42"/>
      <c r="P868" s="42"/>
      <c r="Q868" s="42"/>
      <c r="R868" s="42" t="s">
        <v>7656</v>
      </c>
      <c r="S868" s="42" t="s">
        <v>359</v>
      </c>
      <c r="T868" s="42" t="s">
        <v>3891</v>
      </c>
      <c r="U868" s="42" t="s">
        <v>7325</v>
      </c>
      <c r="V868" s="44" t="s">
        <v>3892</v>
      </c>
      <c r="W868" s="42" t="s">
        <v>3892</v>
      </c>
    </row>
    <row r="869" spans="1:23">
      <c r="A869" s="40">
        <v>359</v>
      </c>
      <c r="B869" s="41">
        <v>1651042010</v>
      </c>
      <c r="C869" s="42" t="s">
        <v>7688</v>
      </c>
      <c r="D869" s="42" t="s">
        <v>760</v>
      </c>
      <c r="E869" s="43" t="s">
        <v>8509</v>
      </c>
      <c r="F869" s="42"/>
      <c r="G869" s="42"/>
      <c r="H869" s="43"/>
      <c r="I869" s="42"/>
      <c r="J869" s="42"/>
      <c r="K869" s="42"/>
      <c r="L869" s="42"/>
      <c r="M869" s="42"/>
      <c r="N869" s="42"/>
      <c r="O869" s="42"/>
      <c r="P869" s="42"/>
      <c r="Q869" s="42"/>
      <c r="R869" s="42" t="s">
        <v>7656</v>
      </c>
      <c r="S869" s="42" t="s">
        <v>359</v>
      </c>
      <c r="T869" s="42" t="s">
        <v>3891</v>
      </c>
      <c r="U869" s="42" t="s">
        <v>7325</v>
      </c>
      <c r="V869" s="44" t="s">
        <v>3892</v>
      </c>
      <c r="W869" s="42" t="s">
        <v>3892</v>
      </c>
    </row>
    <row r="870" spans="1:23">
      <c r="A870" s="40">
        <v>360</v>
      </c>
      <c r="B870" s="41">
        <v>1751040532</v>
      </c>
      <c r="C870" s="42" t="s">
        <v>7689</v>
      </c>
      <c r="D870" s="42" t="s">
        <v>760</v>
      </c>
      <c r="E870" s="43" t="s">
        <v>8510</v>
      </c>
      <c r="F870" s="42"/>
      <c r="G870" s="42"/>
      <c r="H870" s="43"/>
      <c r="I870" s="42"/>
      <c r="J870" s="42"/>
      <c r="K870" s="42"/>
      <c r="L870" s="42"/>
      <c r="M870" s="42"/>
      <c r="N870" s="42"/>
      <c r="O870" s="42"/>
      <c r="P870" s="42"/>
      <c r="Q870" s="42"/>
      <c r="R870" s="42" t="s">
        <v>7656</v>
      </c>
      <c r="S870" s="42" t="s">
        <v>359</v>
      </c>
      <c r="T870" s="42" t="s">
        <v>3891</v>
      </c>
      <c r="U870" s="42" t="s">
        <v>7325</v>
      </c>
      <c r="V870" s="44" t="s">
        <v>3892</v>
      </c>
      <c r="W870" s="42" t="s">
        <v>3892</v>
      </c>
    </row>
    <row r="871" spans="1:23">
      <c r="A871" s="40">
        <v>361</v>
      </c>
      <c r="B871" s="41">
        <v>1751040221</v>
      </c>
      <c r="C871" s="42" t="s">
        <v>7690</v>
      </c>
      <c r="D871" s="42" t="s">
        <v>760</v>
      </c>
      <c r="E871" s="43" t="s">
        <v>8511</v>
      </c>
      <c r="F871" s="42"/>
      <c r="G871" s="42"/>
      <c r="H871" s="43"/>
      <c r="I871" s="42"/>
      <c r="J871" s="42"/>
      <c r="K871" s="42"/>
      <c r="L871" s="42"/>
      <c r="M871" s="42"/>
      <c r="N871" s="42"/>
      <c r="O871" s="42"/>
      <c r="P871" s="42"/>
      <c r="Q871" s="42"/>
      <c r="R871" s="42" t="s">
        <v>7656</v>
      </c>
      <c r="S871" s="42" t="s">
        <v>359</v>
      </c>
      <c r="T871" s="42" t="s">
        <v>3891</v>
      </c>
      <c r="U871" s="42" t="s">
        <v>7325</v>
      </c>
      <c r="V871" s="44" t="s">
        <v>3892</v>
      </c>
      <c r="W871" s="42" t="s">
        <v>3892</v>
      </c>
    </row>
    <row r="872" spans="1:23">
      <c r="A872" s="40">
        <v>362</v>
      </c>
      <c r="B872" s="41">
        <v>1851042988</v>
      </c>
      <c r="C872" s="42" t="s">
        <v>7691</v>
      </c>
      <c r="D872" s="42" t="s">
        <v>760</v>
      </c>
      <c r="E872" s="43" t="s">
        <v>8512</v>
      </c>
      <c r="F872" s="42"/>
      <c r="G872" s="42"/>
      <c r="H872" s="43"/>
      <c r="I872" s="42"/>
      <c r="J872" s="42"/>
      <c r="K872" s="42"/>
      <c r="L872" s="42"/>
      <c r="M872" s="42"/>
      <c r="N872" s="42"/>
      <c r="O872" s="42"/>
      <c r="P872" s="42"/>
      <c r="Q872" s="42"/>
      <c r="R872" s="42" t="s">
        <v>7656</v>
      </c>
      <c r="S872" s="42" t="s">
        <v>359</v>
      </c>
      <c r="T872" s="42" t="s">
        <v>3891</v>
      </c>
      <c r="U872" s="42" t="s">
        <v>7325</v>
      </c>
      <c r="V872" s="44" t="s">
        <v>3892</v>
      </c>
      <c r="W872" s="42" t="s">
        <v>3892</v>
      </c>
    </row>
    <row r="873" spans="1:23">
      <c r="A873" s="40">
        <v>363</v>
      </c>
      <c r="B873" s="41">
        <v>1551043548</v>
      </c>
      <c r="C873" s="42" t="s">
        <v>7692</v>
      </c>
      <c r="D873" s="42" t="s">
        <v>760</v>
      </c>
      <c r="E873" s="43" t="s">
        <v>8513</v>
      </c>
      <c r="F873" s="42"/>
      <c r="G873" s="42"/>
      <c r="H873" s="43"/>
      <c r="I873" s="42"/>
      <c r="J873" s="42"/>
      <c r="K873" s="42"/>
      <c r="L873" s="42"/>
      <c r="M873" s="42"/>
      <c r="N873" s="42"/>
      <c r="O873" s="42"/>
      <c r="P873" s="42"/>
      <c r="Q873" s="42"/>
      <c r="R873" s="42" t="s">
        <v>7656</v>
      </c>
      <c r="S873" s="42" t="s">
        <v>359</v>
      </c>
      <c r="T873" s="42" t="s">
        <v>3891</v>
      </c>
      <c r="U873" s="42" t="s">
        <v>7325</v>
      </c>
      <c r="V873" s="44" t="s">
        <v>3892</v>
      </c>
      <c r="W873" s="42" t="s">
        <v>3892</v>
      </c>
    </row>
    <row r="874" spans="1:23">
      <c r="A874" s="40">
        <v>364</v>
      </c>
      <c r="B874" s="41">
        <v>1551043497</v>
      </c>
      <c r="C874" s="42" t="s">
        <v>7693</v>
      </c>
      <c r="D874" s="42" t="s">
        <v>760</v>
      </c>
      <c r="E874" s="43" t="s">
        <v>8514</v>
      </c>
      <c r="F874" s="42"/>
      <c r="G874" s="42"/>
      <c r="H874" s="43"/>
      <c r="I874" s="42"/>
      <c r="J874" s="42"/>
      <c r="K874" s="42"/>
      <c r="L874" s="42"/>
      <c r="M874" s="42"/>
      <c r="N874" s="42"/>
      <c r="O874" s="42"/>
      <c r="P874" s="42"/>
      <c r="Q874" s="42"/>
      <c r="R874" s="42" t="s">
        <v>7656</v>
      </c>
      <c r="S874" s="42" t="s">
        <v>359</v>
      </c>
      <c r="T874" s="42" t="s">
        <v>3891</v>
      </c>
      <c r="U874" s="42" t="s">
        <v>7325</v>
      </c>
      <c r="V874" s="44" t="s">
        <v>3892</v>
      </c>
      <c r="W874" s="42" t="s">
        <v>3892</v>
      </c>
    </row>
    <row r="875" spans="1:23">
      <c r="A875" s="40">
        <v>365</v>
      </c>
      <c r="B875" s="41">
        <v>1451041646</v>
      </c>
      <c r="C875" s="42" t="s">
        <v>7694</v>
      </c>
      <c r="D875" s="42" t="s">
        <v>760</v>
      </c>
      <c r="E875" s="43" t="s">
        <v>8515</v>
      </c>
      <c r="F875" s="42"/>
      <c r="G875" s="42"/>
      <c r="H875" s="43"/>
      <c r="I875" s="42"/>
      <c r="J875" s="42"/>
      <c r="K875" s="42"/>
      <c r="L875" s="42"/>
      <c r="M875" s="42"/>
      <c r="N875" s="42"/>
      <c r="O875" s="42"/>
      <c r="P875" s="42"/>
      <c r="Q875" s="42"/>
      <c r="R875" s="42" t="s">
        <v>7656</v>
      </c>
      <c r="S875" s="42" t="s">
        <v>359</v>
      </c>
      <c r="T875" s="42" t="s">
        <v>3891</v>
      </c>
      <c r="U875" s="42" t="s">
        <v>7325</v>
      </c>
      <c r="V875" s="44" t="s">
        <v>3892</v>
      </c>
      <c r="W875" s="42" t="s">
        <v>3892</v>
      </c>
    </row>
    <row r="876" spans="1:23">
      <c r="A876" s="40">
        <v>366</v>
      </c>
      <c r="B876" s="41">
        <v>1451041696</v>
      </c>
      <c r="C876" s="42" t="s">
        <v>7695</v>
      </c>
      <c r="D876" s="42" t="s">
        <v>760</v>
      </c>
      <c r="E876" s="43" t="s">
        <v>8516</v>
      </c>
      <c r="F876" s="42"/>
      <c r="G876" s="42"/>
      <c r="H876" s="43"/>
      <c r="I876" s="42"/>
      <c r="J876" s="42"/>
      <c r="K876" s="42"/>
      <c r="L876" s="42"/>
      <c r="M876" s="42"/>
      <c r="N876" s="42"/>
      <c r="O876" s="42"/>
      <c r="P876" s="42"/>
      <c r="Q876" s="42"/>
      <c r="R876" s="42" t="s">
        <v>7656</v>
      </c>
      <c r="S876" s="42" t="s">
        <v>359</v>
      </c>
      <c r="T876" s="42" t="s">
        <v>3891</v>
      </c>
      <c r="U876" s="42" t="s">
        <v>7325</v>
      </c>
      <c r="V876" s="44" t="s">
        <v>3892</v>
      </c>
      <c r="W876" s="42" t="s">
        <v>3892</v>
      </c>
    </row>
    <row r="877" spans="1:23">
      <c r="A877" s="40">
        <v>367</v>
      </c>
      <c r="B877" s="41">
        <v>1851043045</v>
      </c>
      <c r="C877" s="42" t="s">
        <v>7696</v>
      </c>
      <c r="D877" s="42" t="s">
        <v>3892</v>
      </c>
      <c r="E877" s="43" t="s">
        <v>7273</v>
      </c>
      <c r="F877" s="42"/>
      <c r="G877" s="42"/>
      <c r="H877" s="43"/>
      <c r="I877" s="42"/>
      <c r="J877" s="42"/>
      <c r="K877" s="42"/>
      <c r="L877" s="42"/>
      <c r="M877" s="42"/>
      <c r="N877" s="42"/>
      <c r="O877" s="42"/>
      <c r="P877" s="42"/>
      <c r="Q877" s="42"/>
      <c r="R877" s="42" t="s">
        <v>7656</v>
      </c>
      <c r="S877" s="42" t="s">
        <v>359</v>
      </c>
      <c r="T877" s="42" t="s">
        <v>3891</v>
      </c>
      <c r="U877" s="42" t="s">
        <v>7325</v>
      </c>
      <c r="V877" s="44" t="s">
        <v>3892</v>
      </c>
      <c r="W877" s="42" t="s">
        <v>3892</v>
      </c>
    </row>
    <row r="878" spans="1:23">
      <c r="A878" s="40">
        <v>368</v>
      </c>
      <c r="B878" s="41">
        <v>1451042179</v>
      </c>
      <c r="C878" s="42" t="s">
        <v>7697</v>
      </c>
      <c r="D878" s="42" t="s">
        <v>760</v>
      </c>
      <c r="E878" s="43" t="s">
        <v>8374</v>
      </c>
      <c r="F878" s="42"/>
      <c r="G878" s="42"/>
      <c r="H878" s="43"/>
      <c r="I878" s="42"/>
      <c r="J878" s="42"/>
      <c r="K878" s="42"/>
      <c r="L878" s="42"/>
      <c r="M878" s="42"/>
      <c r="N878" s="42"/>
      <c r="O878" s="42"/>
      <c r="P878" s="42"/>
      <c r="Q878" s="42"/>
      <c r="R878" s="42" t="s">
        <v>7656</v>
      </c>
      <c r="S878" s="42" t="s">
        <v>359</v>
      </c>
      <c r="T878" s="42" t="s">
        <v>3891</v>
      </c>
      <c r="U878" s="42" t="s">
        <v>7325</v>
      </c>
      <c r="V878" s="44" t="s">
        <v>3892</v>
      </c>
      <c r="W878" s="42" t="s">
        <v>3892</v>
      </c>
    </row>
    <row r="879" spans="1:23">
      <c r="A879" s="40">
        <v>369</v>
      </c>
      <c r="B879" s="41">
        <v>1551043389</v>
      </c>
      <c r="C879" s="42" t="s">
        <v>7698</v>
      </c>
      <c r="D879" s="42" t="s">
        <v>760</v>
      </c>
      <c r="E879" s="43" t="s">
        <v>8517</v>
      </c>
      <c r="F879" s="42"/>
      <c r="G879" s="42"/>
      <c r="H879" s="43"/>
      <c r="I879" s="42"/>
      <c r="J879" s="42"/>
      <c r="K879" s="42"/>
      <c r="L879" s="42"/>
      <c r="M879" s="42"/>
      <c r="N879" s="42"/>
      <c r="O879" s="42"/>
      <c r="P879" s="42"/>
      <c r="Q879" s="42"/>
      <c r="R879" s="42" t="s">
        <v>7656</v>
      </c>
      <c r="S879" s="42" t="s">
        <v>359</v>
      </c>
      <c r="T879" s="42" t="s">
        <v>3891</v>
      </c>
      <c r="U879" s="42" t="s">
        <v>7325</v>
      </c>
      <c r="V879" s="44" t="s">
        <v>3892</v>
      </c>
      <c r="W879" s="42" t="s">
        <v>3892</v>
      </c>
    </row>
    <row r="880" spans="1:23">
      <c r="A880" s="40">
        <v>370</v>
      </c>
      <c r="B880" s="41">
        <v>1551043352</v>
      </c>
      <c r="C880" s="42" t="s">
        <v>7699</v>
      </c>
      <c r="D880" s="42" t="s">
        <v>760</v>
      </c>
      <c r="E880" s="43" t="s">
        <v>8518</v>
      </c>
      <c r="F880" s="42"/>
      <c r="G880" s="42"/>
      <c r="H880" s="43"/>
      <c r="I880" s="42"/>
      <c r="J880" s="42"/>
      <c r="K880" s="42"/>
      <c r="L880" s="42"/>
      <c r="M880" s="42"/>
      <c r="N880" s="42"/>
      <c r="O880" s="42"/>
      <c r="P880" s="42"/>
      <c r="Q880" s="42"/>
      <c r="R880" s="42" t="s">
        <v>7656</v>
      </c>
      <c r="S880" s="42" t="s">
        <v>359</v>
      </c>
      <c r="T880" s="42" t="s">
        <v>3891</v>
      </c>
      <c r="U880" s="42" t="s">
        <v>7325</v>
      </c>
      <c r="V880" s="44" t="s">
        <v>3892</v>
      </c>
      <c r="W880" s="42" t="s">
        <v>3892</v>
      </c>
    </row>
    <row r="881" spans="1:23">
      <c r="A881" s="40">
        <v>371</v>
      </c>
      <c r="B881" s="41">
        <v>1551043006</v>
      </c>
      <c r="C881" s="42" t="s">
        <v>7700</v>
      </c>
      <c r="D881" s="42" t="s">
        <v>760</v>
      </c>
      <c r="E881" s="43" t="s">
        <v>8519</v>
      </c>
      <c r="F881" s="42"/>
      <c r="G881" s="42"/>
      <c r="H881" s="43"/>
      <c r="I881" s="42"/>
      <c r="J881" s="42"/>
      <c r="K881" s="42"/>
      <c r="L881" s="42"/>
      <c r="M881" s="42"/>
      <c r="N881" s="42"/>
      <c r="O881" s="42"/>
      <c r="P881" s="42"/>
      <c r="Q881" s="42"/>
      <c r="R881" s="42" t="s">
        <v>7656</v>
      </c>
      <c r="S881" s="42" t="s">
        <v>359</v>
      </c>
      <c r="T881" s="42" t="s">
        <v>3891</v>
      </c>
      <c r="U881" s="42" t="s">
        <v>7325</v>
      </c>
      <c r="V881" s="44" t="s">
        <v>3892</v>
      </c>
      <c r="W881" s="42" t="s">
        <v>3892</v>
      </c>
    </row>
    <row r="882" spans="1:23">
      <c r="A882" s="40">
        <v>372</v>
      </c>
      <c r="B882" s="41">
        <v>1651041457</v>
      </c>
      <c r="C882" s="42" t="s">
        <v>7701</v>
      </c>
      <c r="D882" s="42" t="s">
        <v>760</v>
      </c>
      <c r="E882" s="43" t="s">
        <v>8520</v>
      </c>
      <c r="F882" s="42"/>
      <c r="G882" s="42"/>
      <c r="H882" s="43"/>
      <c r="I882" s="42"/>
      <c r="J882" s="42"/>
      <c r="K882" s="42"/>
      <c r="L882" s="42"/>
      <c r="M882" s="42"/>
      <c r="N882" s="42"/>
      <c r="O882" s="42"/>
      <c r="P882" s="42"/>
      <c r="Q882" s="42"/>
      <c r="R882" s="42" t="s">
        <v>7656</v>
      </c>
      <c r="S882" s="42" t="s">
        <v>359</v>
      </c>
      <c r="T882" s="42" t="s">
        <v>3891</v>
      </c>
      <c r="U882" s="42" t="s">
        <v>7325</v>
      </c>
      <c r="V882" s="44" t="s">
        <v>3892</v>
      </c>
      <c r="W882" s="42" t="s">
        <v>3892</v>
      </c>
    </row>
    <row r="883" spans="1:23">
      <c r="A883" s="40">
        <v>373</v>
      </c>
      <c r="B883" s="41">
        <v>1751040701</v>
      </c>
      <c r="C883" s="42" t="s">
        <v>7702</v>
      </c>
      <c r="D883" s="42" t="s">
        <v>760</v>
      </c>
      <c r="E883" s="43" t="s">
        <v>8521</v>
      </c>
      <c r="F883" s="42"/>
      <c r="G883" s="42"/>
      <c r="H883" s="43"/>
      <c r="I883" s="42"/>
      <c r="J883" s="42"/>
      <c r="K883" s="42"/>
      <c r="L883" s="42"/>
      <c r="M883" s="42"/>
      <c r="N883" s="42"/>
      <c r="O883" s="42"/>
      <c r="P883" s="42"/>
      <c r="Q883" s="42"/>
      <c r="R883" s="42" t="s">
        <v>7656</v>
      </c>
      <c r="S883" s="42" t="s">
        <v>359</v>
      </c>
      <c r="T883" s="42" t="s">
        <v>3891</v>
      </c>
      <c r="U883" s="42" t="s">
        <v>7325</v>
      </c>
      <c r="V883" s="44" t="s">
        <v>3892</v>
      </c>
      <c r="W883" s="42" t="s">
        <v>3892</v>
      </c>
    </row>
    <row r="884" spans="1:23">
      <c r="A884" s="40">
        <v>374</v>
      </c>
      <c r="B884" s="41">
        <v>1851042816</v>
      </c>
      <c r="C884" s="42" t="s">
        <v>7703</v>
      </c>
      <c r="D884" s="42" t="s">
        <v>760</v>
      </c>
      <c r="E884" s="43" t="s">
        <v>8522</v>
      </c>
      <c r="F884" s="42"/>
      <c r="G884" s="42"/>
      <c r="H884" s="43"/>
      <c r="I884" s="42"/>
      <c r="J884" s="42"/>
      <c r="K884" s="42"/>
      <c r="L884" s="42"/>
      <c r="M884" s="42"/>
      <c r="N884" s="42"/>
      <c r="O884" s="42"/>
      <c r="P884" s="42"/>
      <c r="Q884" s="42"/>
      <c r="R884" s="42" t="s">
        <v>7656</v>
      </c>
      <c r="S884" s="42" t="s">
        <v>359</v>
      </c>
      <c r="T884" s="42" t="s">
        <v>3891</v>
      </c>
      <c r="U884" s="42" t="s">
        <v>7325</v>
      </c>
      <c r="V884" s="44" t="s">
        <v>3892</v>
      </c>
      <c r="W884" s="42" t="s">
        <v>3892</v>
      </c>
    </row>
    <row r="885" spans="1:23">
      <c r="A885" s="40">
        <v>375</v>
      </c>
      <c r="B885" s="41">
        <v>1751040517</v>
      </c>
      <c r="C885" s="42" t="s">
        <v>7704</v>
      </c>
      <c r="D885" s="42" t="s">
        <v>3892</v>
      </c>
      <c r="E885" s="43" t="s">
        <v>7273</v>
      </c>
      <c r="F885" s="42"/>
      <c r="G885" s="42"/>
      <c r="H885" s="43"/>
      <c r="I885" s="42"/>
      <c r="J885" s="42"/>
      <c r="K885" s="42"/>
      <c r="L885" s="42"/>
      <c r="M885" s="42"/>
      <c r="N885" s="42"/>
      <c r="O885" s="42"/>
      <c r="P885" s="42"/>
      <c r="Q885" s="42"/>
      <c r="R885" s="42" t="s">
        <v>7656</v>
      </c>
      <c r="S885" s="42" t="s">
        <v>359</v>
      </c>
      <c r="T885" s="42" t="s">
        <v>3891</v>
      </c>
      <c r="U885" s="42" t="s">
        <v>7325</v>
      </c>
      <c r="V885" s="44" t="s">
        <v>3892</v>
      </c>
      <c r="W885" s="42" t="s">
        <v>7345</v>
      </c>
    </row>
    <row r="886" spans="1:23" ht="105">
      <c r="A886" s="40">
        <v>376</v>
      </c>
      <c r="B886" s="41">
        <v>1651042934</v>
      </c>
      <c r="C886" s="42" t="s">
        <v>7705</v>
      </c>
      <c r="D886" s="42" t="s">
        <v>760</v>
      </c>
      <c r="E886" s="43" t="s">
        <v>8523</v>
      </c>
      <c r="F886" s="42"/>
      <c r="G886" s="42"/>
      <c r="H886" s="43"/>
      <c r="I886" s="42"/>
      <c r="J886" s="42"/>
      <c r="K886" s="42"/>
      <c r="L886" s="42"/>
      <c r="M886" s="42"/>
      <c r="N886" s="42"/>
      <c r="O886" s="42"/>
      <c r="P886" s="42"/>
      <c r="Q886" s="42"/>
      <c r="R886" s="42" t="s">
        <v>7656</v>
      </c>
      <c r="S886" s="42" t="s">
        <v>359</v>
      </c>
      <c r="T886" s="42" t="s">
        <v>3891</v>
      </c>
      <c r="U886" s="42" t="s">
        <v>7325</v>
      </c>
      <c r="V886" s="44" t="s">
        <v>7706</v>
      </c>
      <c r="W886" s="42" t="s">
        <v>3905</v>
      </c>
    </row>
    <row r="887" spans="1:23">
      <c r="A887" s="40">
        <v>377</v>
      </c>
      <c r="B887" s="41">
        <v>1651040603</v>
      </c>
      <c r="C887" s="42" t="s">
        <v>7707</v>
      </c>
      <c r="D887" s="42" t="s">
        <v>760</v>
      </c>
      <c r="E887" s="43" t="s">
        <v>8524</v>
      </c>
      <c r="F887" s="42"/>
      <c r="G887" s="42"/>
      <c r="H887" s="43"/>
      <c r="I887" s="42"/>
      <c r="J887" s="42"/>
      <c r="K887" s="42"/>
      <c r="L887" s="42"/>
      <c r="M887" s="42"/>
      <c r="N887" s="42"/>
      <c r="O887" s="42"/>
      <c r="P887" s="42"/>
      <c r="Q887" s="42"/>
      <c r="R887" s="42" t="s">
        <v>7656</v>
      </c>
      <c r="S887" s="42" t="s">
        <v>359</v>
      </c>
      <c r="T887" s="42" t="s">
        <v>3891</v>
      </c>
      <c r="U887" s="42" t="s">
        <v>7325</v>
      </c>
      <c r="V887" s="44" t="s">
        <v>3892</v>
      </c>
      <c r="W887" s="42" t="s">
        <v>3892</v>
      </c>
    </row>
    <row r="888" spans="1:23">
      <c r="A888" s="40">
        <v>378</v>
      </c>
      <c r="B888" s="41">
        <v>1651042882</v>
      </c>
      <c r="C888" s="42" t="s">
        <v>7708</v>
      </c>
      <c r="D888" s="42" t="s">
        <v>760</v>
      </c>
      <c r="E888" s="43" t="s">
        <v>8525</v>
      </c>
      <c r="F888" s="42"/>
      <c r="G888" s="42"/>
      <c r="H888" s="43"/>
      <c r="I888" s="42"/>
      <c r="J888" s="42"/>
      <c r="K888" s="42"/>
      <c r="L888" s="42"/>
      <c r="M888" s="42"/>
      <c r="N888" s="42"/>
      <c r="O888" s="42"/>
      <c r="P888" s="42"/>
      <c r="Q888" s="42"/>
      <c r="R888" s="42" t="s">
        <v>7656</v>
      </c>
      <c r="S888" s="42" t="s">
        <v>359</v>
      </c>
      <c r="T888" s="42" t="s">
        <v>3891</v>
      </c>
      <c r="U888" s="42" t="s">
        <v>7325</v>
      </c>
      <c r="V888" s="44" t="s">
        <v>3892</v>
      </c>
      <c r="W888" s="42" t="s">
        <v>3892</v>
      </c>
    </row>
    <row r="889" spans="1:23">
      <c r="A889" s="40">
        <v>379</v>
      </c>
      <c r="B889" s="41">
        <v>1651042873</v>
      </c>
      <c r="C889" s="42" t="s">
        <v>7709</v>
      </c>
      <c r="D889" s="42" t="s">
        <v>760</v>
      </c>
      <c r="E889" s="43" t="s">
        <v>8526</v>
      </c>
      <c r="F889" s="42"/>
      <c r="G889" s="42"/>
      <c r="H889" s="43"/>
      <c r="I889" s="42"/>
      <c r="J889" s="42"/>
      <c r="K889" s="42"/>
      <c r="L889" s="42"/>
      <c r="M889" s="42"/>
      <c r="N889" s="42"/>
      <c r="O889" s="42"/>
      <c r="P889" s="42"/>
      <c r="Q889" s="42"/>
      <c r="R889" s="42" t="s">
        <v>7656</v>
      </c>
      <c r="S889" s="42" t="s">
        <v>359</v>
      </c>
      <c r="T889" s="42" t="s">
        <v>3891</v>
      </c>
      <c r="U889" s="42" t="s">
        <v>7325</v>
      </c>
      <c r="V889" s="44" t="s">
        <v>3892</v>
      </c>
      <c r="W889" s="42" t="s">
        <v>3892</v>
      </c>
    </row>
    <row r="890" spans="1:23">
      <c r="A890" s="40">
        <v>380</v>
      </c>
      <c r="B890" s="41">
        <v>1551043028</v>
      </c>
      <c r="C890" s="42" t="s">
        <v>7710</v>
      </c>
      <c r="D890" s="42" t="s">
        <v>760</v>
      </c>
      <c r="E890" s="43" t="s">
        <v>8527</v>
      </c>
      <c r="F890" s="42"/>
      <c r="G890" s="42"/>
      <c r="H890" s="43"/>
      <c r="I890" s="42"/>
      <c r="J890" s="42"/>
      <c r="K890" s="42"/>
      <c r="L890" s="42"/>
      <c r="M890" s="42"/>
      <c r="N890" s="42"/>
      <c r="O890" s="42"/>
      <c r="P890" s="42"/>
      <c r="Q890" s="42"/>
      <c r="R890" s="42" t="s">
        <v>7656</v>
      </c>
      <c r="S890" s="42" t="s">
        <v>359</v>
      </c>
      <c r="T890" s="42" t="s">
        <v>3891</v>
      </c>
      <c r="U890" s="42" t="s">
        <v>7325</v>
      </c>
      <c r="V890" s="44" t="s">
        <v>3892</v>
      </c>
      <c r="W890" s="42" t="s">
        <v>3892</v>
      </c>
    </row>
    <row r="891" spans="1:23">
      <c r="A891" s="40">
        <v>381</v>
      </c>
      <c r="B891" s="41">
        <v>1751042220</v>
      </c>
      <c r="C891" s="42" t="s">
        <v>7711</v>
      </c>
      <c r="D891" s="42" t="s">
        <v>760</v>
      </c>
      <c r="E891" s="43" t="s">
        <v>8528</v>
      </c>
      <c r="F891" s="42"/>
      <c r="G891" s="42"/>
      <c r="H891" s="43"/>
      <c r="I891" s="42"/>
      <c r="J891" s="42"/>
      <c r="K891" s="42"/>
      <c r="L891" s="42"/>
      <c r="M891" s="42"/>
      <c r="N891" s="42"/>
      <c r="O891" s="42"/>
      <c r="P891" s="42"/>
      <c r="Q891" s="42"/>
      <c r="R891" s="42" t="s">
        <v>7656</v>
      </c>
      <c r="S891" s="42" t="s">
        <v>359</v>
      </c>
      <c r="T891" s="42" t="s">
        <v>3891</v>
      </c>
      <c r="U891" s="42" t="s">
        <v>7325</v>
      </c>
      <c r="V891" s="44" t="s">
        <v>3892</v>
      </c>
      <c r="W891" s="42" t="s">
        <v>3892</v>
      </c>
    </row>
    <row r="892" spans="1:23" ht="105">
      <c r="A892" s="40">
        <v>382</v>
      </c>
      <c r="B892" s="41">
        <v>1851043125</v>
      </c>
      <c r="C892" s="42" t="s">
        <v>7712</v>
      </c>
      <c r="D892" s="42" t="s">
        <v>3892</v>
      </c>
      <c r="E892" s="43" t="s">
        <v>7273</v>
      </c>
      <c r="F892" s="42"/>
      <c r="G892" s="42"/>
      <c r="H892" s="43"/>
      <c r="I892" s="42"/>
      <c r="J892" s="42"/>
      <c r="K892" s="42"/>
      <c r="L892" s="42"/>
      <c r="M892" s="42"/>
      <c r="N892" s="42"/>
      <c r="O892" s="42"/>
      <c r="P892" s="42"/>
      <c r="Q892" s="42"/>
      <c r="R892" s="42" t="s">
        <v>7656</v>
      </c>
      <c r="S892" s="42" t="s">
        <v>359</v>
      </c>
      <c r="T892" s="42" t="s">
        <v>3891</v>
      </c>
      <c r="U892" s="42" t="s">
        <v>7325</v>
      </c>
      <c r="V892" s="44" t="s">
        <v>7713</v>
      </c>
      <c r="W892" s="42" t="s">
        <v>3905</v>
      </c>
    </row>
    <row r="893" spans="1:23">
      <c r="A893" s="40">
        <v>383</v>
      </c>
      <c r="B893" s="41">
        <v>1651042895</v>
      </c>
      <c r="C893" s="42" t="s">
        <v>7714</v>
      </c>
      <c r="D893" s="42" t="s">
        <v>760</v>
      </c>
      <c r="E893" s="43" t="s">
        <v>8529</v>
      </c>
      <c r="F893" s="42"/>
      <c r="G893" s="42"/>
      <c r="H893" s="43"/>
      <c r="I893" s="42"/>
      <c r="J893" s="42"/>
      <c r="K893" s="42"/>
      <c r="L893" s="42"/>
      <c r="M893" s="42"/>
      <c r="N893" s="42"/>
      <c r="O893" s="42"/>
      <c r="P893" s="42"/>
      <c r="Q893" s="42"/>
      <c r="R893" s="42" t="s">
        <v>7656</v>
      </c>
      <c r="S893" s="42" t="s">
        <v>359</v>
      </c>
      <c r="T893" s="42" t="s">
        <v>3891</v>
      </c>
      <c r="U893" s="42" t="s">
        <v>7325</v>
      </c>
      <c r="V893" s="44" t="s">
        <v>3892</v>
      </c>
      <c r="W893" s="42" t="s">
        <v>3892</v>
      </c>
    </row>
    <row r="894" spans="1:23">
      <c r="A894" s="40">
        <v>384</v>
      </c>
      <c r="B894" s="41">
        <v>1651041646</v>
      </c>
      <c r="C894" s="42" t="s">
        <v>7715</v>
      </c>
      <c r="D894" s="42" t="s">
        <v>760</v>
      </c>
      <c r="E894" s="43" t="s">
        <v>8530</v>
      </c>
      <c r="F894" s="42"/>
      <c r="G894" s="42"/>
      <c r="H894" s="43"/>
      <c r="I894" s="42"/>
      <c r="J894" s="42"/>
      <c r="K894" s="42"/>
      <c r="L894" s="42"/>
      <c r="M894" s="42"/>
      <c r="N894" s="42"/>
      <c r="O894" s="42"/>
      <c r="P894" s="42"/>
      <c r="Q894" s="42"/>
      <c r="R894" s="42" t="s">
        <v>7656</v>
      </c>
      <c r="S894" s="42" t="s">
        <v>359</v>
      </c>
      <c r="T894" s="42" t="s">
        <v>3891</v>
      </c>
      <c r="U894" s="42" t="s">
        <v>7325</v>
      </c>
      <c r="V894" s="44" t="s">
        <v>3892</v>
      </c>
      <c r="W894" s="42" t="s">
        <v>3892</v>
      </c>
    </row>
    <row r="895" spans="1:23">
      <c r="A895" s="40">
        <v>385</v>
      </c>
      <c r="B895" s="41">
        <v>1651041903</v>
      </c>
      <c r="C895" s="42" t="s">
        <v>7716</v>
      </c>
      <c r="D895" s="42" t="s">
        <v>760</v>
      </c>
      <c r="E895" s="43" t="s">
        <v>8531</v>
      </c>
      <c r="F895" s="42"/>
      <c r="G895" s="42"/>
      <c r="H895" s="43"/>
      <c r="I895" s="42"/>
      <c r="J895" s="42"/>
      <c r="K895" s="42"/>
      <c r="L895" s="42"/>
      <c r="M895" s="42"/>
      <c r="N895" s="42"/>
      <c r="O895" s="42"/>
      <c r="P895" s="42"/>
      <c r="Q895" s="42"/>
      <c r="R895" s="42" t="s">
        <v>7656</v>
      </c>
      <c r="S895" s="42" t="s">
        <v>359</v>
      </c>
      <c r="T895" s="42" t="s">
        <v>3891</v>
      </c>
      <c r="U895" s="42" t="s">
        <v>7325</v>
      </c>
      <c r="V895" s="44" t="s">
        <v>3892</v>
      </c>
      <c r="W895" s="42" t="s">
        <v>3892</v>
      </c>
    </row>
    <row r="896" spans="1:23">
      <c r="A896" s="40">
        <v>386</v>
      </c>
      <c r="B896" s="41">
        <v>1751040479</v>
      </c>
      <c r="C896" s="42" t="s">
        <v>7717</v>
      </c>
      <c r="D896" s="42" t="s">
        <v>765</v>
      </c>
      <c r="E896" s="43" t="s">
        <v>8511</v>
      </c>
      <c r="F896" s="42"/>
      <c r="G896" s="42"/>
      <c r="H896" s="43"/>
      <c r="I896" s="42"/>
      <c r="J896" s="42"/>
      <c r="K896" s="42"/>
      <c r="L896" s="42"/>
      <c r="M896" s="42"/>
      <c r="N896" s="42"/>
      <c r="O896" s="42"/>
      <c r="P896" s="42"/>
      <c r="Q896" s="42"/>
      <c r="R896" s="42" t="s">
        <v>7656</v>
      </c>
      <c r="S896" s="42" t="s">
        <v>359</v>
      </c>
      <c r="T896" s="42" t="s">
        <v>3891</v>
      </c>
      <c r="U896" s="42" t="s">
        <v>7325</v>
      </c>
      <c r="V896" s="44" t="s">
        <v>3892</v>
      </c>
      <c r="W896" s="42" t="s">
        <v>3892</v>
      </c>
    </row>
    <row r="897" spans="1:23">
      <c r="A897" s="40">
        <v>387</v>
      </c>
      <c r="B897" s="41">
        <v>1551032554</v>
      </c>
      <c r="C897" s="42" t="s">
        <v>7718</v>
      </c>
      <c r="D897" s="42" t="s">
        <v>760</v>
      </c>
      <c r="E897" s="43" t="s">
        <v>8532</v>
      </c>
      <c r="F897" s="42"/>
      <c r="G897" s="42"/>
      <c r="H897" s="43"/>
      <c r="I897" s="42"/>
      <c r="J897" s="42"/>
      <c r="K897" s="42"/>
      <c r="L897" s="42"/>
      <c r="M897" s="42"/>
      <c r="N897" s="42"/>
      <c r="O897" s="42"/>
      <c r="P897" s="42"/>
      <c r="Q897" s="42"/>
      <c r="R897" s="42" t="s">
        <v>7656</v>
      </c>
      <c r="S897" s="42" t="s">
        <v>359</v>
      </c>
      <c r="T897" s="42" t="s">
        <v>3891</v>
      </c>
      <c r="U897" s="42" t="s">
        <v>7325</v>
      </c>
      <c r="V897" s="44" t="s">
        <v>3892</v>
      </c>
      <c r="W897" s="42" t="s">
        <v>3892</v>
      </c>
    </row>
    <row r="898" spans="1:23" ht="60">
      <c r="A898" s="40">
        <v>388</v>
      </c>
      <c r="B898" s="41">
        <v>1851042706</v>
      </c>
      <c r="C898" s="42" t="s">
        <v>7719</v>
      </c>
      <c r="D898" s="42" t="s">
        <v>3892</v>
      </c>
      <c r="E898" s="43" t="s">
        <v>7273</v>
      </c>
      <c r="F898" s="42"/>
      <c r="G898" s="42"/>
      <c r="H898" s="43"/>
      <c r="I898" s="42"/>
      <c r="J898" s="42"/>
      <c r="K898" s="42"/>
      <c r="L898" s="42"/>
      <c r="M898" s="42"/>
      <c r="N898" s="42"/>
      <c r="O898" s="42"/>
      <c r="P898" s="42"/>
      <c r="Q898" s="42"/>
      <c r="R898" s="42" t="s">
        <v>7656</v>
      </c>
      <c r="S898" s="42" t="s">
        <v>359</v>
      </c>
      <c r="T898" s="42" t="s">
        <v>3891</v>
      </c>
      <c r="U898" s="42" t="s">
        <v>7325</v>
      </c>
      <c r="V898" s="44" t="s">
        <v>7720</v>
      </c>
      <c r="W898" s="42" t="s">
        <v>3905</v>
      </c>
    </row>
    <row r="899" spans="1:23">
      <c r="A899" s="40">
        <v>389</v>
      </c>
      <c r="B899" s="41">
        <v>1651041550</v>
      </c>
      <c r="C899" s="42" t="s">
        <v>7721</v>
      </c>
      <c r="D899" s="42" t="s">
        <v>760</v>
      </c>
      <c r="E899" s="43" t="s">
        <v>8533</v>
      </c>
      <c r="F899" s="42"/>
      <c r="G899" s="42"/>
      <c r="H899" s="43"/>
      <c r="I899" s="42"/>
      <c r="J899" s="42"/>
      <c r="K899" s="42"/>
      <c r="L899" s="42"/>
      <c r="M899" s="42"/>
      <c r="N899" s="42"/>
      <c r="O899" s="42"/>
      <c r="P899" s="42"/>
      <c r="Q899" s="42"/>
      <c r="R899" s="42" t="s">
        <v>7656</v>
      </c>
      <c r="S899" s="42" t="s">
        <v>359</v>
      </c>
      <c r="T899" s="42" t="s">
        <v>3891</v>
      </c>
      <c r="U899" s="42" t="s">
        <v>7325</v>
      </c>
      <c r="V899" s="44" t="s">
        <v>3892</v>
      </c>
      <c r="W899" s="42" t="s">
        <v>3892</v>
      </c>
    </row>
    <row r="900" spans="1:23">
      <c r="A900" s="40">
        <v>390</v>
      </c>
      <c r="B900" s="41">
        <v>1751040164</v>
      </c>
      <c r="C900" s="42" t="s">
        <v>7722</v>
      </c>
      <c r="D900" s="42" t="s">
        <v>760</v>
      </c>
      <c r="E900" s="43" t="s">
        <v>8534</v>
      </c>
      <c r="F900" s="42"/>
      <c r="G900" s="42"/>
      <c r="H900" s="43"/>
      <c r="I900" s="42"/>
      <c r="J900" s="42"/>
      <c r="K900" s="42"/>
      <c r="L900" s="42"/>
      <c r="M900" s="42"/>
      <c r="N900" s="42"/>
      <c r="O900" s="42"/>
      <c r="P900" s="42"/>
      <c r="Q900" s="42"/>
      <c r="R900" s="42" t="s">
        <v>7656</v>
      </c>
      <c r="S900" s="42" t="s">
        <v>359</v>
      </c>
      <c r="T900" s="42" t="s">
        <v>3891</v>
      </c>
      <c r="U900" s="42" t="s">
        <v>7325</v>
      </c>
      <c r="V900" s="44" t="s">
        <v>3892</v>
      </c>
      <c r="W900" s="42" t="s">
        <v>3892</v>
      </c>
    </row>
    <row r="901" spans="1:23">
      <c r="A901" s="40">
        <v>391</v>
      </c>
      <c r="B901" s="41">
        <v>1751041480</v>
      </c>
      <c r="C901" s="42" t="s">
        <v>7723</v>
      </c>
      <c r="D901" s="42" t="s">
        <v>760</v>
      </c>
      <c r="E901" s="43" t="s">
        <v>8535</v>
      </c>
      <c r="F901" s="42"/>
      <c r="G901" s="42"/>
      <c r="H901" s="43"/>
      <c r="I901" s="42"/>
      <c r="J901" s="42"/>
      <c r="K901" s="42"/>
      <c r="L901" s="42"/>
      <c r="M901" s="42"/>
      <c r="N901" s="42"/>
      <c r="O901" s="42"/>
      <c r="P901" s="42"/>
      <c r="Q901" s="42"/>
      <c r="R901" s="42" t="s">
        <v>7656</v>
      </c>
      <c r="S901" s="42" t="s">
        <v>359</v>
      </c>
      <c r="T901" s="42" t="s">
        <v>3891</v>
      </c>
      <c r="U901" s="42" t="s">
        <v>7325</v>
      </c>
      <c r="V901" s="44" t="s">
        <v>3892</v>
      </c>
      <c r="W901" s="42" t="s">
        <v>3892</v>
      </c>
    </row>
    <row r="902" spans="1:23">
      <c r="A902" s="40">
        <v>392</v>
      </c>
      <c r="B902" s="41">
        <v>1551043037</v>
      </c>
      <c r="C902" s="42" t="s">
        <v>7724</v>
      </c>
      <c r="D902" s="42" t="s">
        <v>760</v>
      </c>
      <c r="E902" s="43" t="s">
        <v>8536</v>
      </c>
      <c r="F902" s="42"/>
      <c r="G902" s="42"/>
      <c r="H902" s="43"/>
      <c r="I902" s="42"/>
      <c r="J902" s="42"/>
      <c r="K902" s="42"/>
      <c r="L902" s="42"/>
      <c r="M902" s="42"/>
      <c r="N902" s="42"/>
      <c r="O902" s="42"/>
      <c r="P902" s="42"/>
      <c r="Q902" s="42"/>
      <c r="R902" s="42" t="s">
        <v>7656</v>
      </c>
      <c r="S902" s="42" t="s">
        <v>359</v>
      </c>
      <c r="T902" s="42" t="s">
        <v>3891</v>
      </c>
      <c r="U902" s="42" t="s">
        <v>7325</v>
      </c>
      <c r="V902" s="44" t="s">
        <v>3892</v>
      </c>
      <c r="W902" s="42" t="s">
        <v>3892</v>
      </c>
    </row>
    <row r="903" spans="1:23">
      <c r="A903" s="40">
        <v>393</v>
      </c>
      <c r="B903" s="41">
        <v>1651042860</v>
      </c>
      <c r="C903" s="42" t="s">
        <v>7725</v>
      </c>
      <c r="D903" s="42" t="s">
        <v>760</v>
      </c>
      <c r="E903" s="43" t="s">
        <v>8537</v>
      </c>
      <c r="F903" s="42"/>
      <c r="G903" s="42"/>
      <c r="H903" s="43"/>
      <c r="I903" s="42"/>
      <c r="J903" s="42"/>
      <c r="K903" s="42"/>
      <c r="L903" s="42"/>
      <c r="M903" s="42"/>
      <c r="N903" s="42"/>
      <c r="O903" s="42"/>
      <c r="P903" s="42"/>
      <c r="Q903" s="42"/>
      <c r="R903" s="42" t="s">
        <v>7656</v>
      </c>
      <c r="S903" s="42" t="s">
        <v>359</v>
      </c>
      <c r="T903" s="42" t="s">
        <v>3891</v>
      </c>
      <c r="U903" s="42" t="s">
        <v>7325</v>
      </c>
      <c r="V903" s="44" t="s">
        <v>3892</v>
      </c>
      <c r="W903" s="42" t="s">
        <v>3892</v>
      </c>
    </row>
    <row r="904" spans="1:23">
      <c r="A904" s="40">
        <v>394</v>
      </c>
      <c r="B904" s="41">
        <v>1851042796</v>
      </c>
      <c r="C904" s="42" t="s">
        <v>7726</v>
      </c>
      <c r="D904" s="42" t="s">
        <v>760</v>
      </c>
      <c r="E904" s="43" t="s">
        <v>8538</v>
      </c>
      <c r="F904" s="42"/>
      <c r="G904" s="42"/>
      <c r="H904" s="43"/>
      <c r="I904" s="42"/>
      <c r="J904" s="42"/>
      <c r="K904" s="42"/>
      <c r="L904" s="42"/>
      <c r="M904" s="42"/>
      <c r="N904" s="42"/>
      <c r="O904" s="42"/>
      <c r="P904" s="42"/>
      <c r="Q904" s="42"/>
      <c r="R904" s="42" t="s">
        <v>7656</v>
      </c>
      <c r="S904" s="42" t="s">
        <v>359</v>
      </c>
      <c r="T904" s="42" t="s">
        <v>3891</v>
      </c>
      <c r="U904" s="42" t="s">
        <v>7325</v>
      </c>
      <c r="V904" s="44" t="s">
        <v>3892</v>
      </c>
      <c r="W904" s="42" t="s">
        <v>3892</v>
      </c>
    </row>
    <row r="905" spans="1:23">
      <c r="A905" s="40">
        <v>395</v>
      </c>
      <c r="B905" s="41">
        <v>1651041904</v>
      </c>
      <c r="C905" s="42" t="s">
        <v>7727</v>
      </c>
      <c r="D905" s="42" t="s">
        <v>760</v>
      </c>
      <c r="E905" s="43" t="s">
        <v>8239</v>
      </c>
      <c r="F905" s="42"/>
      <c r="G905" s="42"/>
      <c r="H905" s="43"/>
      <c r="I905" s="42"/>
      <c r="J905" s="42"/>
      <c r="K905" s="42"/>
      <c r="L905" s="42"/>
      <c r="M905" s="42"/>
      <c r="N905" s="42"/>
      <c r="O905" s="42"/>
      <c r="P905" s="42"/>
      <c r="Q905" s="42"/>
      <c r="R905" s="42" t="s">
        <v>7656</v>
      </c>
      <c r="S905" s="42" t="s">
        <v>359</v>
      </c>
      <c r="T905" s="42" t="s">
        <v>3891</v>
      </c>
      <c r="U905" s="42" t="s">
        <v>7325</v>
      </c>
      <c r="V905" s="44" t="s">
        <v>3892</v>
      </c>
      <c r="W905" s="42" t="s">
        <v>3892</v>
      </c>
    </row>
    <row r="906" spans="1:23">
      <c r="A906" s="40">
        <v>396</v>
      </c>
      <c r="B906" s="41">
        <v>1651041977</v>
      </c>
      <c r="C906" s="42" t="s">
        <v>7728</v>
      </c>
      <c r="D906" s="42" t="s">
        <v>760</v>
      </c>
      <c r="E906" s="43" t="s">
        <v>8539</v>
      </c>
      <c r="F906" s="42"/>
      <c r="G906" s="42"/>
      <c r="H906" s="43"/>
      <c r="I906" s="42"/>
      <c r="J906" s="42"/>
      <c r="K906" s="42"/>
      <c r="L906" s="42"/>
      <c r="M906" s="42"/>
      <c r="N906" s="42"/>
      <c r="O906" s="42"/>
      <c r="P906" s="42"/>
      <c r="Q906" s="42"/>
      <c r="R906" s="42" t="s">
        <v>7656</v>
      </c>
      <c r="S906" s="42" t="s">
        <v>359</v>
      </c>
      <c r="T906" s="42" t="s">
        <v>3891</v>
      </c>
      <c r="U906" s="42" t="s">
        <v>7325</v>
      </c>
      <c r="V906" s="44" t="s">
        <v>3892</v>
      </c>
      <c r="W906" s="42" t="s">
        <v>3892</v>
      </c>
    </row>
    <row r="907" spans="1:23">
      <c r="A907" s="40">
        <v>397</v>
      </c>
      <c r="B907" s="41">
        <v>1651042044</v>
      </c>
      <c r="C907" s="42" t="s">
        <v>7729</v>
      </c>
      <c r="D907" s="42" t="s">
        <v>760</v>
      </c>
      <c r="E907" s="43" t="s">
        <v>8540</v>
      </c>
      <c r="F907" s="42"/>
      <c r="G907" s="42"/>
      <c r="H907" s="43"/>
      <c r="I907" s="42"/>
      <c r="J907" s="42"/>
      <c r="K907" s="42"/>
      <c r="L907" s="42"/>
      <c r="M907" s="42"/>
      <c r="N907" s="42"/>
      <c r="O907" s="42"/>
      <c r="P907" s="42"/>
      <c r="Q907" s="42"/>
      <c r="R907" s="42" t="s">
        <v>7656</v>
      </c>
      <c r="S907" s="42" t="s">
        <v>359</v>
      </c>
      <c r="T907" s="42" t="s">
        <v>3891</v>
      </c>
      <c r="U907" s="42" t="s">
        <v>7325</v>
      </c>
      <c r="V907" s="44" t="s">
        <v>3892</v>
      </c>
      <c r="W907" s="42" t="s">
        <v>3892</v>
      </c>
    </row>
    <row r="908" spans="1:23">
      <c r="A908" s="40">
        <v>398</v>
      </c>
      <c r="B908" s="41">
        <v>1551042919</v>
      </c>
      <c r="C908" s="42" t="s">
        <v>7730</v>
      </c>
      <c r="D908" s="42" t="s">
        <v>760</v>
      </c>
      <c r="E908" s="43" t="s">
        <v>8281</v>
      </c>
      <c r="F908" s="42"/>
      <c r="G908" s="42"/>
      <c r="H908" s="43"/>
      <c r="I908" s="42"/>
      <c r="J908" s="42"/>
      <c r="K908" s="42"/>
      <c r="L908" s="42"/>
      <c r="M908" s="42"/>
      <c r="N908" s="42"/>
      <c r="O908" s="42"/>
      <c r="P908" s="42"/>
      <c r="Q908" s="42"/>
      <c r="R908" s="42" t="s">
        <v>7656</v>
      </c>
      <c r="S908" s="42" t="s">
        <v>359</v>
      </c>
      <c r="T908" s="42" t="s">
        <v>3891</v>
      </c>
      <c r="U908" s="42" t="s">
        <v>7325</v>
      </c>
      <c r="V908" s="44" t="s">
        <v>3892</v>
      </c>
      <c r="W908" s="42" t="s">
        <v>3892</v>
      </c>
    </row>
    <row r="909" spans="1:23">
      <c r="A909" s="40">
        <v>399</v>
      </c>
      <c r="B909" s="41">
        <v>1551043303</v>
      </c>
      <c r="C909" s="42" t="s">
        <v>7731</v>
      </c>
      <c r="D909" s="42" t="s">
        <v>760</v>
      </c>
      <c r="E909" s="43" t="s">
        <v>8541</v>
      </c>
      <c r="F909" s="42"/>
      <c r="G909" s="42"/>
      <c r="H909" s="43"/>
      <c r="I909" s="42"/>
      <c r="J909" s="42"/>
      <c r="K909" s="42"/>
      <c r="L909" s="42"/>
      <c r="M909" s="42"/>
      <c r="N909" s="42"/>
      <c r="O909" s="42"/>
      <c r="P909" s="42"/>
      <c r="Q909" s="42"/>
      <c r="R909" s="42" t="s">
        <v>7656</v>
      </c>
      <c r="S909" s="42" t="s">
        <v>359</v>
      </c>
      <c r="T909" s="42" t="s">
        <v>3891</v>
      </c>
      <c r="U909" s="42" t="s">
        <v>7325</v>
      </c>
      <c r="V909" s="44" t="s">
        <v>3892</v>
      </c>
      <c r="W909" s="42" t="s">
        <v>3892</v>
      </c>
    </row>
    <row r="910" spans="1:23">
      <c r="A910" s="40">
        <v>400</v>
      </c>
      <c r="B910" s="41">
        <v>1551043075</v>
      </c>
      <c r="C910" s="42" t="s">
        <v>7732</v>
      </c>
      <c r="D910" s="42" t="s">
        <v>760</v>
      </c>
      <c r="E910" s="43" t="s">
        <v>8542</v>
      </c>
      <c r="F910" s="42"/>
      <c r="G910" s="42"/>
      <c r="H910" s="43"/>
      <c r="I910" s="42"/>
      <c r="J910" s="42"/>
      <c r="K910" s="42"/>
      <c r="L910" s="42"/>
      <c r="M910" s="42"/>
      <c r="N910" s="42"/>
      <c r="O910" s="42"/>
      <c r="P910" s="42"/>
      <c r="Q910" s="42"/>
      <c r="R910" s="42" t="s">
        <v>7656</v>
      </c>
      <c r="S910" s="42" t="s">
        <v>359</v>
      </c>
      <c r="T910" s="42" t="s">
        <v>3891</v>
      </c>
      <c r="U910" s="42" t="s">
        <v>7325</v>
      </c>
      <c r="V910" s="44" t="s">
        <v>3892</v>
      </c>
      <c r="W910" s="42" t="s">
        <v>3892</v>
      </c>
    </row>
    <row r="911" spans="1:23">
      <c r="A911" s="40">
        <v>401</v>
      </c>
      <c r="B911" s="41">
        <v>1451043531</v>
      </c>
      <c r="C911" s="42" t="s">
        <v>7733</v>
      </c>
      <c r="D911" s="42" t="s">
        <v>760</v>
      </c>
      <c r="E911" s="43" t="s">
        <v>8543</v>
      </c>
      <c r="F911" s="42"/>
      <c r="G911" s="42"/>
      <c r="H911" s="43"/>
      <c r="I911" s="42"/>
      <c r="J911" s="42"/>
      <c r="K911" s="42"/>
      <c r="L911" s="42"/>
      <c r="M911" s="42"/>
      <c r="N911" s="42"/>
      <c r="O911" s="42"/>
      <c r="P911" s="42"/>
      <c r="Q911" s="42"/>
      <c r="R911" s="42" t="s">
        <v>7656</v>
      </c>
      <c r="S911" s="42" t="s">
        <v>359</v>
      </c>
      <c r="T911" s="42" t="s">
        <v>3891</v>
      </c>
      <c r="U911" s="42" t="s">
        <v>7325</v>
      </c>
      <c r="V911" s="44" t="s">
        <v>3892</v>
      </c>
      <c r="W911" s="42" t="s">
        <v>3892</v>
      </c>
    </row>
    <row r="912" spans="1:23">
      <c r="A912" s="40">
        <v>402</v>
      </c>
      <c r="B912" s="41">
        <v>1551042888</v>
      </c>
      <c r="C912" s="42" t="s">
        <v>7390</v>
      </c>
      <c r="D912" s="42" t="s">
        <v>760</v>
      </c>
      <c r="E912" s="43" t="s">
        <v>8363</v>
      </c>
      <c r="F912" s="42"/>
      <c r="G912" s="42"/>
      <c r="H912" s="43"/>
      <c r="I912" s="42"/>
      <c r="J912" s="42"/>
      <c r="K912" s="42"/>
      <c r="L912" s="42"/>
      <c r="M912" s="42"/>
      <c r="N912" s="42"/>
      <c r="O912" s="42"/>
      <c r="P912" s="42"/>
      <c r="Q912" s="42"/>
      <c r="R912" s="42" t="s">
        <v>7656</v>
      </c>
      <c r="S912" s="42" t="s">
        <v>359</v>
      </c>
      <c r="T912" s="42" t="s">
        <v>3891</v>
      </c>
      <c r="U912" s="42" t="s">
        <v>7325</v>
      </c>
      <c r="V912" s="44" t="s">
        <v>3892</v>
      </c>
      <c r="W912" s="42" t="s">
        <v>3892</v>
      </c>
    </row>
    <row r="913" spans="1:23">
      <c r="A913" s="40">
        <v>403</v>
      </c>
      <c r="B913" s="41">
        <v>1551043368</v>
      </c>
      <c r="C913" s="42" t="s">
        <v>7734</v>
      </c>
      <c r="D913" s="42" t="s">
        <v>3892</v>
      </c>
      <c r="E913" s="43" t="s">
        <v>7273</v>
      </c>
      <c r="F913" s="42"/>
      <c r="G913" s="42"/>
      <c r="H913" s="43"/>
      <c r="I913" s="42"/>
      <c r="J913" s="42"/>
      <c r="K913" s="42"/>
      <c r="L913" s="42"/>
      <c r="M913" s="42"/>
      <c r="N913" s="42"/>
      <c r="O913" s="42"/>
      <c r="P913" s="42"/>
      <c r="Q913" s="42"/>
      <c r="R913" s="42" t="s">
        <v>7656</v>
      </c>
      <c r="S913" s="42" t="s">
        <v>359</v>
      </c>
      <c r="T913" s="42" t="s">
        <v>3891</v>
      </c>
      <c r="U913" s="42" t="s">
        <v>7325</v>
      </c>
      <c r="V913" s="44" t="s">
        <v>3892</v>
      </c>
      <c r="W913" s="42" t="s">
        <v>3892</v>
      </c>
    </row>
    <row r="914" spans="1:23">
      <c r="A914" s="40">
        <v>404</v>
      </c>
      <c r="B914" s="41">
        <v>1551043513</v>
      </c>
      <c r="C914" s="42" t="s">
        <v>2511</v>
      </c>
      <c r="D914" s="42" t="s">
        <v>3892</v>
      </c>
      <c r="E914" s="43" t="s">
        <v>7273</v>
      </c>
      <c r="F914" s="42"/>
      <c r="G914" s="42"/>
      <c r="H914" s="43"/>
      <c r="I914" s="42"/>
      <c r="J914" s="42"/>
      <c r="K914" s="42"/>
      <c r="L914" s="42"/>
      <c r="M914" s="42"/>
      <c r="N914" s="42"/>
      <c r="O914" s="42"/>
      <c r="P914" s="42"/>
      <c r="Q914" s="42"/>
      <c r="R914" s="42" t="s">
        <v>7656</v>
      </c>
      <c r="S914" s="42" t="s">
        <v>359</v>
      </c>
      <c r="T914" s="42" t="s">
        <v>3891</v>
      </c>
      <c r="U914" s="42" t="s">
        <v>7325</v>
      </c>
      <c r="V914" s="44" t="s">
        <v>3892</v>
      </c>
      <c r="W914" s="42" t="s">
        <v>7345</v>
      </c>
    </row>
    <row r="915" spans="1:23">
      <c r="A915" s="40">
        <v>405</v>
      </c>
      <c r="B915" s="41">
        <v>1651042888</v>
      </c>
      <c r="C915" s="42" t="s">
        <v>7735</v>
      </c>
      <c r="D915" s="42" t="s">
        <v>760</v>
      </c>
      <c r="E915" s="43" t="s">
        <v>8544</v>
      </c>
      <c r="F915" s="42"/>
      <c r="G915" s="42"/>
      <c r="H915" s="43"/>
      <c r="I915" s="42"/>
      <c r="J915" s="42"/>
      <c r="K915" s="42"/>
      <c r="L915" s="42"/>
      <c r="M915" s="42"/>
      <c r="N915" s="42"/>
      <c r="O915" s="42"/>
      <c r="P915" s="42"/>
      <c r="Q915" s="42"/>
      <c r="R915" s="42" t="s">
        <v>7656</v>
      </c>
      <c r="S915" s="42" t="s">
        <v>359</v>
      </c>
      <c r="T915" s="42" t="s">
        <v>3891</v>
      </c>
      <c r="U915" s="42" t="s">
        <v>7325</v>
      </c>
      <c r="V915" s="44" t="s">
        <v>3892</v>
      </c>
      <c r="W915" s="42" t="s">
        <v>3892</v>
      </c>
    </row>
    <row r="916" spans="1:23">
      <c r="A916" s="40">
        <v>406</v>
      </c>
      <c r="B916" s="41">
        <v>1651042478</v>
      </c>
      <c r="C916" s="42" t="s">
        <v>7736</v>
      </c>
      <c r="D916" s="42" t="s">
        <v>760</v>
      </c>
      <c r="E916" s="43" t="s">
        <v>8545</v>
      </c>
      <c r="F916" s="42"/>
      <c r="G916" s="42"/>
      <c r="H916" s="43"/>
      <c r="I916" s="42"/>
      <c r="J916" s="42"/>
      <c r="K916" s="42"/>
      <c r="L916" s="42"/>
      <c r="M916" s="42"/>
      <c r="N916" s="42"/>
      <c r="O916" s="42"/>
      <c r="P916" s="42"/>
      <c r="Q916" s="42"/>
      <c r="R916" s="42" t="s">
        <v>7656</v>
      </c>
      <c r="S916" s="42" t="s">
        <v>359</v>
      </c>
      <c r="T916" s="42" t="s">
        <v>3891</v>
      </c>
      <c r="U916" s="42" t="s">
        <v>7325</v>
      </c>
      <c r="V916" s="44" t="s">
        <v>3892</v>
      </c>
      <c r="W916" s="42" t="s">
        <v>3892</v>
      </c>
    </row>
    <row r="917" spans="1:23">
      <c r="A917" s="40">
        <v>407</v>
      </c>
      <c r="B917" s="41">
        <v>1851043017</v>
      </c>
      <c r="C917" s="42" t="s">
        <v>7737</v>
      </c>
      <c r="D917" s="42" t="s">
        <v>760</v>
      </c>
      <c r="E917" s="43" t="s">
        <v>8546</v>
      </c>
      <c r="F917" s="42"/>
      <c r="G917" s="42"/>
      <c r="H917" s="43"/>
      <c r="I917" s="42"/>
      <c r="J917" s="42"/>
      <c r="K917" s="42"/>
      <c r="L917" s="42"/>
      <c r="M917" s="42"/>
      <c r="N917" s="42"/>
      <c r="O917" s="42"/>
      <c r="P917" s="42"/>
      <c r="Q917" s="42"/>
      <c r="R917" s="42" t="s">
        <v>7656</v>
      </c>
      <c r="S917" s="42" t="s">
        <v>359</v>
      </c>
      <c r="T917" s="42" t="s">
        <v>3891</v>
      </c>
      <c r="U917" s="42" t="s">
        <v>7325</v>
      </c>
      <c r="V917" s="44" t="s">
        <v>3892</v>
      </c>
      <c r="W917" s="42" t="s">
        <v>3892</v>
      </c>
    </row>
    <row r="918" spans="1:23">
      <c r="A918" s="40">
        <v>408</v>
      </c>
      <c r="B918" s="41">
        <v>1851042899</v>
      </c>
      <c r="C918" s="42" t="s">
        <v>2336</v>
      </c>
      <c r="D918" s="42" t="s">
        <v>760</v>
      </c>
      <c r="E918" s="43" t="s">
        <v>8547</v>
      </c>
      <c r="F918" s="42"/>
      <c r="G918" s="42"/>
      <c r="H918" s="43"/>
      <c r="I918" s="42"/>
      <c r="J918" s="42"/>
      <c r="K918" s="42"/>
      <c r="L918" s="42"/>
      <c r="M918" s="42"/>
      <c r="N918" s="42"/>
      <c r="O918" s="42"/>
      <c r="P918" s="42"/>
      <c r="Q918" s="42"/>
      <c r="R918" s="42" t="s">
        <v>7656</v>
      </c>
      <c r="S918" s="42" t="s">
        <v>359</v>
      </c>
      <c r="T918" s="42" t="s">
        <v>3891</v>
      </c>
      <c r="U918" s="42" t="s">
        <v>7325</v>
      </c>
      <c r="V918" s="44" t="s">
        <v>3892</v>
      </c>
      <c r="W918" s="42" t="s">
        <v>3892</v>
      </c>
    </row>
    <row r="919" spans="1:23">
      <c r="A919" s="40">
        <v>409</v>
      </c>
      <c r="B919" s="41">
        <v>1751042210</v>
      </c>
      <c r="C919" s="42" t="s">
        <v>7738</v>
      </c>
      <c r="D919" s="42" t="s">
        <v>3892</v>
      </c>
      <c r="E919" s="43" t="s">
        <v>7273</v>
      </c>
      <c r="F919" s="42"/>
      <c r="G919" s="42"/>
      <c r="H919" s="43"/>
      <c r="I919" s="42"/>
      <c r="J919" s="42"/>
      <c r="K919" s="42"/>
      <c r="L919" s="42"/>
      <c r="M919" s="42"/>
      <c r="N919" s="42"/>
      <c r="O919" s="42"/>
      <c r="P919" s="42"/>
      <c r="Q919" s="42"/>
      <c r="R919" s="42" t="s">
        <v>7656</v>
      </c>
      <c r="S919" s="42" t="s">
        <v>359</v>
      </c>
      <c r="T919" s="42" t="s">
        <v>3891</v>
      </c>
      <c r="U919" s="42" t="s">
        <v>7325</v>
      </c>
      <c r="V919" s="44" t="s">
        <v>3892</v>
      </c>
      <c r="W919" s="42" t="s">
        <v>3892</v>
      </c>
    </row>
    <row r="920" spans="1:23">
      <c r="A920" s="40">
        <v>410</v>
      </c>
      <c r="B920" s="41">
        <v>1651042851</v>
      </c>
      <c r="C920" s="42" t="s">
        <v>7739</v>
      </c>
      <c r="D920" s="42" t="s">
        <v>760</v>
      </c>
      <c r="E920" s="43" t="s">
        <v>8513</v>
      </c>
      <c r="F920" s="42"/>
      <c r="G920" s="42"/>
      <c r="H920" s="43"/>
      <c r="I920" s="42"/>
      <c r="J920" s="42"/>
      <c r="K920" s="42"/>
      <c r="L920" s="42"/>
      <c r="M920" s="42"/>
      <c r="N920" s="42"/>
      <c r="O920" s="42"/>
      <c r="P920" s="42"/>
      <c r="Q920" s="42"/>
      <c r="R920" s="42" t="s">
        <v>7656</v>
      </c>
      <c r="S920" s="42" t="s">
        <v>359</v>
      </c>
      <c r="T920" s="42" t="s">
        <v>3891</v>
      </c>
      <c r="U920" s="42" t="s">
        <v>7325</v>
      </c>
      <c r="V920" s="44" t="s">
        <v>3892</v>
      </c>
      <c r="W920" s="42" t="s">
        <v>3892</v>
      </c>
    </row>
    <row r="921" spans="1:23">
      <c r="A921" s="40">
        <v>411</v>
      </c>
      <c r="B921" s="41">
        <v>1551043029</v>
      </c>
      <c r="C921" s="42" t="s">
        <v>7740</v>
      </c>
      <c r="D921" s="42" t="s">
        <v>760</v>
      </c>
      <c r="E921" s="43" t="s">
        <v>8548</v>
      </c>
      <c r="F921" s="42"/>
      <c r="G921" s="42"/>
      <c r="H921" s="43"/>
      <c r="I921" s="42"/>
      <c r="J921" s="42"/>
      <c r="K921" s="42"/>
      <c r="L921" s="42"/>
      <c r="M921" s="42"/>
      <c r="N921" s="42"/>
      <c r="O921" s="42"/>
      <c r="P921" s="42"/>
      <c r="Q921" s="42"/>
      <c r="R921" s="42" t="s">
        <v>7656</v>
      </c>
      <c r="S921" s="42" t="s">
        <v>359</v>
      </c>
      <c r="T921" s="42" t="s">
        <v>3891</v>
      </c>
      <c r="U921" s="42" t="s">
        <v>7325</v>
      </c>
      <c r="V921" s="44" t="s">
        <v>3892</v>
      </c>
      <c r="W921" s="42" t="s">
        <v>3892</v>
      </c>
    </row>
    <row r="922" spans="1:23">
      <c r="A922" s="40">
        <v>412</v>
      </c>
      <c r="B922" s="41">
        <v>1651041579</v>
      </c>
      <c r="C922" s="42" t="s">
        <v>7741</v>
      </c>
      <c r="D922" s="42" t="s">
        <v>760</v>
      </c>
      <c r="E922" s="43" t="s">
        <v>8549</v>
      </c>
      <c r="F922" s="42"/>
      <c r="G922" s="42"/>
      <c r="H922" s="43"/>
      <c r="I922" s="42"/>
      <c r="J922" s="42"/>
      <c r="K922" s="42"/>
      <c r="L922" s="42"/>
      <c r="M922" s="42"/>
      <c r="N922" s="42"/>
      <c r="O922" s="42"/>
      <c r="P922" s="42"/>
      <c r="Q922" s="42"/>
      <c r="R922" s="42" t="s">
        <v>7656</v>
      </c>
      <c r="S922" s="42" t="s">
        <v>359</v>
      </c>
      <c r="T922" s="42" t="s">
        <v>3891</v>
      </c>
      <c r="U922" s="42" t="s">
        <v>7325</v>
      </c>
      <c r="V922" s="44" t="s">
        <v>3892</v>
      </c>
      <c r="W922" s="42" t="s">
        <v>3892</v>
      </c>
    </row>
    <row r="923" spans="1:23">
      <c r="A923" s="40">
        <v>413</v>
      </c>
      <c r="B923" s="41">
        <v>1651041981</v>
      </c>
      <c r="C923" s="42" t="s">
        <v>7742</v>
      </c>
      <c r="D923" s="42" t="s">
        <v>760</v>
      </c>
      <c r="E923" s="43" t="s">
        <v>8550</v>
      </c>
      <c r="F923" s="42"/>
      <c r="G923" s="42"/>
      <c r="H923" s="43"/>
      <c r="I923" s="42"/>
      <c r="J923" s="42"/>
      <c r="K923" s="42"/>
      <c r="L923" s="42"/>
      <c r="M923" s="42"/>
      <c r="N923" s="42"/>
      <c r="O923" s="42"/>
      <c r="P923" s="42"/>
      <c r="Q923" s="42"/>
      <c r="R923" s="42" t="s">
        <v>7656</v>
      </c>
      <c r="S923" s="42" t="s">
        <v>359</v>
      </c>
      <c r="T923" s="42" t="s">
        <v>3891</v>
      </c>
      <c r="U923" s="42" t="s">
        <v>7325</v>
      </c>
      <c r="V923" s="44" t="s">
        <v>3892</v>
      </c>
      <c r="W923" s="42" t="s">
        <v>3892</v>
      </c>
    </row>
    <row r="924" spans="1:23">
      <c r="A924" s="40">
        <v>414</v>
      </c>
      <c r="B924" s="41">
        <v>1451041718</v>
      </c>
      <c r="C924" s="42" t="s">
        <v>7743</v>
      </c>
      <c r="D924" s="42" t="s">
        <v>760</v>
      </c>
      <c r="E924" s="43" t="s">
        <v>8551</v>
      </c>
      <c r="F924" s="42"/>
      <c r="G924" s="42"/>
      <c r="H924" s="43"/>
      <c r="I924" s="42"/>
      <c r="J924" s="42"/>
      <c r="K924" s="42"/>
      <c r="L924" s="42"/>
      <c r="M924" s="42"/>
      <c r="N924" s="42"/>
      <c r="O924" s="42"/>
      <c r="P924" s="42"/>
      <c r="Q924" s="42"/>
      <c r="R924" s="42" t="s">
        <v>7656</v>
      </c>
      <c r="S924" s="42" t="s">
        <v>359</v>
      </c>
      <c r="T924" s="42" t="s">
        <v>3891</v>
      </c>
      <c r="U924" s="42" t="s">
        <v>7325</v>
      </c>
      <c r="V924" s="44" t="s">
        <v>3892</v>
      </c>
      <c r="W924" s="42" t="s">
        <v>3892</v>
      </c>
    </row>
    <row r="925" spans="1:23">
      <c r="A925" s="40">
        <v>415</v>
      </c>
      <c r="B925" s="41">
        <v>1451041477</v>
      </c>
      <c r="C925" s="42" t="s">
        <v>7744</v>
      </c>
      <c r="D925" s="42" t="s">
        <v>760</v>
      </c>
      <c r="E925" s="43" t="s">
        <v>8552</v>
      </c>
      <c r="F925" s="42"/>
      <c r="G925" s="42"/>
      <c r="H925" s="43"/>
      <c r="I925" s="42"/>
      <c r="J925" s="42"/>
      <c r="K925" s="42"/>
      <c r="L925" s="42"/>
      <c r="M925" s="42"/>
      <c r="N925" s="42"/>
      <c r="O925" s="42"/>
      <c r="P925" s="42"/>
      <c r="Q925" s="42"/>
      <c r="R925" s="42" t="s">
        <v>7656</v>
      </c>
      <c r="S925" s="42" t="s">
        <v>359</v>
      </c>
      <c r="T925" s="42" t="s">
        <v>3891</v>
      </c>
      <c r="U925" s="42" t="s">
        <v>7325</v>
      </c>
      <c r="V925" s="44" t="s">
        <v>3892</v>
      </c>
      <c r="W925" s="42" t="s">
        <v>3892</v>
      </c>
    </row>
    <row r="926" spans="1:23">
      <c r="A926" s="40">
        <v>416</v>
      </c>
      <c r="B926" s="41">
        <v>1451041644</v>
      </c>
      <c r="C926" s="42" t="s">
        <v>7745</v>
      </c>
      <c r="D926" s="42" t="s">
        <v>760</v>
      </c>
      <c r="E926" s="43" t="s">
        <v>8553</v>
      </c>
      <c r="F926" s="42"/>
      <c r="G926" s="42"/>
      <c r="H926" s="43"/>
      <c r="I926" s="42"/>
      <c r="J926" s="42"/>
      <c r="K926" s="42"/>
      <c r="L926" s="42"/>
      <c r="M926" s="42"/>
      <c r="N926" s="42"/>
      <c r="O926" s="42"/>
      <c r="P926" s="42"/>
      <c r="Q926" s="42"/>
      <c r="R926" s="42" t="s">
        <v>7656</v>
      </c>
      <c r="S926" s="42" t="s">
        <v>359</v>
      </c>
      <c r="T926" s="42" t="s">
        <v>3891</v>
      </c>
      <c r="U926" s="42" t="s">
        <v>7325</v>
      </c>
      <c r="V926" s="44" t="s">
        <v>3892</v>
      </c>
      <c r="W926" s="42" t="s">
        <v>3892</v>
      </c>
    </row>
    <row r="927" spans="1:23">
      <c r="A927" s="40">
        <v>417</v>
      </c>
      <c r="B927" s="41">
        <v>1451041341</v>
      </c>
      <c r="C927" s="42" t="s">
        <v>7746</v>
      </c>
      <c r="D927" s="42" t="s">
        <v>760</v>
      </c>
      <c r="E927" s="43" t="s">
        <v>8554</v>
      </c>
      <c r="F927" s="42"/>
      <c r="G927" s="42"/>
      <c r="H927" s="43"/>
      <c r="I927" s="42"/>
      <c r="J927" s="42"/>
      <c r="K927" s="42"/>
      <c r="L927" s="42"/>
      <c r="M927" s="42"/>
      <c r="N927" s="42"/>
      <c r="O927" s="42"/>
      <c r="P927" s="42"/>
      <c r="Q927" s="42"/>
      <c r="R927" s="42" t="s">
        <v>7656</v>
      </c>
      <c r="S927" s="42" t="s">
        <v>359</v>
      </c>
      <c r="T927" s="42" t="s">
        <v>3891</v>
      </c>
      <c r="U927" s="42" t="s">
        <v>7325</v>
      </c>
      <c r="V927" s="44" t="s">
        <v>3892</v>
      </c>
      <c r="W927" s="42" t="s">
        <v>3892</v>
      </c>
    </row>
    <row r="928" spans="1:23">
      <c r="A928" s="40">
        <v>418</v>
      </c>
      <c r="B928" s="41">
        <v>1751041270</v>
      </c>
      <c r="C928" s="42" t="s">
        <v>7747</v>
      </c>
      <c r="D928" s="42" t="s">
        <v>3892</v>
      </c>
      <c r="E928" s="43" t="s">
        <v>7273</v>
      </c>
      <c r="F928" s="42"/>
      <c r="G928" s="42"/>
      <c r="H928" s="43"/>
      <c r="I928" s="42"/>
      <c r="J928" s="42"/>
      <c r="K928" s="42"/>
      <c r="L928" s="42"/>
      <c r="M928" s="42"/>
      <c r="N928" s="42"/>
      <c r="O928" s="42"/>
      <c r="P928" s="42"/>
      <c r="Q928" s="42"/>
      <c r="R928" s="42" t="s">
        <v>7656</v>
      </c>
      <c r="S928" s="42" t="s">
        <v>359</v>
      </c>
      <c r="T928" s="42" t="s">
        <v>3891</v>
      </c>
      <c r="U928" s="42" t="s">
        <v>7325</v>
      </c>
      <c r="V928" s="44" t="s">
        <v>3892</v>
      </c>
      <c r="W928" s="42" t="s">
        <v>3892</v>
      </c>
    </row>
    <row r="929" spans="1:23">
      <c r="A929" s="40">
        <v>419</v>
      </c>
      <c r="B929" s="41">
        <v>1651042938</v>
      </c>
      <c r="C929" s="42" t="s">
        <v>7748</v>
      </c>
      <c r="D929" s="42" t="s">
        <v>760</v>
      </c>
      <c r="E929" s="43" t="s">
        <v>8555</v>
      </c>
      <c r="F929" s="42"/>
      <c r="G929" s="42"/>
      <c r="H929" s="43"/>
      <c r="I929" s="42"/>
      <c r="J929" s="42"/>
      <c r="K929" s="42"/>
      <c r="L929" s="42"/>
      <c r="M929" s="42"/>
      <c r="N929" s="42"/>
      <c r="O929" s="42"/>
      <c r="P929" s="42"/>
      <c r="Q929" s="42"/>
      <c r="R929" s="42" t="s">
        <v>7656</v>
      </c>
      <c r="S929" s="42" t="s">
        <v>359</v>
      </c>
      <c r="T929" s="42" t="s">
        <v>3891</v>
      </c>
      <c r="U929" s="42" t="s">
        <v>7325</v>
      </c>
      <c r="V929" s="44" t="s">
        <v>3892</v>
      </c>
      <c r="W929" s="42" t="s">
        <v>3892</v>
      </c>
    </row>
    <row r="930" spans="1:23">
      <c r="A930" s="40">
        <v>420</v>
      </c>
      <c r="B930" s="41">
        <v>1651041908</v>
      </c>
      <c r="C930" s="42" t="s">
        <v>7749</v>
      </c>
      <c r="D930" s="42" t="s">
        <v>760</v>
      </c>
      <c r="E930" s="43" t="s">
        <v>8556</v>
      </c>
      <c r="F930" s="42"/>
      <c r="G930" s="42"/>
      <c r="H930" s="43"/>
      <c r="I930" s="42"/>
      <c r="J930" s="42"/>
      <c r="K930" s="42"/>
      <c r="L930" s="42"/>
      <c r="M930" s="42"/>
      <c r="N930" s="42"/>
      <c r="O930" s="42"/>
      <c r="P930" s="42"/>
      <c r="Q930" s="42"/>
      <c r="R930" s="42" t="s">
        <v>7656</v>
      </c>
      <c r="S930" s="42" t="s">
        <v>359</v>
      </c>
      <c r="T930" s="42" t="s">
        <v>3891</v>
      </c>
      <c r="U930" s="42" t="s">
        <v>7325</v>
      </c>
      <c r="V930" s="44" t="s">
        <v>3892</v>
      </c>
      <c r="W930" s="42" t="s">
        <v>3892</v>
      </c>
    </row>
    <row r="931" spans="1:23">
      <c r="A931" s="40">
        <v>421</v>
      </c>
      <c r="B931" s="41">
        <v>1451041704</v>
      </c>
      <c r="C931" s="42" t="s">
        <v>7750</v>
      </c>
      <c r="D931" s="42" t="s">
        <v>760</v>
      </c>
      <c r="E931" s="43" t="s">
        <v>8557</v>
      </c>
      <c r="F931" s="42"/>
      <c r="G931" s="42"/>
      <c r="H931" s="43"/>
      <c r="I931" s="42"/>
      <c r="J931" s="42"/>
      <c r="K931" s="42"/>
      <c r="L931" s="42"/>
      <c r="M931" s="42"/>
      <c r="N931" s="42"/>
      <c r="O931" s="42"/>
      <c r="P931" s="42"/>
      <c r="Q931" s="42"/>
      <c r="R931" s="42" t="s">
        <v>7656</v>
      </c>
      <c r="S931" s="42" t="s">
        <v>359</v>
      </c>
      <c r="T931" s="42" t="s">
        <v>3891</v>
      </c>
      <c r="U931" s="42" t="s">
        <v>7325</v>
      </c>
      <c r="V931" s="44" t="s">
        <v>3892</v>
      </c>
      <c r="W931" s="42" t="s">
        <v>3892</v>
      </c>
    </row>
    <row r="932" spans="1:23">
      <c r="A932" s="40">
        <v>422</v>
      </c>
      <c r="B932" s="41">
        <v>1751040201</v>
      </c>
      <c r="C932" s="42" t="s">
        <v>7751</v>
      </c>
      <c r="D932" s="42" t="s">
        <v>760</v>
      </c>
      <c r="E932" s="43" t="s">
        <v>8558</v>
      </c>
      <c r="F932" s="42"/>
      <c r="G932" s="42"/>
      <c r="H932" s="43"/>
      <c r="I932" s="42"/>
      <c r="J932" s="42"/>
      <c r="K932" s="42"/>
      <c r="L932" s="42"/>
      <c r="M932" s="42"/>
      <c r="N932" s="42"/>
      <c r="O932" s="42"/>
      <c r="P932" s="42"/>
      <c r="Q932" s="42"/>
      <c r="R932" s="42" t="s">
        <v>7656</v>
      </c>
      <c r="S932" s="42" t="s">
        <v>359</v>
      </c>
      <c r="T932" s="42" t="s">
        <v>3891</v>
      </c>
      <c r="U932" s="42" t="s">
        <v>7325</v>
      </c>
      <c r="V932" s="44" t="s">
        <v>3892</v>
      </c>
      <c r="W932" s="42" t="s">
        <v>3892</v>
      </c>
    </row>
    <row r="933" spans="1:23">
      <c r="A933" s="40">
        <v>423</v>
      </c>
      <c r="B933" s="41">
        <v>1751040850</v>
      </c>
      <c r="C933" s="42" t="s">
        <v>7752</v>
      </c>
      <c r="D933" s="42" t="s">
        <v>760</v>
      </c>
      <c r="E933" s="43" t="s">
        <v>8559</v>
      </c>
      <c r="F933" s="42"/>
      <c r="G933" s="42"/>
      <c r="H933" s="43"/>
      <c r="I933" s="42"/>
      <c r="J933" s="42"/>
      <c r="K933" s="42"/>
      <c r="L933" s="42"/>
      <c r="M933" s="42"/>
      <c r="N933" s="42"/>
      <c r="O933" s="42"/>
      <c r="P933" s="42"/>
      <c r="Q933" s="42"/>
      <c r="R933" s="42" t="s">
        <v>7656</v>
      </c>
      <c r="S933" s="42" t="s">
        <v>359</v>
      </c>
      <c r="T933" s="42" t="s">
        <v>3891</v>
      </c>
      <c r="U933" s="42" t="s">
        <v>7325</v>
      </c>
      <c r="V933" s="44" t="s">
        <v>3892</v>
      </c>
      <c r="W933" s="42" t="s">
        <v>3892</v>
      </c>
    </row>
    <row r="934" spans="1:23">
      <c r="A934" s="40">
        <v>424</v>
      </c>
      <c r="B934" s="41">
        <v>1751040600</v>
      </c>
      <c r="C934" s="42" t="s">
        <v>7753</v>
      </c>
      <c r="D934" s="42" t="s">
        <v>760</v>
      </c>
      <c r="E934" s="43" t="s">
        <v>8560</v>
      </c>
      <c r="F934" s="42"/>
      <c r="G934" s="42"/>
      <c r="H934" s="43"/>
      <c r="I934" s="42"/>
      <c r="J934" s="42"/>
      <c r="K934" s="42"/>
      <c r="L934" s="42"/>
      <c r="M934" s="42"/>
      <c r="N934" s="42"/>
      <c r="O934" s="42"/>
      <c r="P934" s="42"/>
      <c r="Q934" s="42"/>
      <c r="R934" s="42" t="s">
        <v>7656</v>
      </c>
      <c r="S934" s="42" t="s">
        <v>359</v>
      </c>
      <c r="T934" s="42" t="s">
        <v>3891</v>
      </c>
      <c r="U934" s="42" t="s">
        <v>7325</v>
      </c>
      <c r="V934" s="44" t="s">
        <v>3892</v>
      </c>
      <c r="W934" s="42" t="s">
        <v>3892</v>
      </c>
    </row>
    <row r="935" spans="1:23">
      <c r="A935" s="40">
        <v>425</v>
      </c>
      <c r="B935" s="41">
        <v>1751042231</v>
      </c>
      <c r="C935" s="42" t="s">
        <v>7754</v>
      </c>
      <c r="D935" s="42" t="s">
        <v>760</v>
      </c>
      <c r="E935" s="43" t="s">
        <v>8561</v>
      </c>
      <c r="F935" s="42"/>
      <c r="G935" s="42"/>
      <c r="H935" s="43"/>
      <c r="I935" s="42"/>
      <c r="J935" s="42"/>
      <c r="K935" s="42"/>
      <c r="L935" s="42"/>
      <c r="M935" s="42"/>
      <c r="N935" s="42"/>
      <c r="O935" s="42"/>
      <c r="P935" s="42"/>
      <c r="Q935" s="42"/>
      <c r="R935" s="42" t="s">
        <v>7656</v>
      </c>
      <c r="S935" s="42" t="s">
        <v>359</v>
      </c>
      <c r="T935" s="42" t="s">
        <v>3891</v>
      </c>
      <c r="U935" s="42" t="s">
        <v>7325</v>
      </c>
      <c r="V935" s="44" t="s">
        <v>3892</v>
      </c>
      <c r="W935" s="42" t="s">
        <v>3892</v>
      </c>
    </row>
    <row r="936" spans="1:23">
      <c r="A936" s="40">
        <v>426</v>
      </c>
      <c r="B936" s="41">
        <v>1751040405</v>
      </c>
      <c r="C936" s="42" t="s">
        <v>7755</v>
      </c>
      <c r="D936" s="42" t="s">
        <v>760</v>
      </c>
      <c r="E936" s="43" t="s">
        <v>8562</v>
      </c>
      <c r="F936" s="42"/>
      <c r="G936" s="42"/>
      <c r="H936" s="43"/>
      <c r="I936" s="42"/>
      <c r="J936" s="42"/>
      <c r="K936" s="42"/>
      <c r="L936" s="42"/>
      <c r="M936" s="42"/>
      <c r="N936" s="42"/>
      <c r="O936" s="42"/>
      <c r="P936" s="42"/>
      <c r="Q936" s="42"/>
      <c r="R936" s="42" t="s">
        <v>7656</v>
      </c>
      <c r="S936" s="42" t="s">
        <v>359</v>
      </c>
      <c r="T936" s="42" t="s">
        <v>3891</v>
      </c>
      <c r="U936" s="42" t="s">
        <v>7325</v>
      </c>
      <c r="V936" s="44" t="s">
        <v>3892</v>
      </c>
      <c r="W936" s="42" t="s">
        <v>3892</v>
      </c>
    </row>
    <row r="937" spans="1:23">
      <c r="A937" s="40">
        <v>427</v>
      </c>
      <c r="B937" s="41">
        <v>1851042736</v>
      </c>
      <c r="C937" s="42" t="s">
        <v>7756</v>
      </c>
      <c r="D937" s="42" t="s">
        <v>760</v>
      </c>
      <c r="E937" s="43" t="s">
        <v>8547</v>
      </c>
      <c r="F937" s="42"/>
      <c r="G937" s="42"/>
      <c r="H937" s="43"/>
      <c r="I937" s="42"/>
      <c r="J937" s="42"/>
      <c r="K937" s="42"/>
      <c r="L937" s="42"/>
      <c r="M937" s="42"/>
      <c r="N937" s="42"/>
      <c r="O937" s="42"/>
      <c r="P937" s="42"/>
      <c r="Q937" s="42"/>
      <c r="R937" s="42" t="s">
        <v>7656</v>
      </c>
      <c r="S937" s="42" t="s">
        <v>359</v>
      </c>
      <c r="T937" s="42" t="s">
        <v>3891</v>
      </c>
      <c r="U937" s="42" t="s">
        <v>7325</v>
      </c>
      <c r="V937" s="44" t="s">
        <v>3892</v>
      </c>
      <c r="W937" s="42" t="s">
        <v>3892</v>
      </c>
    </row>
    <row r="938" spans="1:23">
      <c r="A938" s="40">
        <v>428</v>
      </c>
      <c r="B938" s="41">
        <v>1251012645</v>
      </c>
      <c r="C938" s="42" t="s">
        <v>7757</v>
      </c>
      <c r="D938" s="42" t="s">
        <v>760</v>
      </c>
      <c r="E938" s="43" t="s">
        <v>8563</v>
      </c>
      <c r="F938" s="42"/>
      <c r="G938" s="42"/>
      <c r="H938" s="43"/>
      <c r="I938" s="42"/>
      <c r="J938" s="42"/>
      <c r="K938" s="42"/>
      <c r="L938" s="42"/>
      <c r="M938" s="42"/>
      <c r="N938" s="42"/>
      <c r="O938" s="42"/>
      <c r="P938" s="42"/>
      <c r="Q938" s="42"/>
      <c r="R938" s="42" t="s">
        <v>7656</v>
      </c>
      <c r="S938" s="42" t="s">
        <v>359</v>
      </c>
      <c r="T938" s="42" t="s">
        <v>3891</v>
      </c>
      <c r="U938" s="42" t="s">
        <v>7325</v>
      </c>
      <c r="V938" s="44" t="s">
        <v>3892</v>
      </c>
      <c r="W938" s="42" t="s">
        <v>3892</v>
      </c>
    </row>
    <row r="939" spans="1:23">
      <c r="A939" s="40">
        <v>429</v>
      </c>
      <c r="B939" s="41">
        <v>1551043340</v>
      </c>
      <c r="C939" s="42" t="s">
        <v>7758</v>
      </c>
      <c r="D939" s="42" t="s">
        <v>3892</v>
      </c>
      <c r="E939" s="43" t="s">
        <v>7273</v>
      </c>
      <c r="F939" s="42"/>
      <c r="G939" s="42"/>
      <c r="H939" s="43"/>
      <c r="I939" s="42"/>
      <c r="J939" s="42"/>
      <c r="K939" s="42"/>
      <c r="L939" s="42"/>
      <c r="M939" s="42"/>
      <c r="N939" s="42"/>
      <c r="O939" s="42"/>
      <c r="P939" s="42"/>
      <c r="Q939" s="42"/>
      <c r="R939" s="42" t="s">
        <v>7656</v>
      </c>
      <c r="S939" s="42" t="s">
        <v>359</v>
      </c>
      <c r="T939" s="42" t="s">
        <v>3891</v>
      </c>
      <c r="U939" s="42" t="s">
        <v>7325</v>
      </c>
      <c r="V939" s="44" t="s">
        <v>3892</v>
      </c>
      <c r="W939" s="42" t="s">
        <v>3892</v>
      </c>
    </row>
    <row r="940" spans="1:23" ht="60">
      <c r="A940" s="40">
        <v>430</v>
      </c>
      <c r="B940" s="41">
        <v>1851042845</v>
      </c>
      <c r="C940" s="42" t="s">
        <v>7759</v>
      </c>
      <c r="D940" s="42" t="s">
        <v>3892</v>
      </c>
      <c r="E940" s="43" t="s">
        <v>7273</v>
      </c>
      <c r="F940" s="42"/>
      <c r="G940" s="42"/>
      <c r="H940" s="43"/>
      <c r="I940" s="42"/>
      <c r="J940" s="42"/>
      <c r="K940" s="42"/>
      <c r="L940" s="42"/>
      <c r="M940" s="42"/>
      <c r="N940" s="42" t="s">
        <v>7760</v>
      </c>
      <c r="O940" s="42" t="s">
        <v>7761</v>
      </c>
      <c r="P940" s="42" t="s">
        <v>7762</v>
      </c>
      <c r="Q940" s="42" t="s">
        <v>7763</v>
      </c>
      <c r="R940" s="42" t="s">
        <v>7656</v>
      </c>
      <c r="S940" s="42" t="s">
        <v>359</v>
      </c>
      <c r="T940" s="42" t="s">
        <v>3891</v>
      </c>
      <c r="U940" s="42" t="s">
        <v>7325</v>
      </c>
      <c r="V940" s="44" t="s">
        <v>7764</v>
      </c>
      <c r="W940" s="42" t="s">
        <v>3905</v>
      </c>
    </row>
    <row r="941" spans="1:23">
      <c r="A941" s="40">
        <v>431</v>
      </c>
      <c r="B941" s="41">
        <v>1551042984</v>
      </c>
      <c r="C941" s="42" t="s">
        <v>7765</v>
      </c>
      <c r="D941" s="42" t="s">
        <v>760</v>
      </c>
      <c r="E941" s="43" t="s">
        <v>8564</v>
      </c>
      <c r="F941" s="42"/>
      <c r="G941" s="42"/>
      <c r="H941" s="43"/>
      <c r="I941" s="42"/>
      <c r="J941" s="42"/>
      <c r="K941" s="42"/>
      <c r="L941" s="42"/>
      <c r="M941" s="42"/>
      <c r="N941" s="42"/>
      <c r="O941" s="42"/>
      <c r="P941" s="42"/>
      <c r="Q941" s="42"/>
      <c r="R941" s="42" t="s">
        <v>7656</v>
      </c>
      <c r="S941" s="42" t="s">
        <v>359</v>
      </c>
      <c r="T941" s="42" t="s">
        <v>3891</v>
      </c>
      <c r="U941" s="42" t="s">
        <v>7325</v>
      </c>
      <c r="V941" s="44" t="s">
        <v>3892</v>
      </c>
      <c r="W941" s="42" t="s">
        <v>3892</v>
      </c>
    </row>
    <row r="942" spans="1:23">
      <c r="A942" s="40">
        <v>432</v>
      </c>
      <c r="B942" s="41">
        <v>1551043424</v>
      </c>
      <c r="C942" s="42" t="s">
        <v>7766</v>
      </c>
      <c r="D942" s="42" t="s">
        <v>760</v>
      </c>
      <c r="E942" s="43" t="s">
        <v>8565</v>
      </c>
      <c r="F942" s="42"/>
      <c r="G942" s="42"/>
      <c r="H942" s="43"/>
      <c r="I942" s="42"/>
      <c r="J942" s="42"/>
      <c r="K942" s="42"/>
      <c r="L942" s="42"/>
      <c r="M942" s="42"/>
      <c r="N942" s="42"/>
      <c r="O942" s="42"/>
      <c r="P942" s="42"/>
      <c r="Q942" s="42"/>
      <c r="R942" s="42" t="s">
        <v>7656</v>
      </c>
      <c r="S942" s="42" t="s">
        <v>359</v>
      </c>
      <c r="T942" s="42" t="s">
        <v>3891</v>
      </c>
      <c r="U942" s="42" t="s">
        <v>7325</v>
      </c>
      <c r="V942" s="44" t="s">
        <v>3892</v>
      </c>
      <c r="W942" s="42" t="s">
        <v>3892</v>
      </c>
    </row>
    <row r="943" spans="1:23">
      <c r="A943" s="40">
        <v>433</v>
      </c>
      <c r="B943" s="41">
        <v>1651041896</v>
      </c>
      <c r="C943" s="42" t="s">
        <v>7767</v>
      </c>
      <c r="D943" s="42" t="s">
        <v>760</v>
      </c>
      <c r="E943" s="43" t="s">
        <v>8390</v>
      </c>
      <c r="F943" s="42"/>
      <c r="G943" s="42"/>
      <c r="H943" s="43"/>
      <c r="I943" s="42"/>
      <c r="J943" s="42"/>
      <c r="K943" s="42"/>
      <c r="L943" s="42"/>
      <c r="M943" s="42"/>
      <c r="N943" s="42"/>
      <c r="O943" s="42"/>
      <c r="P943" s="42"/>
      <c r="Q943" s="42"/>
      <c r="R943" s="42" t="s">
        <v>7656</v>
      </c>
      <c r="S943" s="42" t="s">
        <v>359</v>
      </c>
      <c r="T943" s="42" t="s">
        <v>3891</v>
      </c>
      <c r="U943" s="42" t="s">
        <v>7325</v>
      </c>
      <c r="V943" s="44" t="s">
        <v>3892</v>
      </c>
      <c r="W943" s="42" t="s">
        <v>3892</v>
      </c>
    </row>
    <row r="944" spans="1:23">
      <c r="A944" s="40">
        <v>434</v>
      </c>
      <c r="B944" s="41">
        <v>1851043176</v>
      </c>
      <c r="C944" s="42" t="s">
        <v>7768</v>
      </c>
      <c r="D944" s="42" t="s">
        <v>760</v>
      </c>
      <c r="E944" s="43" t="s">
        <v>7273</v>
      </c>
      <c r="F944" s="42"/>
      <c r="G944" s="42"/>
      <c r="H944" s="43"/>
      <c r="I944" s="42"/>
      <c r="J944" s="42"/>
      <c r="K944" s="42"/>
      <c r="L944" s="42"/>
      <c r="M944" s="42"/>
      <c r="N944" s="42"/>
      <c r="O944" s="42"/>
      <c r="P944" s="42"/>
      <c r="Q944" s="42"/>
      <c r="R944" s="42" t="s">
        <v>7656</v>
      </c>
      <c r="S944" s="42" t="s">
        <v>359</v>
      </c>
      <c r="T944" s="42" t="s">
        <v>3891</v>
      </c>
      <c r="U944" s="42" t="s">
        <v>7325</v>
      </c>
      <c r="V944" s="44" t="s">
        <v>3892</v>
      </c>
      <c r="W944" s="42" t="s">
        <v>3892</v>
      </c>
    </row>
    <row r="945" spans="1:23">
      <c r="A945" s="40">
        <v>435</v>
      </c>
      <c r="B945" s="41">
        <v>1651042845</v>
      </c>
      <c r="C945" s="42" t="s">
        <v>7769</v>
      </c>
      <c r="D945" s="42" t="s">
        <v>760</v>
      </c>
      <c r="E945" s="43" t="s">
        <v>8566</v>
      </c>
      <c r="F945" s="42"/>
      <c r="G945" s="42"/>
      <c r="H945" s="43"/>
      <c r="I945" s="42"/>
      <c r="J945" s="42"/>
      <c r="K945" s="42"/>
      <c r="L945" s="42"/>
      <c r="M945" s="42"/>
      <c r="N945" s="42"/>
      <c r="O945" s="42"/>
      <c r="P945" s="42"/>
      <c r="Q945" s="42"/>
      <c r="R945" s="42" t="s">
        <v>7656</v>
      </c>
      <c r="S945" s="42" t="s">
        <v>359</v>
      </c>
      <c r="T945" s="42" t="s">
        <v>3891</v>
      </c>
      <c r="U945" s="42" t="s">
        <v>7325</v>
      </c>
      <c r="V945" s="44" t="s">
        <v>3892</v>
      </c>
      <c r="W945" s="42" t="s">
        <v>3892</v>
      </c>
    </row>
    <row r="946" spans="1:23">
      <c r="A946" s="40">
        <v>436</v>
      </c>
      <c r="B946" s="41">
        <v>1651042924</v>
      </c>
      <c r="C946" s="42" t="s">
        <v>7770</v>
      </c>
      <c r="D946" s="42" t="s">
        <v>760</v>
      </c>
      <c r="E946" s="43" t="s">
        <v>8567</v>
      </c>
      <c r="F946" s="42"/>
      <c r="G946" s="42"/>
      <c r="H946" s="43"/>
      <c r="I946" s="42"/>
      <c r="J946" s="42"/>
      <c r="K946" s="42"/>
      <c r="L946" s="42"/>
      <c r="M946" s="42"/>
      <c r="N946" s="42"/>
      <c r="O946" s="42"/>
      <c r="P946" s="42"/>
      <c r="Q946" s="42"/>
      <c r="R946" s="42" t="s">
        <v>7656</v>
      </c>
      <c r="S946" s="42" t="s">
        <v>359</v>
      </c>
      <c r="T946" s="42" t="s">
        <v>3891</v>
      </c>
      <c r="U946" s="42" t="s">
        <v>7325</v>
      </c>
      <c r="V946" s="44" t="s">
        <v>3892</v>
      </c>
      <c r="W946" s="42" t="s">
        <v>3892</v>
      </c>
    </row>
    <row r="947" spans="1:23">
      <c r="A947" s="40">
        <v>437</v>
      </c>
      <c r="B947" s="41">
        <v>1751040359</v>
      </c>
      <c r="C947" s="42" t="s">
        <v>7771</v>
      </c>
      <c r="D947" s="42" t="s">
        <v>3892</v>
      </c>
      <c r="E947" s="43" t="s">
        <v>7273</v>
      </c>
      <c r="F947" s="42"/>
      <c r="G947" s="42"/>
      <c r="H947" s="43"/>
      <c r="I947" s="42"/>
      <c r="J947" s="42"/>
      <c r="K947" s="42"/>
      <c r="L947" s="42"/>
      <c r="M947" s="42"/>
      <c r="N947" s="42"/>
      <c r="O947" s="42"/>
      <c r="P947" s="42"/>
      <c r="Q947" s="42"/>
      <c r="R947" s="42" t="s">
        <v>7656</v>
      </c>
      <c r="S947" s="42" t="s">
        <v>359</v>
      </c>
      <c r="T947" s="42" t="s">
        <v>3891</v>
      </c>
      <c r="U947" s="42" t="s">
        <v>7325</v>
      </c>
      <c r="V947" s="44" t="s">
        <v>3892</v>
      </c>
      <c r="W947" s="42" t="s">
        <v>3892</v>
      </c>
    </row>
    <row r="948" spans="1:23">
      <c r="A948" s="40">
        <v>438</v>
      </c>
      <c r="B948" s="41">
        <v>1551012828</v>
      </c>
      <c r="C948" s="42" t="s">
        <v>7772</v>
      </c>
      <c r="D948" s="42" t="s">
        <v>3892</v>
      </c>
      <c r="E948" s="43" t="s">
        <v>7273</v>
      </c>
      <c r="F948" s="42"/>
      <c r="G948" s="42"/>
      <c r="H948" s="43"/>
      <c r="I948" s="42"/>
      <c r="J948" s="42"/>
      <c r="K948" s="42"/>
      <c r="L948" s="42"/>
      <c r="M948" s="42"/>
      <c r="N948" s="42"/>
      <c r="O948" s="42"/>
      <c r="P948" s="42"/>
      <c r="Q948" s="42"/>
      <c r="R948" s="42" t="s">
        <v>7656</v>
      </c>
      <c r="S948" s="42" t="s">
        <v>359</v>
      </c>
      <c r="T948" s="42" t="s">
        <v>3891</v>
      </c>
      <c r="U948" s="42" t="s">
        <v>7325</v>
      </c>
      <c r="V948" s="44" t="s">
        <v>3892</v>
      </c>
      <c r="W948" s="42" t="s">
        <v>7345</v>
      </c>
    </row>
    <row r="949" spans="1:23">
      <c r="A949" s="40">
        <v>439</v>
      </c>
      <c r="B949" s="41">
        <v>1551043446</v>
      </c>
      <c r="C949" s="42" t="s">
        <v>7773</v>
      </c>
      <c r="D949" s="42" t="s">
        <v>760</v>
      </c>
      <c r="E949" s="43" t="s">
        <v>8568</v>
      </c>
      <c r="F949" s="42"/>
      <c r="G949" s="42"/>
      <c r="H949" s="43"/>
      <c r="I949" s="42"/>
      <c r="J949" s="42"/>
      <c r="K949" s="42"/>
      <c r="L949" s="42"/>
      <c r="M949" s="42"/>
      <c r="N949" s="42"/>
      <c r="O949" s="42"/>
      <c r="P949" s="42"/>
      <c r="Q949" s="42"/>
      <c r="R949" s="42" t="s">
        <v>7656</v>
      </c>
      <c r="S949" s="42" t="s">
        <v>359</v>
      </c>
      <c r="T949" s="42" t="s">
        <v>3891</v>
      </c>
      <c r="U949" s="42" t="s">
        <v>7325</v>
      </c>
      <c r="V949" s="44" t="s">
        <v>3892</v>
      </c>
      <c r="W949" s="42" t="s">
        <v>3892</v>
      </c>
    </row>
    <row r="950" spans="1:23">
      <c r="A950" s="40">
        <v>440</v>
      </c>
      <c r="B950" s="41">
        <v>1651041517</v>
      </c>
      <c r="C950" s="42" t="s">
        <v>7774</v>
      </c>
      <c r="D950" s="42" t="s">
        <v>760</v>
      </c>
      <c r="E950" s="43" t="s">
        <v>8569</v>
      </c>
      <c r="F950" s="42"/>
      <c r="G950" s="42"/>
      <c r="H950" s="43"/>
      <c r="I950" s="42"/>
      <c r="J950" s="42"/>
      <c r="K950" s="42"/>
      <c r="L950" s="42"/>
      <c r="M950" s="42"/>
      <c r="N950" s="42"/>
      <c r="O950" s="42"/>
      <c r="P950" s="42"/>
      <c r="Q950" s="42"/>
      <c r="R950" s="42" t="s">
        <v>7656</v>
      </c>
      <c r="S950" s="42" t="s">
        <v>359</v>
      </c>
      <c r="T950" s="42" t="s">
        <v>3891</v>
      </c>
      <c r="U950" s="42" t="s">
        <v>7325</v>
      </c>
      <c r="V950" s="44" t="s">
        <v>3892</v>
      </c>
      <c r="W950" s="42" t="s">
        <v>3892</v>
      </c>
    </row>
    <row r="951" spans="1:23">
      <c r="A951" s="40">
        <v>441</v>
      </c>
      <c r="B951" s="41">
        <v>1651041931</v>
      </c>
      <c r="C951" s="42" t="s">
        <v>7775</v>
      </c>
      <c r="D951" s="42" t="s">
        <v>760</v>
      </c>
      <c r="E951" s="43" t="s">
        <v>8570</v>
      </c>
      <c r="F951" s="42"/>
      <c r="G951" s="42"/>
      <c r="H951" s="43"/>
      <c r="I951" s="42"/>
      <c r="J951" s="42"/>
      <c r="K951" s="42"/>
      <c r="L951" s="42"/>
      <c r="M951" s="42"/>
      <c r="N951" s="42"/>
      <c r="O951" s="42"/>
      <c r="P951" s="42"/>
      <c r="Q951" s="42"/>
      <c r="R951" s="42" t="s">
        <v>7656</v>
      </c>
      <c r="S951" s="42" t="s">
        <v>359</v>
      </c>
      <c r="T951" s="42" t="s">
        <v>3891</v>
      </c>
      <c r="U951" s="42" t="s">
        <v>7325</v>
      </c>
      <c r="V951" s="44" t="s">
        <v>3892</v>
      </c>
      <c r="W951" s="42" t="s">
        <v>3892</v>
      </c>
    </row>
    <row r="952" spans="1:23">
      <c r="A952" s="40">
        <v>442</v>
      </c>
      <c r="B952" s="41">
        <v>1551012848</v>
      </c>
      <c r="C952" s="42" t="s">
        <v>7776</v>
      </c>
      <c r="D952" s="42" t="s">
        <v>760</v>
      </c>
      <c r="E952" s="43" t="s">
        <v>8571</v>
      </c>
      <c r="F952" s="42"/>
      <c r="G952" s="42"/>
      <c r="H952" s="43"/>
      <c r="I952" s="42"/>
      <c r="J952" s="42"/>
      <c r="K952" s="42"/>
      <c r="L952" s="42"/>
      <c r="M952" s="42"/>
      <c r="N952" s="42"/>
      <c r="O952" s="42"/>
      <c r="P952" s="42"/>
      <c r="Q952" s="42"/>
      <c r="R952" s="42" t="s">
        <v>7656</v>
      </c>
      <c r="S952" s="42" t="s">
        <v>359</v>
      </c>
      <c r="T952" s="42" t="s">
        <v>3891</v>
      </c>
      <c r="U952" s="42" t="s">
        <v>7325</v>
      </c>
      <c r="V952" s="44" t="s">
        <v>3892</v>
      </c>
      <c r="W952" s="42" t="s">
        <v>3892</v>
      </c>
    </row>
    <row r="953" spans="1:23">
      <c r="A953" s="40">
        <v>443</v>
      </c>
      <c r="B953" s="41">
        <v>1551043540</v>
      </c>
      <c r="C953" s="42" t="s">
        <v>7777</v>
      </c>
      <c r="D953" s="42" t="s">
        <v>760</v>
      </c>
      <c r="E953" s="43" t="s">
        <v>8572</v>
      </c>
      <c r="F953" s="42"/>
      <c r="G953" s="42"/>
      <c r="H953" s="43"/>
      <c r="I953" s="42"/>
      <c r="J953" s="42"/>
      <c r="K953" s="42"/>
      <c r="L953" s="42"/>
      <c r="M953" s="42"/>
      <c r="N953" s="42"/>
      <c r="O953" s="42"/>
      <c r="P953" s="42"/>
      <c r="Q953" s="42"/>
      <c r="R953" s="42" t="s">
        <v>7656</v>
      </c>
      <c r="S953" s="42" t="s">
        <v>359</v>
      </c>
      <c r="T953" s="42" t="s">
        <v>3891</v>
      </c>
      <c r="U953" s="42" t="s">
        <v>7325</v>
      </c>
      <c r="V953" s="44" t="s">
        <v>3892</v>
      </c>
      <c r="W953" s="42" t="s">
        <v>3892</v>
      </c>
    </row>
    <row r="954" spans="1:23">
      <c r="A954" s="40">
        <v>444</v>
      </c>
      <c r="B954" s="41">
        <v>1851042930</v>
      </c>
      <c r="C954" s="42" t="s">
        <v>7778</v>
      </c>
      <c r="D954" s="42" t="s">
        <v>760</v>
      </c>
      <c r="E954" s="43" t="s">
        <v>8573</v>
      </c>
      <c r="F954" s="42"/>
      <c r="G954" s="42"/>
      <c r="H954" s="43"/>
      <c r="I954" s="42"/>
      <c r="J954" s="42"/>
      <c r="K954" s="42"/>
      <c r="L954" s="42"/>
      <c r="M954" s="42"/>
      <c r="N954" s="42"/>
      <c r="O954" s="42"/>
      <c r="P954" s="42"/>
      <c r="Q954" s="42"/>
      <c r="R954" s="42" t="s">
        <v>7656</v>
      </c>
      <c r="S954" s="42" t="s">
        <v>359</v>
      </c>
      <c r="T954" s="42" t="s">
        <v>3891</v>
      </c>
      <c r="U954" s="42" t="s">
        <v>7325</v>
      </c>
      <c r="V954" s="44" t="s">
        <v>3892</v>
      </c>
      <c r="W954" s="42" t="s">
        <v>3892</v>
      </c>
    </row>
    <row r="955" spans="1:23">
      <c r="A955" s="40">
        <v>445</v>
      </c>
      <c r="B955" s="41">
        <v>1751040315</v>
      </c>
      <c r="C955" s="42" t="s">
        <v>7779</v>
      </c>
      <c r="D955" s="42" t="s">
        <v>760</v>
      </c>
      <c r="E955" s="43" t="s">
        <v>8574</v>
      </c>
      <c r="F955" s="42"/>
      <c r="G955" s="42"/>
      <c r="H955" s="43"/>
      <c r="I955" s="42"/>
      <c r="J955" s="42"/>
      <c r="K955" s="42"/>
      <c r="L955" s="42"/>
      <c r="M955" s="42"/>
      <c r="N955" s="42"/>
      <c r="O955" s="42"/>
      <c r="P955" s="42"/>
      <c r="Q955" s="42"/>
      <c r="R955" s="42" t="s">
        <v>7656</v>
      </c>
      <c r="S955" s="42" t="s">
        <v>359</v>
      </c>
      <c r="T955" s="42" t="s">
        <v>3891</v>
      </c>
      <c r="U955" s="42" t="s">
        <v>7325</v>
      </c>
      <c r="V955" s="44" t="s">
        <v>3892</v>
      </c>
      <c r="W955" s="42" t="s">
        <v>3892</v>
      </c>
    </row>
    <row r="956" spans="1:23">
      <c r="A956" s="40">
        <v>446</v>
      </c>
      <c r="B956" s="41">
        <v>1551043549</v>
      </c>
      <c r="C956" s="42" t="s">
        <v>7780</v>
      </c>
      <c r="D956" s="42" t="s">
        <v>760</v>
      </c>
      <c r="E956" s="43" t="s">
        <v>8575</v>
      </c>
      <c r="F956" s="42"/>
      <c r="G956" s="42"/>
      <c r="H956" s="43"/>
      <c r="I956" s="42"/>
      <c r="J956" s="42"/>
      <c r="K956" s="42"/>
      <c r="L956" s="42"/>
      <c r="M956" s="42"/>
      <c r="N956" s="42"/>
      <c r="O956" s="42"/>
      <c r="P956" s="42"/>
      <c r="Q956" s="42"/>
      <c r="R956" s="42" t="s">
        <v>7656</v>
      </c>
      <c r="S956" s="42" t="s">
        <v>359</v>
      </c>
      <c r="T956" s="42" t="s">
        <v>3891</v>
      </c>
      <c r="U956" s="42" t="s">
        <v>7325</v>
      </c>
      <c r="V956" s="44" t="s">
        <v>3892</v>
      </c>
      <c r="W956" s="42" t="s">
        <v>3892</v>
      </c>
    </row>
    <row r="957" spans="1:23">
      <c r="A957" s="40">
        <v>447</v>
      </c>
      <c r="B957" s="41">
        <v>1751041876</v>
      </c>
      <c r="C957" s="42" t="s">
        <v>7781</v>
      </c>
      <c r="D957" s="42" t="s">
        <v>760</v>
      </c>
      <c r="E957" s="43" t="s">
        <v>8576</v>
      </c>
      <c r="F957" s="42"/>
      <c r="G957" s="42"/>
      <c r="H957" s="43"/>
      <c r="I957" s="42"/>
      <c r="J957" s="42"/>
      <c r="K957" s="42"/>
      <c r="L957" s="42"/>
      <c r="M957" s="42"/>
      <c r="N957" s="42"/>
      <c r="O957" s="42"/>
      <c r="P957" s="42"/>
      <c r="Q957" s="42"/>
      <c r="R957" s="42" t="s">
        <v>7656</v>
      </c>
      <c r="S957" s="42" t="s">
        <v>359</v>
      </c>
      <c r="T957" s="42" t="s">
        <v>3891</v>
      </c>
      <c r="U957" s="42" t="s">
        <v>7325</v>
      </c>
      <c r="V957" s="44" t="s">
        <v>3892</v>
      </c>
      <c r="W957" s="42" t="s">
        <v>3892</v>
      </c>
    </row>
    <row r="958" spans="1:23">
      <c r="A958" s="40">
        <v>448</v>
      </c>
      <c r="B958" s="41">
        <v>1651042887</v>
      </c>
      <c r="C958" s="42" t="s">
        <v>7782</v>
      </c>
      <c r="D958" s="42" t="s">
        <v>760</v>
      </c>
      <c r="E958" s="43" t="s">
        <v>8577</v>
      </c>
      <c r="F958" s="42"/>
      <c r="G958" s="42"/>
      <c r="H958" s="43"/>
      <c r="I958" s="42"/>
      <c r="J958" s="42"/>
      <c r="K958" s="42"/>
      <c r="L958" s="42"/>
      <c r="M958" s="42"/>
      <c r="N958" s="42"/>
      <c r="O958" s="42"/>
      <c r="P958" s="42"/>
      <c r="Q958" s="42"/>
      <c r="R958" s="42" t="s">
        <v>7656</v>
      </c>
      <c r="S958" s="42" t="s">
        <v>359</v>
      </c>
      <c r="T958" s="42" t="s">
        <v>3891</v>
      </c>
      <c r="U958" s="42" t="s">
        <v>7325</v>
      </c>
      <c r="V958" s="44" t="s">
        <v>3892</v>
      </c>
      <c r="W958" s="42" t="s">
        <v>3892</v>
      </c>
    </row>
    <row r="959" spans="1:23">
      <c r="A959" s="40">
        <v>449</v>
      </c>
      <c r="B959" s="41">
        <v>1751040577</v>
      </c>
      <c r="C959" s="42" t="s">
        <v>7783</v>
      </c>
      <c r="D959" s="42" t="s">
        <v>760</v>
      </c>
      <c r="E959" s="43" t="s">
        <v>8578</v>
      </c>
      <c r="F959" s="42"/>
      <c r="G959" s="42"/>
      <c r="H959" s="43"/>
      <c r="I959" s="42"/>
      <c r="J959" s="42"/>
      <c r="K959" s="42"/>
      <c r="L959" s="42"/>
      <c r="M959" s="42"/>
      <c r="N959" s="42"/>
      <c r="O959" s="42"/>
      <c r="P959" s="42"/>
      <c r="Q959" s="42"/>
      <c r="R959" s="42" t="s">
        <v>7656</v>
      </c>
      <c r="S959" s="42" t="s">
        <v>359</v>
      </c>
      <c r="T959" s="42" t="s">
        <v>3891</v>
      </c>
      <c r="U959" s="42" t="s">
        <v>7325</v>
      </c>
      <c r="V959" s="44" t="s">
        <v>3892</v>
      </c>
      <c r="W959" s="42" t="s">
        <v>3892</v>
      </c>
    </row>
    <row r="960" spans="1:23">
      <c r="A960" s="40">
        <v>450</v>
      </c>
      <c r="B960" s="41">
        <v>1651042127</v>
      </c>
      <c r="C960" s="42" t="s">
        <v>7784</v>
      </c>
      <c r="D960" s="42" t="s">
        <v>760</v>
      </c>
      <c r="E960" s="43" t="s">
        <v>8579</v>
      </c>
      <c r="F960" s="42"/>
      <c r="G960" s="42"/>
      <c r="H960" s="43"/>
      <c r="I960" s="42"/>
      <c r="J960" s="42"/>
      <c r="K960" s="42"/>
      <c r="L960" s="42"/>
      <c r="M960" s="42"/>
      <c r="N960" s="42"/>
      <c r="O960" s="42"/>
      <c r="P960" s="42"/>
      <c r="Q960" s="42"/>
      <c r="R960" s="42" t="s">
        <v>7656</v>
      </c>
      <c r="S960" s="42" t="s">
        <v>359</v>
      </c>
      <c r="T960" s="42" t="s">
        <v>3891</v>
      </c>
      <c r="U960" s="42" t="s">
        <v>7325</v>
      </c>
      <c r="V960" s="44" t="s">
        <v>3892</v>
      </c>
      <c r="W960" s="42" t="s">
        <v>3892</v>
      </c>
    </row>
    <row r="961" spans="1:23">
      <c r="A961" s="40">
        <v>451</v>
      </c>
      <c r="B961" s="41">
        <v>1551043445</v>
      </c>
      <c r="C961" s="42" t="s">
        <v>7785</v>
      </c>
      <c r="D961" s="42" t="s">
        <v>760</v>
      </c>
      <c r="E961" s="43" t="s">
        <v>8499</v>
      </c>
      <c r="F961" s="42"/>
      <c r="G961" s="42"/>
      <c r="H961" s="43"/>
      <c r="I961" s="42"/>
      <c r="J961" s="42"/>
      <c r="K961" s="42"/>
      <c r="L961" s="42"/>
      <c r="M961" s="42"/>
      <c r="N961" s="42"/>
      <c r="O961" s="42"/>
      <c r="P961" s="42"/>
      <c r="Q961" s="42"/>
      <c r="R961" s="42" t="s">
        <v>7656</v>
      </c>
      <c r="S961" s="42" t="s">
        <v>359</v>
      </c>
      <c r="T961" s="42" t="s">
        <v>3891</v>
      </c>
      <c r="U961" s="42" t="s">
        <v>7325</v>
      </c>
      <c r="V961" s="44" t="s">
        <v>3892</v>
      </c>
      <c r="W961" s="42" t="s">
        <v>3892</v>
      </c>
    </row>
    <row r="962" spans="1:23">
      <c r="A962" s="40">
        <v>452</v>
      </c>
      <c r="B962" s="41">
        <v>1551042923</v>
      </c>
      <c r="C962" s="42" t="s">
        <v>7786</v>
      </c>
      <c r="D962" s="42" t="s">
        <v>760</v>
      </c>
      <c r="E962" s="43" t="s">
        <v>8580</v>
      </c>
      <c r="F962" s="42"/>
      <c r="G962" s="42"/>
      <c r="H962" s="43"/>
      <c r="I962" s="42"/>
      <c r="J962" s="42"/>
      <c r="K962" s="42"/>
      <c r="L962" s="42"/>
      <c r="M962" s="42"/>
      <c r="N962" s="42"/>
      <c r="O962" s="42"/>
      <c r="P962" s="42"/>
      <c r="Q962" s="42"/>
      <c r="R962" s="42" t="s">
        <v>7656</v>
      </c>
      <c r="S962" s="42" t="s">
        <v>359</v>
      </c>
      <c r="T962" s="42" t="s">
        <v>3891</v>
      </c>
      <c r="U962" s="42" t="s">
        <v>7325</v>
      </c>
      <c r="V962" s="44" t="s">
        <v>3892</v>
      </c>
      <c r="W962" s="42" t="s">
        <v>3892</v>
      </c>
    </row>
    <row r="963" spans="1:23">
      <c r="A963" s="40">
        <v>453</v>
      </c>
      <c r="B963" s="41">
        <v>1651042965</v>
      </c>
      <c r="C963" s="42" t="s">
        <v>7787</v>
      </c>
      <c r="D963" s="42" t="s">
        <v>760</v>
      </c>
      <c r="E963" s="43" t="s">
        <v>8581</v>
      </c>
      <c r="F963" s="42"/>
      <c r="G963" s="42"/>
      <c r="H963" s="43"/>
      <c r="I963" s="42"/>
      <c r="J963" s="42"/>
      <c r="K963" s="42"/>
      <c r="L963" s="42"/>
      <c r="M963" s="42"/>
      <c r="N963" s="42"/>
      <c r="O963" s="42"/>
      <c r="P963" s="42"/>
      <c r="Q963" s="42"/>
      <c r="R963" s="42" t="s">
        <v>7656</v>
      </c>
      <c r="S963" s="42" t="s">
        <v>359</v>
      </c>
      <c r="T963" s="42" t="s">
        <v>3891</v>
      </c>
      <c r="U963" s="42" t="s">
        <v>7325</v>
      </c>
      <c r="V963" s="44" t="s">
        <v>3892</v>
      </c>
      <c r="W963" s="42" t="s">
        <v>3892</v>
      </c>
    </row>
    <row r="964" spans="1:23">
      <c r="A964" s="40">
        <v>454</v>
      </c>
      <c r="B964" s="41">
        <v>1751040575</v>
      </c>
      <c r="C964" s="42" t="s">
        <v>7788</v>
      </c>
      <c r="D964" s="42" t="s">
        <v>760</v>
      </c>
      <c r="E964" s="43" t="s">
        <v>8582</v>
      </c>
      <c r="F964" s="42"/>
      <c r="G964" s="42"/>
      <c r="H964" s="43"/>
      <c r="I964" s="42"/>
      <c r="J964" s="42"/>
      <c r="K964" s="42"/>
      <c r="L964" s="42"/>
      <c r="M964" s="42"/>
      <c r="N964" s="42"/>
      <c r="O964" s="42"/>
      <c r="P964" s="42"/>
      <c r="Q964" s="42"/>
      <c r="R964" s="42" t="s">
        <v>7656</v>
      </c>
      <c r="S964" s="42" t="s">
        <v>359</v>
      </c>
      <c r="T964" s="42" t="s">
        <v>3891</v>
      </c>
      <c r="U964" s="42" t="s">
        <v>7325</v>
      </c>
      <c r="V964" s="44" t="s">
        <v>3892</v>
      </c>
      <c r="W964" s="42" t="s">
        <v>3892</v>
      </c>
    </row>
    <row r="965" spans="1:23">
      <c r="A965" s="40">
        <v>455</v>
      </c>
      <c r="B965" s="41">
        <v>1551043366</v>
      </c>
      <c r="C965" s="42" t="s">
        <v>7789</v>
      </c>
      <c r="D965" s="42" t="s">
        <v>760</v>
      </c>
      <c r="E965" s="43" t="s">
        <v>8583</v>
      </c>
      <c r="F965" s="42"/>
      <c r="G965" s="42"/>
      <c r="H965" s="43"/>
      <c r="I965" s="42"/>
      <c r="J965" s="42"/>
      <c r="K965" s="42"/>
      <c r="L965" s="42"/>
      <c r="M965" s="42"/>
      <c r="N965" s="42"/>
      <c r="O965" s="42"/>
      <c r="P965" s="42"/>
      <c r="Q965" s="42"/>
      <c r="R965" s="42" t="s">
        <v>7656</v>
      </c>
      <c r="S965" s="42" t="s">
        <v>359</v>
      </c>
      <c r="T965" s="42" t="s">
        <v>3891</v>
      </c>
      <c r="U965" s="42" t="s">
        <v>7325</v>
      </c>
      <c r="V965" s="44" t="s">
        <v>3892</v>
      </c>
      <c r="W965" s="42" t="s">
        <v>3892</v>
      </c>
    </row>
    <row r="966" spans="1:23">
      <c r="A966" s="40">
        <v>456</v>
      </c>
      <c r="B966" s="41">
        <v>1551043319</v>
      </c>
      <c r="C966" s="42" t="s">
        <v>7790</v>
      </c>
      <c r="D966" s="42" t="s">
        <v>760</v>
      </c>
      <c r="E966" s="43" t="s">
        <v>8584</v>
      </c>
      <c r="F966" s="42"/>
      <c r="G966" s="42"/>
      <c r="H966" s="43"/>
      <c r="I966" s="42"/>
      <c r="J966" s="42"/>
      <c r="K966" s="42"/>
      <c r="L966" s="42"/>
      <c r="M966" s="42"/>
      <c r="N966" s="42"/>
      <c r="O966" s="42"/>
      <c r="P966" s="42"/>
      <c r="Q966" s="42"/>
      <c r="R966" s="42" t="s">
        <v>7656</v>
      </c>
      <c r="S966" s="42" t="s">
        <v>359</v>
      </c>
      <c r="T966" s="42" t="s">
        <v>3891</v>
      </c>
      <c r="U966" s="42" t="s">
        <v>7325</v>
      </c>
      <c r="V966" s="44" t="s">
        <v>3892</v>
      </c>
      <c r="W966" s="42" t="s">
        <v>3892</v>
      </c>
    </row>
    <row r="967" spans="1:23">
      <c r="A967" s="40">
        <v>457</v>
      </c>
      <c r="B967" s="41">
        <v>1651042838</v>
      </c>
      <c r="C967" s="42" t="s">
        <v>7791</v>
      </c>
      <c r="D967" s="42" t="s">
        <v>760</v>
      </c>
      <c r="E967" s="43" t="s">
        <v>8585</v>
      </c>
      <c r="F967" s="42"/>
      <c r="G967" s="42"/>
      <c r="H967" s="43"/>
      <c r="I967" s="42"/>
      <c r="J967" s="42"/>
      <c r="K967" s="42"/>
      <c r="L967" s="42"/>
      <c r="M967" s="42"/>
      <c r="N967" s="42"/>
      <c r="O967" s="42"/>
      <c r="P967" s="42"/>
      <c r="Q967" s="42"/>
      <c r="R967" s="42" t="s">
        <v>7656</v>
      </c>
      <c r="S967" s="42" t="s">
        <v>359</v>
      </c>
      <c r="T967" s="42" t="s">
        <v>3891</v>
      </c>
      <c r="U967" s="42" t="s">
        <v>7325</v>
      </c>
      <c r="V967" s="44" t="s">
        <v>3892</v>
      </c>
      <c r="W967" s="42" t="s">
        <v>3892</v>
      </c>
    </row>
    <row r="968" spans="1:23">
      <c r="A968" s="40">
        <v>458</v>
      </c>
      <c r="B968" s="41">
        <v>1651042896</v>
      </c>
      <c r="C968" s="42" t="s">
        <v>7792</v>
      </c>
      <c r="D968" s="42" t="s">
        <v>760</v>
      </c>
      <c r="E968" s="43" t="s">
        <v>8530</v>
      </c>
      <c r="F968" s="42"/>
      <c r="G968" s="42"/>
      <c r="H968" s="43"/>
      <c r="I968" s="42"/>
      <c r="J968" s="42"/>
      <c r="K968" s="42"/>
      <c r="L968" s="42"/>
      <c r="M968" s="42"/>
      <c r="N968" s="42"/>
      <c r="O968" s="42"/>
      <c r="P968" s="42"/>
      <c r="Q968" s="42"/>
      <c r="R968" s="42" t="s">
        <v>7656</v>
      </c>
      <c r="S968" s="42" t="s">
        <v>359</v>
      </c>
      <c r="T968" s="42" t="s">
        <v>3891</v>
      </c>
      <c r="U968" s="42" t="s">
        <v>7325</v>
      </c>
      <c r="V968" s="44" t="s">
        <v>3892</v>
      </c>
      <c r="W968" s="42" t="s">
        <v>3892</v>
      </c>
    </row>
    <row r="969" spans="1:23">
      <c r="A969" s="40">
        <v>459</v>
      </c>
      <c r="B969" s="41">
        <v>1651042074</v>
      </c>
      <c r="C969" s="42" t="s">
        <v>7793</v>
      </c>
      <c r="D969" s="42" t="s">
        <v>760</v>
      </c>
      <c r="E969" s="43" t="s">
        <v>8586</v>
      </c>
      <c r="F969" s="42"/>
      <c r="G969" s="42"/>
      <c r="H969" s="43"/>
      <c r="I969" s="42"/>
      <c r="J969" s="42"/>
      <c r="K969" s="42"/>
      <c r="L969" s="42"/>
      <c r="M969" s="42"/>
      <c r="N969" s="42"/>
      <c r="O969" s="42"/>
      <c r="P969" s="42"/>
      <c r="Q969" s="42"/>
      <c r="R969" s="42" t="s">
        <v>7656</v>
      </c>
      <c r="S969" s="42" t="s">
        <v>359</v>
      </c>
      <c r="T969" s="42" t="s">
        <v>3891</v>
      </c>
      <c r="U969" s="42" t="s">
        <v>7325</v>
      </c>
      <c r="V969" s="44" t="s">
        <v>3892</v>
      </c>
      <c r="W969" s="42" t="s">
        <v>3892</v>
      </c>
    </row>
    <row r="970" spans="1:23">
      <c r="A970" s="40">
        <v>460</v>
      </c>
      <c r="B970" s="41">
        <v>1551042925</v>
      </c>
      <c r="C970" s="42" t="s">
        <v>7794</v>
      </c>
      <c r="D970" s="42" t="s">
        <v>760</v>
      </c>
      <c r="E970" s="43" t="s">
        <v>8587</v>
      </c>
      <c r="F970" s="42"/>
      <c r="G970" s="42"/>
      <c r="H970" s="43"/>
      <c r="I970" s="42"/>
      <c r="J970" s="42"/>
      <c r="K970" s="42"/>
      <c r="L970" s="42"/>
      <c r="M970" s="42"/>
      <c r="N970" s="42"/>
      <c r="O970" s="42"/>
      <c r="P970" s="42"/>
      <c r="Q970" s="42"/>
      <c r="R970" s="42" t="s">
        <v>7656</v>
      </c>
      <c r="S970" s="42" t="s">
        <v>359</v>
      </c>
      <c r="T970" s="42" t="s">
        <v>3891</v>
      </c>
      <c r="U970" s="42" t="s">
        <v>7325</v>
      </c>
      <c r="V970" s="44" t="s">
        <v>3892</v>
      </c>
      <c r="W970" s="42" t="s">
        <v>3892</v>
      </c>
    </row>
    <row r="971" spans="1:23">
      <c r="A971" s="40">
        <v>461</v>
      </c>
      <c r="B971" s="41">
        <v>1651041715</v>
      </c>
      <c r="C971" s="42" t="s">
        <v>7795</v>
      </c>
      <c r="D971" s="42" t="s">
        <v>760</v>
      </c>
      <c r="E971" s="43" t="s">
        <v>1162</v>
      </c>
      <c r="F971" s="42"/>
      <c r="G971" s="42"/>
      <c r="H971" s="43"/>
      <c r="I971" s="42"/>
      <c r="J971" s="42"/>
      <c r="K971" s="42"/>
      <c r="L971" s="42"/>
      <c r="M971" s="42"/>
      <c r="N971" s="42"/>
      <c r="O971" s="42"/>
      <c r="P971" s="42"/>
      <c r="Q971" s="42"/>
      <c r="R971" s="42" t="s">
        <v>7656</v>
      </c>
      <c r="S971" s="42" t="s">
        <v>359</v>
      </c>
      <c r="T971" s="42" t="s">
        <v>3891</v>
      </c>
      <c r="U971" s="42" t="s">
        <v>7325</v>
      </c>
      <c r="V971" s="44" t="s">
        <v>3892</v>
      </c>
      <c r="W971" s="42" t="s">
        <v>3892</v>
      </c>
    </row>
    <row r="972" spans="1:23">
      <c r="A972" s="40">
        <v>462</v>
      </c>
      <c r="B972" s="41">
        <v>1751040441</v>
      </c>
      <c r="C972" s="42" t="s">
        <v>7796</v>
      </c>
      <c r="D972" s="42" t="s">
        <v>760</v>
      </c>
      <c r="E972" s="43" t="s">
        <v>8280</v>
      </c>
      <c r="F972" s="42"/>
      <c r="G972" s="42"/>
      <c r="H972" s="43"/>
      <c r="I972" s="42"/>
      <c r="J972" s="42"/>
      <c r="K972" s="42"/>
      <c r="L972" s="42"/>
      <c r="M972" s="42"/>
      <c r="N972" s="42"/>
      <c r="O972" s="42"/>
      <c r="P972" s="42"/>
      <c r="Q972" s="42"/>
      <c r="R972" s="42" t="s">
        <v>7656</v>
      </c>
      <c r="S972" s="42" t="s">
        <v>359</v>
      </c>
      <c r="T972" s="42" t="s">
        <v>3891</v>
      </c>
      <c r="U972" s="42" t="s">
        <v>7325</v>
      </c>
      <c r="V972" s="44" t="s">
        <v>3892</v>
      </c>
      <c r="W972" s="42" t="s">
        <v>3892</v>
      </c>
    </row>
    <row r="973" spans="1:23">
      <c r="A973" s="40">
        <v>463</v>
      </c>
      <c r="B973" s="41">
        <v>1751040224</v>
      </c>
      <c r="C973" s="42" t="s">
        <v>7797</v>
      </c>
      <c r="D973" s="42" t="s">
        <v>765</v>
      </c>
      <c r="E973" s="43" t="s">
        <v>8226</v>
      </c>
      <c r="F973" s="42"/>
      <c r="G973" s="42"/>
      <c r="H973" s="43"/>
      <c r="I973" s="42"/>
      <c r="J973" s="42"/>
      <c r="K973" s="42"/>
      <c r="L973" s="42"/>
      <c r="M973" s="42"/>
      <c r="N973" s="42"/>
      <c r="O973" s="42"/>
      <c r="P973" s="42"/>
      <c r="Q973" s="42"/>
      <c r="R973" s="42" t="s">
        <v>7656</v>
      </c>
      <c r="S973" s="42" t="s">
        <v>359</v>
      </c>
      <c r="T973" s="42" t="s">
        <v>3891</v>
      </c>
      <c r="U973" s="42" t="s">
        <v>7325</v>
      </c>
      <c r="V973" s="44" t="s">
        <v>3892</v>
      </c>
      <c r="W973" s="42" t="s">
        <v>3892</v>
      </c>
    </row>
    <row r="974" spans="1:23">
      <c r="A974" s="40">
        <v>464</v>
      </c>
      <c r="B974" s="41">
        <v>1751040219</v>
      </c>
      <c r="C974" s="42" t="s">
        <v>7798</v>
      </c>
      <c r="D974" s="42" t="s">
        <v>760</v>
      </c>
      <c r="E974" s="43" t="s">
        <v>8588</v>
      </c>
      <c r="F974" s="42"/>
      <c r="G974" s="42"/>
      <c r="H974" s="43"/>
      <c r="I974" s="42"/>
      <c r="J974" s="42"/>
      <c r="K974" s="42"/>
      <c r="L974" s="42"/>
      <c r="M974" s="42"/>
      <c r="N974" s="42"/>
      <c r="O974" s="42"/>
      <c r="P974" s="42"/>
      <c r="Q974" s="42"/>
      <c r="R974" s="42" t="s">
        <v>7656</v>
      </c>
      <c r="S974" s="42" t="s">
        <v>359</v>
      </c>
      <c r="T974" s="42" t="s">
        <v>3891</v>
      </c>
      <c r="U974" s="42" t="s">
        <v>7325</v>
      </c>
      <c r="V974" s="44" t="s">
        <v>3892</v>
      </c>
      <c r="W974" s="42" t="s">
        <v>3892</v>
      </c>
    </row>
    <row r="975" spans="1:23">
      <c r="A975" s="40">
        <v>465</v>
      </c>
      <c r="B975" s="41">
        <v>1751040115</v>
      </c>
      <c r="C975" s="42" t="s">
        <v>7799</v>
      </c>
      <c r="D975" s="42" t="s">
        <v>760</v>
      </c>
      <c r="E975" s="43" t="s">
        <v>8589</v>
      </c>
      <c r="F975" s="42"/>
      <c r="G975" s="42"/>
      <c r="H975" s="43"/>
      <c r="I975" s="42"/>
      <c r="J975" s="42"/>
      <c r="K975" s="42"/>
      <c r="L975" s="42"/>
      <c r="M975" s="42"/>
      <c r="N975" s="42"/>
      <c r="O975" s="42"/>
      <c r="P975" s="42"/>
      <c r="Q975" s="42"/>
      <c r="R975" s="42" t="s">
        <v>7656</v>
      </c>
      <c r="S975" s="42" t="s">
        <v>359</v>
      </c>
      <c r="T975" s="42" t="s">
        <v>3891</v>
      </c>
      <c r="U975" s="42" t="s">
        <v>7325</v>
      </c>
      <c r="V975" s="44" t="s">
        <v>3892</v>
      </c>
      <c r="W975" s="42" t="s">
        <v>3892</v>
      </c>
    </row>
    <row r="976" spans="1:23">
      <c r="A976" s="40">
        <v>466</v>
      </c>
      <c r="B976" s="41">
        <v>1651042915</v>
      </c>
      <c r="C976" s="42" t="s">
        <v>7800</v>
      </c>
      <c r="D976" s="42" t="s">
        <v>760</v>
      </c>
      <c r="E976" s="43" t="s">
        <v>8590</v>
      </c>
      <c r="F976" s="42"/>
      <c r="G976" s="42"/>
      <c r="H976" s="43"/>
      <c r="I976" s="42"/>
      <c r="J976" s="42"/>
      <c r="K976" s="42"/>
      <c r="L976" s="42"/>
      <c r="M976" s="42"/>
      <c r="N976" s="42"/>
      <c r="O976" s="42"/>
      <c r="P976" s="42"/>
      <c r="Q976" s="42"/>
      <c r="R976" s="42" t="s">
        <v>7656</v>
      </c>
      <c r="S976" s="42" t="s">
        <v>359</v>
      </c>
      <c r="T976" s="42" t="s">
        <v>3891</v>
      </c>
      <c r="U976" s="42" t="s">
        <v>7325</v>
      </c>
      <c r="V976" s="44" t="s">
        <v>3892</v>
      </c>
      <c r="W976" s="42" t="s">
        <v>3892</v>
      </c>
    </row>
    <row r="977" spans="1:23">
      <c r="A977" s="40">
        <v>467</v>
      </c>
      <c r="B977" s="41">
        <v>1551043330</v>
      </c>
      <c r="C977" s="42" t="s">
        <v>7801</v>
      </c>
      <c r="D977" s="42" t="s">
        <v>760</v>
      </c>
      <c r="E977" s="43" t="s">
        <v>8591</v>
      </c>
      <c r="F977" s="42"/>
      <c r="G977" s="42"/>
      <c r="H977" s="43"/>
      <c r="I977" s="42"/>
      <c r="J977" s="42"/>
      <c r="K977" s="42"/>
      <c r="L977" s="42"/>
      <c r="M977" s="42"/>
      <c r="N977" s="42"/>
      <c r="O977" s="42"/>
      <c r="P977" s="42"/>
      <c r="Q977" s="42"/>
      <c r="R977" s="42" t="s">
        <v>7656</v>
      </c>
      <c r="S977" s="42" t="s">
        <v>359</v>
      </c>
      <c r="T977" s="42" t="s">
        <v>3891</v>
      </c>
      <c r="U977" s="42" t="s">
        <v>7325</v>
      </c>
      <c r="V977" s="44" t="s">
        <v>3892</v>
      </c>
      <c r="W977" s="42" t="s">
        <v>3892</v>
      </c>
    </row>
    <row r="978" spans="1:23">
      <c r="A978" s="40">
        <v>468</v>
      </c>
      <c r="B978" s="41">
        <v>1651042499</v>
      </c>
      <c r="C978" s="42" t="s">
        <v>7802</v>
      </c>
      <c r="D978" s="42" t="s">
        <v>760</v>
      </c>
      <c r="E978" s="43" t="s">
        <v>8592</v>
      </c>
      <c r="F978" s="42"/>
      <c r="G978" s="42"/>
      <c r="H978" s="43"/>
      <c r="I978" s="42"/>
      <c r="J978" s="42"/>
      <c r="K978" s="42"/>
      <c r="L978" s="42"/>
      <c r="M978" s="42"/>
      <c r="N978" s="42"/>
      <c r="O978" s="42"/>
      <c r="P978" s="42"/>
      <c r="Q978" s="42"/>
      <c r="R978" s="42" t="s">
        <v>7656</v>
      </c>
      <c r="S978" s="42" t="s">
        <v>359</v>
      </c>
      <c r="T978" s="42" t="s">
        <v>3891</v>
      </c>
      <c r="U978" s="42" t="s">
        <v>7325</v>
      </c>
      <c r="V978" s="44" t="s">
        <v>3892</v>
      </c>
      <c r="W978" s="42" t="s">
        <v>3892</v>
      </c>
    </row>
    <row r="979" spans="1:23">
      <c r="A979" s="40">
        <v>469</v>
      </c>
      <c r="B979" s="41">
        <v>1751040863</v>
      </c>
      <c r="C979" s="42" t="s">
        <v>7803</v>
      </c>
      <c r="D979" s="42" t="s">
        <v>760</v>
      </c>
      <c r="E979" s="43" t="s">
        <v>8593</v>
      </c>
      <c r="F979" s="42"/>
      <c r="G979" s="42"/>
      <c r="H979" s="43"/>
      <c r="I979" s="42"/>
      <c r="J979" s="42"/>
      <c r="K979" s="42"/>
      <c r="L979" s="42"/>
      <c r="M979" s="42"/>
      <c r="N979" s="42"/>
      <c r="O979" s="42"/>
      <c r="P979" s="42"/>
      <c r="Q979" s="42"/>
      <c r="R979" s="42" t="s">
        <v>7656</v>
      </c>
      <c r="S979" s="42" t="s">
        <v>359</v>
      </c>
      <c r="T979" s="42" t="s">
        <v>3891</v>
      </c>
      <c r="U979" s="42" t="s">
        <v>7325</v>
      </c>
      <c r="V979" s="44" t="s">
        <v>3892</v>
      </c>
      <c r="W979" s="42" t="s">
        <v>3892</v>
      </c>
    </row>
    <row r="980" spans="1:23">
      <c r="A980" s="40">
        <v>470</v>
      </c>
      <c r="B980" s="41">
        <v>1551043257</v>
      </c>
      <c r="C980" s="42" t="s">
        <v>7804</v>
      </c>
      <c r="D980" s="42" t="s">
        <v>3892</v>
      </c>
      <c r="E980" s="43" t="s">
        <v>7273</v>
      </c>
      <c r="F980" s="42"/>
      <c r="G980" s="42"/>
      <c r="H980" s="43"/>
      <c r="I980" s="42"/>
      <c r="J980" s="42"/>
      <c r="K980" s="42"/>
      <c r="L980" s="42"/>
      <c r="M980" s="42"/>
      <c r="N980" s="42"/>
      <c r="O980" s="42"/>
      <c r="P980" s="42"/>
      <c r="Q980" s="42"/>
      <c r="R980" s="42" t="s">
        <v>7656</v>
      </c>
      <c r="S980" s="42" t="s">
        <v>359</v>
      </c>
      <c r="T980" s="42" t="s">
        <v>3891</v>
      </c>
      <c r="U980" s="42" t="s">
        <v>7325</v>
      </c>
      <c r="V980" s="44" t="s">
        <v>3892</v>
      </c>
      <c r="W980" s="42" t="s">
        <v>7345</v>
      </c>
    </row>
    <row r="981" spans="1:23">
      <c r="A981" s="40">
        <v>471</v>
      </c>
      <c r="B981" s="41">
        <v>1251011979</v>
      </c>
      <c r="C981" s="42" t="s">
        <v>7805</v>
      </c>
      <c r="D981" s="42" t="s">
        <v>760</v>
      </c>
      <c r="E981" s="43" t="s">
        <v>8594</v>
      </c>
      <c r="F981" s="42"/>
      <c r="G981" s="42"/>
      <c r="H981" s="43"/>
      <c r="I981" s="42"/>
      <c r="J981" s="42"/>
      <c r="K981" s="42"/>
      <c r="L981" s="42"/>
      <c r="M981" s="42"/>
      <c r="N981" s="42"/>
      <c r="O981" s="42"/>
      <c r="P981" s="42"/>
      <c r="Q981" s="42"/>
      <c r="R981" s="42" t="s">
        <v>7656</v>
      </c>
      <c r="S981" s="42" t="s">
        <v>359</v>
      </c>
      <c r="T981" s="42" t="s">
        <v>3891</v>
      </c>
      <c r="U981" s="42" t="s">
        <v>7325</v>
      </c>
      <c r="V981" s="44" t="s">
        <v>3892</v>
      </c>
      <c r="W981" s="42" t="s">
        <v>3892</v>
      </c>
    </row>
    <row r="982" spans="1:23">
      <c r="A982" s="40">
        <v>472</v>
      </c>
      <c r="B982" s="41">
        <v>1551043552</v>
      </c>
      <c r="C982" s="42" t="s">
        <v>7806</v>
      </c>
      <c r="D982" s="42" t="s">
        <v>760</v>
      </c>
      <c r="E982" s="43" t="s">
        <v>8595</v>
      </c>
      <c r="F982" s="42"/>
      <c r="G982" s="42"/>
      <c r="H982" s="43"/>
      <c r="I982" s="42"/>
      <c r="J982" s="42"/>
      <c r="K982" s="42"/>
      <c r="L982" s="42"/>
      <c r="M982" s="42"/>
      <c r="N982" s="42"/>
      <c r="O982" s="42"/>
      <c r="P982" s="42"/>
      <c r="Q982" s="42"/>
      <c r="R982" s="42" t="s">
        <v>7656</v>
      </c>
      <c r="S982" s="42" t="s">
        <v>359</v>
      </c>
      <c r="T982" s="42" t="s">
        <v>3891</v>
      </c>
      <c r="U982" s="42" t="s">
        <v>7325</v>
      </c>
      <c r="V982" s="44" t="s">
        <v>3892</v>
      </c>
      <c r="W982" s="42" t="s">
        <v>3892</v>
      </c>
    </row>
    <row r="983" spans="1:23">
      <c r="A983" s="40">
        <v>473</v>
      </c>
      <c r="B983" s="41">
        <v>1651042929</v>
      </c>
      <c r="C983" s="42" t="s">
        <v>7807</v>
      </c>
      <c r="D983" s="42" t="s">
        <v>760</v>
      </c>
      <c r="E983" s="43" t="s">
        <v>8596</v>
      </c>
      <c r="F983" s="42"/>
      <c r="G983" s="42"/>
      <c r="H983" s="43"/>
      <c r="I983" s="42"/>
      <c r="J983" s="42"/>
      <c r="K983" s="42"/>
      <c r="L983" s="42"/>
      <c r="M983" s="42"/>
      <c r="N983" s="42"/>
      <c r="O983" s="42"/>
      <c r="P983" s="42"/>
      <c r="Q983" s="42"/>
      <c r="R983" s="42" t="s">
        <v>7656</v>
      </c>
      <c r="S983" s="42" t="s">
        <v>359</v>
      </c>
      <c r="T983" s="42" t="s">
        <v>3891</v>
      </c>
      <c r="U983" s="42" t="s">
        <v>7325</v>
      </c>
      <c r="V983" s="44" t="s">
        <v>3892</v>
      </c>
      <c r="W983" s="42" t="s">
        <v>3892</v>
      </c>
    </row>
    <row r="984" spans="1:23">
      <c r="A984" s="40">
        <v>474</v>
      </c>
      <c r="B984" s="41">
        <v>1651042958</v>
      </c>
      <c r="C984" s="42" t="s">
        <v>7808</v>
      </c>
      <c r="D984" s="42" t="s">
        <v>760</v>
      </c>
      <c r="E984" s="43" t="s">
        <v>8458</v>
      </c>
      <c r="F984" s="42"/>
      <c r="G984" s="42"/>
      <c r="H984" s="43"/>
      <c r="I984" s="42"/>
      <c r="J984" s="42"/>
      <c r="K984" s="42"/>
      <c r="L984" s="42"/>
      <c r="M984" s="42"/>
      <c r="N984" s="42"/>
      <c r="O984" s="42"/>
      <c r="P984" s="42"/>
      <c r="Q984" s="42"/>
      <c r="R984" s="42" t="s">
        <v>7656</v>
      </c>
      <c r="S984" s="42" t="s">
        <v>359</v>
      </c>
      <c r="T984" s="42" t="s">
        <v>3891</v>
      </c>
      <c r="U984" s="42" t="s">
        <v>7325</v>
      </c>
      <c r="V984" s="44" t="s">
        <v>3892</v>
      </c>
      <c r="W984" s="42" t="s">
        <v>3892</v>
      </c>
    </row>
    <row r="985" spans="1:23">
      <c r="A985" s="40">
        <v>475</v>
      </c>
      <c r="B985" s="41">
        <v>1851042878</v>
      </c>
      <c r="C985" s="42" t="s">
        <v>7809</v>
      </c>
      <c r="D985" s="42" t="s">
        <v>760</v>
      </c>
      <c r="E985" s="43" t="s">
        <v>8597</v>
      </c>
      <c r="F985" s="42"/>
      <c r="G985" s="42"/>
      <c r="H985" s="43"/>
      <c r="I985" s="42"/>
      <c r="J985" s="42"/>
      <c r="K985" s="42"/>
      <c r="L985" s="42"/>
      <c r="M985" s="42"/>
      <c r="N985" s="42"/>
      <c r="O985" s="42"/>
      <c r="P985" s="42"/>
      <c r="Q985" s="42"/>
      <c r="R985" s="42" t="s">
        <v>7656</v>
      </c>
      <c r="S985" s="42" t="s">
        <v>359</v>
      </c>
      <c r="T985" s="42" t="s">
        <v>3891</v>
      </c>
      <c r="U985" s="42" t="s">
        <v>7325</v>
      </c>
      <c r="V985" s="44" t="s">
        <v>3892</v>
      </c>
      <c r="W985" s="42" t="s">
        <v>3892</v>
      </c>
    </row>
    <row r="986" spans="1:23">
      <c r="A986" s="40">
        <v>476</v>
      </c>
      <c r="B986" s="41">
        <v>1451041682</v>
      </c>
      <c r="C986" s="42" t="s">
        <v>7810</v>
      </c>
      <c r="D986" s="42" t="s">
        <v>3892</v>
      </c>
      <c r="E986" s="43" t="s">
        <v>7273</v>
      </c>
      <c r="F986" s="42"/>
      <c r="G986" s="42"/>
      <c r="H986" s="43"/>
      <c r="I986" s="42"/>
      <c r="J986" s="42"/>
      <c r="K986" s="42"/>
      <c r="L986" s="42"/>
      <c r="M986" s="42"/>
      <c r="N986" s="42"/>
      <c r="O986" s="42"/>
      <c r="P986" s="42"/>
      <c r="Q986" s="42"/>
      <c r="R986" s="42" t="s">
        <v>7656</v>
      </c>
      <c r="S986" s="42" t="s">
        <v>359</v>
      </c>
      <c r="T986" s="42" t="s">
        <v>3891</v>
      </c>
      <c r="U986" s="42" t="s">
        <v>7325</v>
      </c>
      <c r="V986" s="44" t="s">
        <v>3892</v>
      </c>
      <c r="W986" s="42" t="s">
        <v>7345</v>
      </c>
    </row>
    <row r="987" spans="1:23">
      <c r="A987" s="40">
        <v>477</v>
      </c>
      <c r="B987" s="41">
        <v>1851043177</v>
      </c>
      <c r="C987" s="42" t="s">
        <v>7811</v>
      </c>
      <c r="D987" s="42" t="s">
        <v>760</v>
      </c>
      <c r="E987" s="43" t="s">
        <v>8598</v>
      </c>
      <c r="F987" s="42"/>
      <c r="G987" s="42"/>
      <c r="H987" s="43"/>
      <c r="I987" s="42"/>
      <c r="J987" s="42"/>
      <c r="K987" s="42"/>
      <c r="L987" s="42"/>
      <c r="M987" s="42"/>
      <c r="N987" s="42"/>
      <c r="O987" s="42"/>
      <c r="P987" s="42"/>
      <c r="Q987" s="42"/>
      <c r="R987" s="42" t="s">
        <v>7656</v>
      </c>
      <c r="S987" s="42" t="s">
        <v>359</v>
      </c>
      <c r="T987" s="42" t="s">
        <v>3891</v>
      </c>
      <c r="U987" s="42" t="s">
        <v>7325</v>
      </c>
      <c r="V987" s="44" t="s">
        <v>3892</v>
      </c>
      <c r="W987" s="42" t="s">
        <v>3892</v>
      </c>
    </row>
    <row r="988" spans="1:23">
      <c r="A988" s="40">
        <v>478</v>
      </c>
      <c r="B988" s="41">
        <v>1851043041</v>
      </c>
      <c r="C988" s="42" t="s">
        <v>7812</v>
      </c>
      <c r="D988" s="42" t="s">
        <v>760</v>
      </c>
      <c r="E988" s="43" t="s">
        <v>8573</v>
      </c>
      <c r="F988" s="42"/>
      <c r="G988" s="42"/>
      <c r="H988" s="43"/>
      <c r="I988" s="42"/>
      <c r="J988" s="42"/>
      <c r="K988" s="42"/>
      <c r="L988" s="42"/>
      <c r="M988" s="42"/>
      <c r="N988" s="42"/>
      <c r="O988" s="42"/>
      <c r="P988" s="42"/>
      <c r="Q988" s="42"/>
      <c r="R988" s="42" t="s">
        <v>7656</v>
      </c>
      <c r="S988" s="42" t="s">
        <v>359</v>
      </c>
      <c r="T988" s="42" t="s">
        <v>3891</v>
      </c>
      <c r="U988" s="42" t="s">
        <v>7325</v>
      </c>
      <c r="V988" s="44" t="s">
        <v>3892</v>
      </c>
      <c r="W988" s="42" t="s">
        <v>3892</v>
      </c>
    </row>
    <row r="989" spans="1:23">
      <c r="A989" s="40">
        <v>479</v>
      </c>
      <c r="B989" s="41">
        <v>1651041434</v>
      </c>
      <c r="C989" s="42" t="s">
        <v>7813</v>
      </c>
      <c r="D989" s="42" t="s">
        <v>760</v>
      </c>
      <c r="E989" s="43" t="s">
        <v>8599</v>
      </c>
      <c r="F989" s="42"/>
      <c r="G989" s="42"/>
      <c r="H989" s="43"/>
      <c r="I989" s="42"/>
      <c r="J989" s="42"/>
      <c r="K989" s="42"/>
      <c r="L989" s="42"/>
      <c r="M989" s="42"/>
      <c r="N989" s="42"/>
      <c r="O989" s="42"/>
      <c r="P989" s="42"/>
      <c r="Q989" s="42"/>
      <c r="R989" s="42" t="s">
        <v>7656</v>
      </c>
      <c r="S989" s="42" t="s">
        <v>359</v>
      </c>
      <c r="T989" s="42" t="s">
        <v>3891</v>
      </c>
      <c r="U989" s="42" t="s">
        <v>7325</v>
      </c>
      <c r="V989" s="44" t="s">
        <v>3892</v>
      </c>
      <c r="W989" s="42" t="s">
        <v>3892</v>
      </c>
    </row>
    <row r="990" spans="1:23">
      <c r="A990" s="40">
        <v>480</v>
      </c>
      <c r="B990" s="41">
        <v>1651041991</v>
      </c>
      <c r="C990" s="42" t="s">
        <v>7814</v>
      </c>
      <c r="D990" s="42" t="s">
        <v>760</v>
      </c>
      <c r="E990" s="43" t="s">
        <v>8600</v>
      </c>
      <c r="F990" s="42"/>
      <c r="G990" s="42"/>
      <c r="H990" s="43"/>
      <c r="I990" s="42"/>
      <c r="J990" s="42"/>
      <c r="K990" s="42"/>
      <c r="L990" s="42"/>
      <c r="M990" s="42"/>
      <c r="N990" s="42"/>
      <c r="O990" s="42"/>
      <c r="P990" s="42"/>
      <c r="Q990" s="42"/>
      <c r="R990" s="42" t="s">
        <v>7656</v>
      </c>
      <c r="S990" s="42" t="s">
        <v>359</v>
      </c>
      <c r="T990" s="42" t="s">
        <v>3891</v>
      </c>
      <c r="U990" s="42" t="s">
        <v>7325</v>
      </c>
      <c r="V990" s="44" t="s">
        <v>3892</v>
      </c>
      <c r="W990" s="42" t="s">
        <v>3892</v>
      </c>
    </row>
    <row r="991" spans="1:23">
      <c r="A991" s="40">
        <v>481</v>
      </c>
      <c r="B991" s="41">
        <v>1751040200</v>
      </c>
      <c r="C991" s="42" t="s">
        <v>7815</v>
      </c>
      <c r="D991" s="42" t="s">
        <v>760</v>
      </c>
      <c r="E991" s="43" t="s">
        <v>8439</v>
      </c>
      <c r="F991" s="42"/>
      <c r="G991" s="42"/>
      <c r="H991" s="43"/>
      <c r="I991" s="42"/>
      <c r="J991" s="42"/>
      <c r="K991" s="42"/>
      <c r="L991" s="42"/>
      <c r="M991" s="42"/>
      <c r="N991" s="42"/>
      <c r="O991" s="42"/>
      <c r="P991" s="42"/>
      <c r="Q991" s="42"/>
      <c r="R991" s="42" t="s">
        <v>7656</v>
      </c>
      <c r="S991" s="42" t="s">
        <v>359</v>
      </c>
      <c r="T991" s="42" t="s">
        <v>3891</v>
      </c>
      <c r="U991" s="42" t="s">
        <v>7325</v>
      </c>
      <c r="V991" s="44" t="s">
        <v>3892</v>
      </c>
      <c r="W991" s="42" t="s">
        <v>3892</v>
      </c>
    </row>
    <row r="992" spans="1:23">
      <c r="A992" s="40">
        <v>482</v>
      </c>
      <c r="B992" s="41">
        <v>1551042951</v>
      </c>
      <c r="C992" s="42" t="s">
        <v>7816</v>
      </c>
      <c r="D992" s="42" t="s">
        <v>760</v>
      </c>
      <c r="E992" s="43" t="s">
        <v>8601</v>
      </c>
      <c r="F992" s="42"/>
      <c r="G992" s="42"/>
      <c r="H992" s="43"/>
      <c r="I992" s="42"/>
      <c r="J992" s="42"/>
      <c r="K992" s="42"/>
      <c r="L992" s="42"/>
      <c r="M992" s="42"/>
      <c r="N992" s="42"/>
      <c r="O992" s="42"/>
      <c r="P992" s="42"/>
      <c r="Q992" s="42"/>
      <c r="R992" s="42" t="s">
        <v>7656</v>
      </c>
      <c r="S992" s="42" t="s">
        <v>359</v>
      </c>
      <c r="T992" s="42" t="s">
        <v>3891</v>
      </c>
      <c r="U992" s="42" t="s">
        <v>7325</v>
      </c>
      <c r="V992" s="44" t="s">
        <v>3892</v>
      </c>
      <c r="W992" s="42" t="s">
        <v>3892</v>
      </c>
    </row>
    <row r="993" spans="1:23">
      <c r="A993" s="40">
        <v>483</v>
      </c>
      <c r="B993" s="41">
        <v>1651041582</v>
      </c>
      <c r="C993" s="42" t="s">
        <v>7817</v>
      </c>
      <c r="D993" s="42" t="s">
        <v>760</v>
      </c>
      <c r="E993" s="43" t="s">
        <v>8445</v>
      </c>
      <c r="F993" s="42"/>
      <c r="G993" s="42"/>
      <c r="H993" s="43"/>
      <c r="I993" s="42"/>
      <c r="J993" s="42"/>
      <c r="K993" s="42"/>
      <c r="L993" s="42"/>
      <c r="M993" s="42"/>
      <c r="N993" s="42"/>
      <c r="O993" s="42"/>
      <c r="P993" s="42"/>
      <c r="Q993" s="42"/>
      <c r="R993" s="42" t="s">
        <v>7656</v>
      </c>
      <c r="S993" s="42" t="s">
        <v>359</v>
      </c>
      <c r="T993" s="42" t="s">
        <v>3891</v>
      </c>
      <c r="U993" s="42" t="s">
        <v>7325</v>
      </c>
      <c r="V993" s="44" t="s">
        <v>3892</v>
      </c>
      <c r="W993" s="42" t="s">
        <v>3892</v>
      </c>
    </row>
    <row r="994" spans="1:23">
      <c r="A994" s="40">
        <v>484</v>
      </c>
      <c r="B994" s="41">
        <v>1651042035</v>
      </c>
      <c r="C994" s="42" t="s">
        <v>7818</v>
      </c>
      <c r="D994" s="42" t="s">
        <v>760</v>
      </c>
      <c r="E994" s="43" t="s">
        <v>8596</v>
      </c>
      <c r="F994" s="42"/>
      <c r="G994" s="42"/>
      <c r="H994" s="43"/>
      <c r="I994" s="42"/>
      <c r="J994" s="42"/>
      <c r="K994" s="42"/>
      <c r="L994" s="42"/>
      <c r="M994" s="42"/>
      <c r="N994" s="42"/>
      <c r="O994" s="42"/>
      <c r="P994" s="42"/>
      <c r="Q994" s="42"/>
      <c r="R994" s="42" t="s">
        <v>7656</v>
      </c>
      <c r="S994" s="42" t="s">
        <v>359</v>
      </c>
      <c r="T994" s="42" t="s">
        <v>3891</v>
      </c>
      <c r="U994" s="42" t="s">
        <v>7325</v>
      </c>
      <c r="V994" s="44" t="s">
        <v>3892</v>
      </c>
      <c r="W994" s="42" t="s">
        <v>3892</v>
      </c>
    </row>
    <row r="995" spans="1:23">
      <c r="A995" s="40">
        <v>485</v>
      </c>
      <c r="B995" s="41">
        <v>1751040339</v>
      </c>
      <c r="C995" s="42" t="s">
        <v>7819</v>
      </c>
      <c r="D995" s="42" t="s">
        <v>760</v>
      </c>
      <c r="E995" s="43" t="s">
        <v>8602</v>
      </c>
      <c r="F995" s="42"/>
      <c r="G995" s="42"/>
      <c r="H995" s="43"/>
      <c r="I995" s="42"/>
      <c r="J995" s="42"/>
      <c r="K995" s="42"/>
      <c r="L995" s="42"/>
      <c r="M995" s="42"/>
      <c r="N995" s="42"/>
      <c r="O995" s="42"/>
      <c r="P995" s="42"/>
      <c r="Q995" s="42"/>
      <c r="R995" s="42" t="s">
        <v>7656</v>
      </c>
      <c r="S995" s="42" t="s">
        <v>359</v>
      </c>
      <c r="T995" s="42" t="s">
        <v>3891</v>
      </c>
      <c r="U995" s="42" t="s">
        <v>7325</v>
      </c>
      <c r="V995" s="44" t="s">
        <v>3892</v>
      </c>
      <c r="W995" s="42" t="s">
        <v>3892</v>
      </c>
    </row>
    <row r="996" spans="1:23">
      <c r="A996" s="40">
        <v>486</v>
      </c>
      <c r="B996" s="41">
        <v>1651042857</v>
      </c>
      <c r="C996" s="42" t="s">
        <v>7820</v>
      </c>
      <c r="D996" s="42" t="s">
        <v>760</v>
      </c>
      <c r="E996" s="43" t="s">
        <v>8603</v>
      </c>
      <c r="F996" s="42"/>
      <c r="G996" s="42"/>
      <c r="H996" s="43"/>
      <c r="I996" s="42"/>
      <c r="J996" s="42"/>
      <c r="K996" s="42"/>
      <c r="L996" s="42"/>
      <c r="M996" s="42"/>
      <c r="N996" s="42"/>
      <c r="O996" s="42"/>
      <c r="P996" s="42"/>
      <c r="Q996" s="42"/>
      <c r="R996" s="42" t="s">
        <v>7656</v>
      </c>
      <c r="S996" s="42" t="s">
        <v>359</v>
      </c>
      <c r="T996" s="42" t="s">
        <v>3891</v>
      </c>
      <c r="U996" s="42" t="s">
        <v>7325</v>
      </c>
      <c r="V996" s="44" t="s">
        <v>3892</v>
      </c>
      <c r="W996" s="42" t="s">
        <v>3892</v>
      </c>
    </row>
    <row r="997" spans="1:23">
      <c r="A997" s="40">
        <v>487</v>
      </c>
      <c r="B997" s="41">
        <v>1551043307</v>
      </c>
      <c r="C997" s="42" t="s">
        <v>7821</v>
      </c>
      <c r="D997" s="42" t="s">
        <v>760</v>
      </c>
      <c r="E997" s="43" t="s">
        <v>8604</v>
      </c>
      <c r="F997" s="42"/>
      <c r="G997" s="42"/>
      <c r="H997" s="43"/>
      <c r="I997" s="42"/>
      <c r="J997" s="42"/>
      <c r="K997" s="42"/>
      <c r="L997" s="42"/>
      <c r="M997" s="42"/>
      <c r="N997" s="42"/>
      <c r="O997" s="42"/>
      <c r="P997" s="42"/>
      <c r="Q997" s="42"/>
      <c r="R997" s="42" t="s">
        <v>7656</v>
      </c>
      <c r="S997" s="42" t="s">
        <v>359</v>
      </c>
      <c r="T997" s="42" t="s">
        <v>3891</v>
      </c>
      <c r="U997" s="42" t="s">
        <v>7325</v>
      </c>
      <c r="V997" s="44" t="s">
        <v>3892</v>
      </c>
      <c r="W997" s="42" t="s">
        <v>3892</v>
      </c>
    </row>
    <row r="998" spans="1:23">
      <c r="A998" s="40">
        <v>488</v>
      </c>
      <c r="B998" s="41">
        <v>1551043336</v>
      </c>
      <c r="C998" s="42" t="s">
        <v>7822</v>
      </c>
      <c r="D998" s="42" t="s">
        <v>760</v>
      </c>
      <c r="E998" s="43" t="s">
        <v>8605</v>
      </c>
      <c r="F998" s="42"/>
      <c r="G998" s="42"/>
      <c r="H998" s="43"/>
      <c r="I998" s="42"/>
      <c r="J998" s="42"/>
      <c r="K998" s="42"/>
      <c r="L998" s="42"/>
      <c r="M998" s="42"/>
      <c r="N998" s="42"/>
      <c r="O998" s="42"/>
      <c r="P998" s="42"/>
      <c r="Q998" s="42"/>
      <c r="R998" s="42" t="s">
        <v>7656</v>
      </c>
      <c r="S998" s="42" t="s">
        <v>359</v>
      </c>
      <c r="T998" s="42" t="s">
        <v>3891</v>
      </c>
      <c r="U998" s="42" t="s">
        <v>7325</v>
      </c>
      <c r="V998" s="44" t="s">
        <v>3892</v>
      </c>
      <c r="W998" s="42" t="s">
        <v>3892</v>
      </c>
    </row>
    <row r="999" spans="1:23">
      <c r="A999" s="40">
        <v>489</v>
      </c>
      <c r="B999" s="41">
        <v>1651042041</v>
      </c>
      <c r="C999" s="42" t="s">
        <v>7823</v>
      </c>
      <c r="D999" s="42" t="s">
        <v>760</v>
      </c>
      <c r="E999" s="43" t="s">
        <v>8606</v>
      </c>
      <c r="F999" s="42"/>
      <c r="G999" s="42"/>
      <c r="H999" s="43"/>
      <c r="I999" s="42"/>
      <c r="J999" s="42"/>
      <c r="K999" s="42"/>
      <c r="L999" s="42"/>
      <c r="M999" s="42"/>
      <c r="N999" s="42"/>
      <c r="O999" s="42"/>
      <c r="P999" s="42"/>
      <c r="Q999" s="42"/>
      <c r="R999" s="42" t="s">
        <v>7656</v>
      </c>
      <c r="S999" s="42" t="s">
        <v>359</v>
      </c>
      <c r="T999" s="42" t="s">
        <v>3891</v>
      </c>
      <c r="U999" s="42" t="s">
        <v>7325</v>
      </c>
      <c r="V999" s="44" t="s">
        <v>3892</v>
      </c>
      <c r="W999" s="42" t="s">
        <v>3892</v>
      </c>
    </row>
    <row r="1000" spans="1:23">
      <c r="A1000" s="40">
        <v>490</v>
      </c>
      <c r="B1000" s="41">
        <v>1751042018</v>
      </c>
      <c r="C1000" s="42" t="s">
        <v>7824</v>
      </c>
      <c r="D1000" s="42" t="s">
        <v>760</v>
      </c>
      <c r="E1000" s="43" t="s">
        <v>8607</v>
      </c>
      <c r="F1000" s="42"/>
      <c r="G1000" s="42"/>
      <c r="H1000" s="43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 t="s">
        <v>7656</v>
      </c>
      <c r="S1000" s="42" t="s">
        <v>359</v>
      </c>
      <c r="T1000" s="42" t="s">
        <v>3891</v>
      </c>
      <c r="U1000" s="42" t="s">
        <v>7325</v>
      </c>
      <c r="V1000" s="44" t="s">
        <v>3892</v>
      </c>
      <c r="W1000" s="42" t="s">
        <v>3892</v>
      </c>
    </row>
    <row r="1001" spans="1:23">
      <c r="A1001" s="40">
        <v>491</v>
      </c>
      <c r="B1001" s="41">
        <v>1751040245</v>
      </c>
      <c r="C1001" s="42" t="s">
        <v>7825</v>
      </c>
      <c r="D1001" s="42" t="s">
        <v>760</v>
      </c>
      <c r="E1001" s="43" t="s">
        <v>8608</v>
      </c>
      <c r="F1001" s="42"/>
      <c r="G1001" s="42"/>
      <c r="H1001" s="43"/>
      <c r="I1001" s="42"/>
      <c r="J1001" s="42"/>
      <c r="K1001" s="42"/>
      <c r="L1001" s="42"/>
      <c r="M1001" s="42"/>
      <c r="N1001" s="42"/>
      <c r="O1001" s="42"/>
      <c r="P1001" s="42"/>
      <c r="Q1001" s="42"/>
      <c r="R1001" s="42" t="s">
        <v>7656</v>
      </c>
      <c r="S1001" s="42" t="s">
        <v>359</v>
      </c>
      <c r="T1001" s="42" t="s">
        <v>3891</v>
      </c>
      <c r="U1001" s="42" t="s">
        <v>7325</v>
      </c>
      <c r="V1001" s="44" t="s">
        <v>3892</v>
      </c>
      <c r="W1001" s="42" t="s">
        <v>3892</v>
      </c>
    </row>
    <row r="1002" spans="1:23">
      <c r="A1002" s="40">
        <v>492</v>
      </c>
      <c r="B1002" s="41">
        <v>1551043421</v>
      </c>
      <c r="C1002" s="42" t="s">
        <v>7826</v>
      </c>
      <c r="D1002" s="42" t="s">
        <v>760</v>
      </c>
      <c r="E1002" s="43" t="s">
        <v>8609</v>
      </c>
      <c r="F1002" s="42"/>
      <c r="G1002" s="42"/>
      <c r="H1002" s="43"/>
      <c r="I1002" s="42"/>
      <c r="J1002" s="42"/>
      <c r="K1002" s="42"/>
      <c r="L1002" s="42"/>
      <c r="M1002" s="42"/>
      <c r="N1002" s="42"/>
      <c r="O1002" s="42"/>
      <c r="P1002" s="42"/>
      <c r="Q1002" s="42"/>
      <c r="R1002" s="42" t="s">
        <v>7656</v>
      </c>
      <c r="S1002" s="42" t="s">
        <v>359</v>
      </c>
      <c r="T1002" s="42" t="s">
        <v>3891</v>
      </c>
      <c r="U1002" s="42" t="s">
        <v>7325</v>
      </c>
      <c r="V1002" s="44" t="s">
        <v>3892</v>
      </c>
      <c r="W1002" s="42" t="s">
        <v>3892</v>
      </c>
    </row>
    <row r="1003" spans="1:23">
      <c r="A1003" s="40">
        <v>493</v>
      </c>
      <c r="B1003" s="41">
        <v>1651042800</v>
      </c>
      <c r="C1003" s="42" t="s">
        <v>7827</v>
      </c>
      <c r="D1003" s="42" t="s">
        <v>760</v>
      </c>
      <c r="E1003" s="43" t="s">
        <v>8610</v>
      </c>
      <c r="F1003" s="42"/>
      <c r="G1003" s="42"/>
      <c r="H1003" s="43"/>
      <c r="I1003" s="42"/>
      <c r="J1003" s="42"/>
      <c r="K1003" s="42"/>
      <c r="L1003" s="42"/>
      <c r="M1003" s="42"/>
      <c r="N1003" s="42"/>
      <c r="O1003" s="42"/>
      <c r="P1003" s="42"/>
      <c r="Q1003" s="42"/>
      <c r="R1003" s="42" t="s">
        <v>7656</v>
      </c>
      <c r="S1003" s="42" t="s">
        <v>359</v>
      </c>
      <c r="T1003" s="42" t="s">
        <v>3891</v>
      </c>
      <c r="U1003" s="42" t="s">
        <v>7325</v>
      </c>
      <c r="V1003" s="44" t="s">
        <v>3892</v>
      </c>
      <c r="W1003" s="42" t="s">
        <v>3892</v>
      </c>
    </row>
    <row r="1004" spans="1:23">
      <c r="A1004" s="40">
        <v>494</v>
      </c>
      <c r="B1004" s="41">
        <v>1751040455</v>
      </c>
      <c r="C1004" s="42" t="s">
        <v>7828</v>
      </c>
      <c r="D1004" s="42" t="s">
        <v>760</v>
      </c>
      <c r="E1004" s="43" t="s">
        <v>8611</v>
      </c>
      <c r="F1004" s="42"/>
      <c r="G1004" s="42"/>
      <c r="H1004" s="43"/>
      <c r="I1004" s="42"/>
      <c r="J1004" s="42"/>
      <c r="K1004" s="42"/>
      <c r="L1004" s="42"/>
      <c r="M1004" s="42"/>
      <c r="N1004" s="42"/>
      <c r="O1004" s="42"/>
      <c r="P1004" s="42"/>
      <c r="Q1004" s="42"/>
      <c r="R1004" s="42" t="s">
        <v>7656</v>
      </c>
      <c r="S1004" s="42" t="s">
        <v>359</v>
      </c>
      <c r="T1004" s="42" t="s">
        <v>3891</v>
      </c>
      <c r="U1004" s="42" t="s">
        <v>7325</v>
      </c>
      <c r="V1004" s="44" t="s">
        <v>3892</v>
      </c>
      <c r="W1004" s="42" t="s">
        <v>3892</v>
      </c>
    </row>
    <row r="1005" spans="1:23">
      <c r="A1005" s="40">
        <v>495</v>
      </c>
      <c r="B1005" s="41">
        <v>1751042310</v>
      </c>
      <c r="C1005" s="42" t="s">
        <v>7829</v>
      </c>
      <c r="D1005" s="42" t="s">
        <v>760</v>
      </c>
      <c r="E1005" s="43" t="s">
        <v>8485</v>
      </c>
      <c r="F1005" s="42"/>
      <c r="G1005" s="42"/>
      <c r="H1005" s="43"/>
      <c r="I1005" s="42"/>
      <c r="J1005" s="42"/>
      <c r="K1005" s="42"/>
      <c r="L1005" s="42"/>
      <c r="M1005" s="42"/>
      <c r="N1005" s="42"/>
      <c r="O1005" s="42"/>
      <c r="P1005" s="42"/>
      <c r="Q1005" s="42"/>
      <c r="R1005" s="42" t="s">
        <v>7656</v>
      </c>
      <c r="S1005" s="42" t="s">
        <v>359</v>
      </c>
      <c r="T1005" s="42" t="s">
        <v>3891</v>
      </c>
      <c r="U1005" s="42" t="s">
        <v>7325</v>
      </c>
      <c r="V1005" s="44" t="s">
        <v>3892</v>
      </c>
      <c r="W1005" s="42" t="s">
        <v>3892</v>
      </c>
    </row>
    <row r="1006" spans="1:23">
      <c r="A1006" s="40">
        <v>496</v>
      </c>
      <c r="B1006" s="41">
        <v>1751040175</v>
      </c>
      <c r="C1006" s="42" t="s">
        <v>7830</v>
      </c>
      <c r="D1006" s="42" t="s">
        <v>760</v>
      </c>
      <c r="E1006" s="43" t="s">
        <v>8612</v>
      </c>
      <c r="F1006" s="42"/>
      <c r="G1006" s="42"/>
      <c r="H1006" s="43"/>
      <c r="I1006" s="42"/>
      <c r="J1006" s="42"/>
      <c r="K1006" s="42"/>
      <c r="L1006" s="42"/>
      <c r="M1006" s="42"/>
      <c r="N1006" s="42"/>
      <c r="O1006" s="42"/>
      <c r="P1006" s="42"/>
      <c r="Q1006" s="42"/>
      <c r="R1006" s="42" t="s">
        <v>7656</v>
      </c>
      <c r="S1006" s="42" t="s">
        <v>359</v>
      </c>
      <c r="T1006" s="42" t="s">
        <v>3891</v>
      </c>
      <c r="U1006" s="42" t="s">
        <v>7325</v>
      </c>
      <c r="V1006" s="44" t="s">
        <v>3892</v>
      </c>
      <c r="W1006" s="42" t="s">
        <v>3892</v>
      </c>
    </row>
    <row r="1007" spans="1:23" ht="60">
      <c r="A1007" s="40">
        <v>497</v>
      </c>
      <c r="B1007" s="41">
        <v>1851043149</v>
      </c>
      <c r="C1007" s="42" t="s">
        <v>7831</v>
      </c>
      <c r="D1007" s="42" t="s">
        <v>760</v>
      </c>
      <c r="E1007" s="43" t="s">
        <v>8546</v>
      </c>
      <c r="F1007" s="42"/>
      <c r="G1007" s="42"/>
      <c r="H1007" s="43"/>
      <c r="I1007" s="42"/>
      <c r="J1007" s="42"/>
      <c r="K1007" s="42"/>
      <c r="L1007" s="42"/>
      <c r="M1007" s="42"/>
      <c r="N1007" s="42"/>
      <c r="O1007" s="42"/>
      <c r="P1007" s="42"/>
      <c r="Q1007" s="42"/>
      <c r="R1007" s="42" t="s">
        <v>7656</v>
      </c>
      <c r="S1007" s="42" t="s">
        <v>359</v>
      </c>
      <c r="T1007" s="42" t="s">
        <v>3891</v>
      </c>
      <c r="U1007" s="42" t="s">
        <v>7325</v>
      </c>
      <c r="V1007" s="44" t="s">
        <v>7832</v>
      </c>
      <c r="W1007" s="42" t="s">
        <v>3905</v>
      </c>
    </row>
    <row r="1008" spans="1:23">
      <c r="A1008" s="40">
        <v>498</v>
      </c>
      <c r="B1008" s="41">
        <v>1751040203</v>
      </c>
      <c r="C1008" s="42" t="s">
        <v>7833</v>
      </c>
      <c r="D1008" s="42" t="s">
        <v>760</v>
      </c>
      <c r="E1008" s="43" t="s">
        <v>8613</v>
      </c>
      <c r="F1008" s="42"/>
      <c r="G1008" s="42"/>
      <c r="H1008" s="43"/>
      <c r="I1008" s="42"/>
      <c r="J1008" s="42"/>
      <c r="K1008" s="42"/>
      <c r="L1008" s="42"/>
      <c r="M1008" s="42"/>
      <c r="N1008" s="42"/>
      <c r="O1008" s="42"/>
      <c r="P1008" s="42"/>
      <c r="Q1008" s="42"/>
      <c r="R1008" s="42" t="s">
        <v>7656</v>
      </c>
      <c r="S1008" s="42" t="s">
        <v>359</v>
      </c>
      <c r="T1008" s="42" t="s">
        <v>3891</v>
      </c>
      <c r="U1008" s="42" t="s">
        <v>7325</v>
      </c>
      <c r="V1008" s="44" t="s">
        <v>3892</v>
      </c>
      <c r="W1008" s="42" t="s">
        <v>3892</v>
      </c>
    </row>
    <row r="1009" spans="1:23">
      <c r="A1009" s="40">
        <v>499</v>
      </c>
      <c r="B1009" s="41">
        <v>1651042964</v>
      </c>
      <c r="C1009" s="42" t="s">
        <v>7834</v>
      </c>
      <c r="D1009" s="42" t="s">
        <v>760</v>
      </c>
      <c r="E1009" s="43" t="s">
        <v>8313</v>
      </c>
      <c r="F1009" s="42"/>
      <c r="G1009" s="42"/>
      <c r="H1009" s="43"/>
      <c r="I1009" s="42"/>
      <c r="J1009" s="42"/>
      <c r="K1009" s="42"/>
      <c r="L1009" s="42"/>
      <c r="M1009" s="42"/>
      <c r="N1009" s="42"/>
      <c r="O1009" s="42"/>
      <c r="P1009" s="42"/>
      <c r="Q1009" s="42"/>
      <c r="R1009" s="42" t="s">
        <v>7656</v>
      </c>
      <c r="S1009" s="42" t="s">
        <v>359</v>
      </c>
      <c r="T1009" s="42" t="s">
        <v>3891</v>
      </c>
      <c r="U1009" s="42" t="s">
        <v>7325</v>
      </c>
      <c r="V1009" s="44" t="s">
        <v>3892</v>
      </c>
      <c r="W1009" s="42" t="s">
        <v>3892</v>
      </c>
    </row>
    <row r="1010" spans="1:23">
      <c r="A1010" s="40">
        <v>500</v>
      </c>
      <c r="B1010" s="41">
        <v>1751040199</v>
      </c>
      <c r="C1010" s="42" t="s">
        <v>7835</v>
      </c>
      <c r="D1010" s="42" t="s">
        <v>760</v>
      </c>
      <c r="E1010" s="43" t="s">
        <v>8614</v>
      </c>
      <c r="F1010" s="42"/>
      <c r="G1010" s="42"/>
      <c r="H1010" s="43"/>
      <c r="I1010" s="42"/>
      <c r="J1010" s="42"/>
      <c r="K1010" s="42"/>
      <c r="L1010" s="42"/>
      <c r="M1010" s="42"/>
      <c r="N1010" s="42"/>
      <c r="O1010" s="42"/>
      <c r="P1010" s="42"/>
      <c r="Q1010" s="42"/>
      <c r="R1010" s="42" t="s">
        <v>7656</v>
      </c>
      <c r="S1010" s="42" t="s">
        <v>359</v>
      </c>
      <c r="T1010" s="42" t="s">
        <v>3891</v>
      </c>
      <c r="U1010" s="42" t="s">
        <v>7325</v>
      </c>
      <c r="V1010" s="44" t="s">
        <v>3892</v>
      </c>
      <c r="W1010" s="42" t="s">
        <v>3892</v>
      </c>
    </row>
    <row r="1011" spans="1:23">
      <c r="A1011" s="40">
        <v>501</v>
      </c>
      <c r="B1011" s="41">
        <v>1651042905</v>
      </c>
      <c r="C1011" s="42" t="s">
        <v>7836</v>
      </c>
      <c r="D1011" s="42" t="s">
        <v>760</v>
      </c>
      <c r="E1011" s="43" t="s">
        <v>8615</v>
      </c>
      <c r="F1011" s="42"/>
      <c r="G1011" s="42"/>
      <c r="H1011" s="43"/>
      <c r="I1011" s="42"/>
      <c r="J1011" s="42"/>
      <c r="K1011" s="42"/>
      <c r="L1011" s="42"/>
      <c r="M1011" s="42"/>
      <c r="N1011" s="42"/>
      <c r="O1011" s="42"/>
      <c r="P1011" s="42"/>
      <c r="Q1011" s="42"/>
      <c r="R1011" s="42" t="s">
        <v>7656</v>
      </c>
      <c r="S1011" s="42" t="s">
        <v>359</v>
      </c>
      <c r="T1011" s="42" t="s">
        <v>3891</v>
      </c>
      <c r="U1011" s="42" t="s">
        <v>7325</v>
      </c>
      <c r="V1011" s="44" t="s">
        <v>3892</v>
      </c>
      <c r="W1011" s="42" t="s">
        <v>3892</v>
      </c>
    </row>
    <row r="1012" spans="1:23">
      <c r="A1012" s="40">
        <v>502</v>
      </c>
      <c r="B1012" s="41">
        <v>1451041632</v>
      </c>
      <c r="C1012" s="42" t="s">
        <v>7837</v>
      </c>
      <c r="D1012" s="42" t="s">
        <v>760</v>
      </c>
      <c r="E1012" s="43" t="s">
        <v>8616</v>
      </c>
      <c r="F1012" s="42"/>
      <c r="G1012" s="42"/>
      <c r="H1012" s="43"/>
      <c r="I1012" s="42"/>
      <c r="J1012" s="42"/>
      <c r="K1012" s="42"/>
      <c r="L1012" s="42"/>
      <c r="M1012" s="42"/>
      <c r="N1012" s="42"/>
      <c r="O1012" s="42"/>
      <c r="P1012" s="42"/>
      <c r="Q1012" s="42"/>
      <c r="R1012" s="42" t="s">
        <v>7656</v>
      </c>
      <c r="S1012" s="42" t="s">
        <v>359</v>
      </c>
      <c r="T1012" s="42" t="s">
        <v>3891</v>
      </c>
      <c r="U1012" s="42" t="s">
        <v>7325</v>
      </c>
      <c r="V1012" s="44" t="s">
        <v>3892</v>
      </c>
      <c r="W1012" s="42" t="s">
        <v>3892</v>
      </c>
    </row>
    <row r="1013" spans="1:23">
      <c r="A1013" s="40">
        <v>503</v>
      </c>
      <c r="B1013" s="41">
        <v>1651042125</v>
      </c>
      <c r="C1013" s="42" t="s">
        <v>7838</v>
      </c>
      <c r="D1013" s="42" t="s">
        <v>760</v>
      </c>
      <c r="E1013" s="43" t="s">
        <v>8530</v>
      </c>
      <c r="F1013" s="42"/>
      <c r="G1013" s="42"/>
      <c r="H1013" s="43"/>
      <c r="I1013" s="42"/>
      <c r="J1013" s="42"/>
      <c r="K1013" s="42"/>
      <c r="L1013" s="42"/>
      <c r="M1013" s="42"/>
      <c r="N1013" s="42"/>
      <c r="O1013" s="42"/>
      <c r="P1013" s="42"/>
      <c r="Q1013" s="42"/>
      <c r="R1013" s="42" t="s">
        <v>7656</v>
      </c>
      <c r="S1013" s="42" t="s">
        <v>359</v>
      </c>
      <c r="T1013" s="42" t="s">
        <v>3891</v>
      </c>
      <c r="U1013" s="42" t="s">
        <v>7325</v>
      </c>
      <c r="V1013" s="44" t="s">
        <v>3892</v>
      </c>
      <c r="W1013" s="42" t="s">
        <v>3892</v>
      </c>
    </row>
    <row r="1014" spans="1:23">
      <c r="A1014" s="40">
        <v>504</v>
      </c>
      <c r="B1014" s="41">
        <v>1751042230</v>
      </c>
      <c r="C1014" s="42" t="s">
        <v>7839</v>
      </c>
      <c r="D1014" s="42" t="s">
        <v>760</v>
      </c>
      <c r="E1014" s="43" t="s">
        <v>8614</v>
      </c>
      <c r="F1014" s="42"/>
      <c r="G1014" s="42"/>
      <c r="H1014" s="43"/>
      <c r="I1014" s="42"/>
      <c r="J1014" s="42"/>
      <c r="K1014" s="42"/>
      <c r="L1014" s="42"/>
      <c r="M1014" s="42"/>
      <c r="N1014" s="42"/>
      <c r="O1014" s="42"/>
      <c r="P1014" s="42"/>
      <c r="Q1014" s="42"/>
      <c r="R1014" s="42" t="s">
        <v>7656</v>
      </c>
      <c r="S1014" s="42" t="s">
        <v>359</v>
      </c>
      <c r="T1014" s="42" t="s">
        <v>3891</v>
      </c>
      <c r="U1014" s="42" t="s">
        <v>7325</v>
      </c>
      <c r="V1014" s="44" t="s">
        <v>3892</v>
      </c>
      <c r="W1014" s="42" t="s">
        <v>3892</v>
      </c>
    </row>
    <row r="1015" spans="1:23">
      <c r="A1015" s="40">
        <v>505</v>
      </c>
      <c r="B1015" s="41">
        <v>1551042880</v>
      </c>
      <c r="C1015" s="42" t="s">
        <v>7840</v>
      </c>
      <c r="D1015" s="42" t="s">
        <v>760</v>
      </c>
      <c r="E1015" s="43" t="s">
        <v>8617</v>
      </c>
      <c r="F1015" s="42"/>
      <c r="G1015" s="42"/>
      <c r="H1015" s="43"/>
      <c r="I1015" s="42"/>
      <c r="J1015" s="42"/>
      <c r="K1015" s="42"/>
      <c r="L1015" s="42"/>
      <c r="M1015" s="42"/>
      <c r="N1015" s="42"/>
      <c r="O1015" s="42"/>
      <c r="P1015" s="42"/>
      <c r="Q1015" s="42"/>
      <c r="R1015" s="42" t="s">
        <v>7656</v>
      </c>
      <c r="S1015" s="42" t="s">
        <v>359</v>
      </c>
      <c r="T1015" s="42" t="s">
        <v>3891</v>
      </c>
      <c r="U1015" s="42" t="s">
        <v>7325</v>
      </c>
      <c r="V1015" s="44" t="s">
        <v>3892</v>
      </c>
      <c r="W1015" s="42" t="s">
        <v>3892</v>
      </c>
    </row>
    <row r="1016" spans="1:23">
      <c r="A1016" s="40">
        <v>506</v>
      </c>
      <c r="B1016" s="41">
        <v>1651041672</v>
      </c>
      <c r="C1016" s="42" t="s">
        <v>7841</v>
      </c>
      <c r="D1016" s="42" t="s">
        <v>3892</v>
      </c>
      <c r="E1016" s="43" t="s">
        <v>7273</v>
      </c>
      <c r="F1016" s="42"/>
      <c r="G1016" s="42"/>
      <c r="H1016" s="43"/>
      <c r="I1016" s="42"/>
      <c r="J1016" s="42"/>
      <c r="K1016" s="42"/>
      <c r="L1016" s="42"/>
      <c r="M1016" s="42"/>
      <c r="N1016" s="42"/>
      <c r="O1016" s="42"/>
      <c r="P1016" s="42"/>
      <c r="Q1016" s="42"/>
      <c r="R1016" s="42" t="s">
        <v>7656</v>
      </c>
      <c r="S1016" s="42" t="s">
        <v>359</v>
      </c>
      <c r="T1016" s="42" t="s">
        <v>3891</v>
      </c>
      <c r="U1016" s="42" t="s">
        <v>7325</v>
      </c>
      <c r="V1016" s="44" t="s">
        <v>3892</v>
      </c>
      <c r="W1016" s="42" t="s">
        <v>7345</v>
      </c>
    </row>
    <row r="1017" spans="1:23">
      <c r="A1017" s="40">
        <v>507</v>
      </c>
      <c r="B1017" s="41">
        <v>1451040171</v>
      </c>
      <c r="C1017" s="42" t="s">
        <v>7842</v>
      </c>
      <c r="D1017" s="42" t="s">
        <v>3892</v>
      </c>
      <c r="E1017" s="43" t="s">
        <v>7273</v>
      </c>
      <c r="F1017" s="42"/>
      <c r="G1017" s="42"/>
      <c r="H1017" s="43"/>
      <c r="I1017" s="42"/>
      <c r="J1017" s="42"/>
      <c r="K1017" s="42"/>
      <c r="L1017" s="42"/>
      <c r="M1017" s="42"/>
      <c r="N1017" s="42"/>
      <c r="O1017" s="42"/>
      <c r="P1017" s="42"/>
      <c r="Q1017" s="42"/>
      <c r="R1017" s="42" t="s">
        <v>7656</v>
      </c>
      <c r="S1017" s="42" t="s">
        <v>359</v>
      </c>
      <c r="T1017" s="42" t="s">
        <v>3891</v>
      </c>
      <c r="U1017" s="42" t="s">
        <v>7325</v>
      </c>
      <c r="V1017" s="44" t="s">
        <v>3892</v>
      </c>
      <c r="W1017" s="42" t="s">
        <v>7345</v>
      </c>
    </row>
    <row r="1018" spans="1:23">
      <c r="A1018" s="40">
        <v>508</v>
      </c>
      <c r="B1018" s="41">
        <v>1751040460</v>
      </c>
      <c r="C1018" s="42" t="s">
        <v>7843</v>
      </c>
      <c r="D1018" s="42" t="s">
        <v>765</v>
      </c>
      <c r="E1018" s="43" t="s">
        <v>8618</v>
      </c>
      <c r="F1018" s="42"/>
      <c r="G1018" s="42"/>
      <c r="H1018" s="43"/>
      <c r="I1018" s="42"/>
      <c r="J1018" s="42"/>
      <c r="K1018" s="42"/>
      <c r="L1018" s="42"/>
      <c r="M1018" s="42"/>
      <c r="N1018" s="42"/>
      <c r="O1018" s="42"/>
      <c r="P1018" s="42"/>
      <c r="Q1018" s="42"/>
      <c r="R1018" s="42" t="s">
        <v>7656</v>
      </c>
      <c r="S1018" s="42" t="s">
        <v>359</v>
      </c>
      <c r="T1018" s="42" t="s">
        <v>3891</v>
      </c>
      <c r="U1018" s="42" t="s">
        <v>7325</v>
      </c>
      <c r="V1018" s="44" t="s">
        <v>3892</v>
      </c>
      <c r="W1018" s="42" t="s">
        <v>3892</v>
      </c>
    </row>
    <row r="1019" spans="1:23">
      <c r="A1019" s="40">
        <v>509</v>
      </c>
      <c r="B1019" s="41">
        <v>1351012715</v>
      </c>
      <c r="C1019" s="42" t="s">
        <v>7844</v>
      </c>
      <c r="D1019" s="42" t="s">
        <v>765</v>
      </c>
      <c r="E1019" s="43" t="s">
        <v>8619</v>
      </c>
      <c r="F1019" s="42"/>
      <c r="G1019" s="42"/>
      <c r="H1019" s="43"/>
      <c r="I1019" s="42"/>
      <c r="J1019" s="42"/>
      <c r="K1019" s="42"/>
      <c r="L1019" s="42"/>
      <c r="M1019" s="42"/>
      <c r="N1019" s="42"/>
      <c r="O1019" s="42"/>
      <c r="P1019" s="42"/>
      <c r="Q1019" s="42"/>
      <c r="R1019" s="42" t="s">
        <v>7656</v>
      </c>
      <c r="S1019" s="42" t="s">
        <v>359</v>
      </c>
      <c r="T1019" s="42" t="s">
        <v>3891</v>
      </c>
      <c r="U1019" s="42" t="s">
        <v>7325</v>
      </c>
      <c r="V1019" s="44" t="s">
        <v>3892</v>
      </c>
      <c r="W1019" s="42" t="s">
        <v>3892</v>
      </c>
    </row>
    <row r="1020" spans="1:23">
      <c r="A1020" s="40">
        <v>510</v>
      </c>
      <c r="B1020" s="41">
        <v>1551043510</v>
      </c>
      <c r="C1020" s="42" t="s">
        <v>7845</v>
      </c>
      <c r="D1020" s="42" t="s">
        <v>760</v>
      </c>
      <c r="E1020" s="43" t="s">
        <v>8385</v>
      </c>
      <c r="F1020" s="42"/>
      <c r="G1020" s="42"/>
      <c r="H1020" s="43"/>
      <c r="I1020" s="42"/>
      <c r="J1020" s="42"/>
      <c r="K1020" s="42"/>
      <c r="L1020" s="42"/>
      <c r="M1020" s="42"/>
      <c r="N1020" s="42"/>
      <c r="O1020" s="42"/>
      <c r="P1020" s="42"/>
      <c r="Q1020" s="42"/>
      <c r="R1020" s="42" t="s">
        <v>7656</v>
      </c>
      <c r="S1020" s="42" t="s">
        <v>359</v>
      </c>
      <c r="T1020" s="42" t="s">
        <v>3891</v>
      </c>
      <c r="U1020" s="42" t="s">
        <v>7325</v>
      </c>
      <c r="V1020" s="44" t="s">
        <v>3892</v>
      </c>
      <c r="W1020" s="42" t="s">
        <v>3892</v>
      </c>
    </row>
    <row r="1021" spans="1:23">
      <c r="A1021" s="40">
        <v>511</v>
      </c>
      <c r="B1021" s="41">
        <v>1751040670</v>
      </c>
      <c r="C1021" s="42" t="s">
        <v>7846</v>
      </c>
      <c r="D1021" s="42" t="s">
        <v>3892</v>
      </c>
      <c r="E1021" s="43" t="s">
        <v>7273</v>
      </c>
      <c r="F1021" s="42"/>
      <c r="G1021" s="42"/>
      <c r="H1021" s="43"/>
      <c r="I1021" s="42"/>
      <c r="J1021" s="42"/>
      <c r="K1021" s="42"/>
      <c r="L1021" s="42"/>
      <c r="M1021" s="42"/>
      <c r="N1021" s="42"/>
      <c r="O1021" s="42"/>
      <c r="P1021" s="42"/>
      <c r="Q1021" s="42"/>
      <c r="R1021" s="42" t="s">
        <v>7656</v>
      </c>
      <c r="S1021" s="42" t="s">
        <v>359</v>
      </c>
      <c r="T1021" s="42" t="s">
        <v>3891</v>
      </c>
      <c r="U1021" s="42" t="s">
        <v>7325</v>
      </c>
      <c r="V1021" s="44" t="s">
        <v>3892</v>
      </c>
      <c r="W1021" s="42" t="s">
        <v>7345</v>
      </c>
    </row>
    <row r="1022" spans="1:23">
      <c r="A1022" s="40">
        <v>512</v>
      </c>
      <c r="B1022" s="41">
        <v>1651041494</v>
      </c>
      <c r="C1022" s="42" t="s">
        <v>7847</v>
      </c>
      <c r="D1022" s="42" t="s">
        <v>760</v>
      </c>
      <c r="E1022" s="43" t="s">
        <v>8620</v>
      </c>
      <c r="F1022" s="42"/>
      <c r="G1022" s="42"/>
      <c r="H1022" s="43"/>
      <c r="I1022" s="42"/>
      <c r="J1022" s="42"/>
      <c r="K1022" s="42"/>
      <c r="L1022" s="42"/>
      <c r="M1022" s="42"/>
      <c r="N1022" s="42"/>
      <c r="O1022" s="42"/>
      <c r="P1022" s="42"/>
      <c r="Q1022" s="42"/>
      <c r="R1022" s="42" t="s">
        <v>7656</v>
      </c>
      <c r="S1022" s="42" t="s">
        <v>359</v>
      </c>
      <c r="T1022" s="42" t="s">
        <v>3891</v>
      </c>
      <c r="U1022" s="42" t="s">
        <v>7325</v>
      </c>
      <c r="V1022" s="44" t="s">
        <v>3892</v>
      </c>
      <c r="W1022" s="42" t="s">
        <v>3892</v>
      </c>
    </row>
    <row r="1023" spans="1:23">
      <c r="A1023" s="40">
        <v>513</v>
      </c>
      <c r="B1023" s="41">
        <v>1751040449</v>
      </c>
      <c r="C1023" s="42" t="s">
        <v>7848</v>
      </c>
      <c r="D1023" s="42" t="s">
        <v>760</v>
      </c>
      <c r="E1023" s="43" t="s">
        <v>8621</v>
      </c>
      <c r="F1023" s="42"/>
      <c r="G1023" s="42"/>
      <c r="H1023" s="43"/>
      <c r="I1023" s="42"/>
      <c r="J1023" s="42"/>
      <c r="K1023" s="42"/>
      <c r="L1023" s="42"/>
      <c r="M1023" s="42"/>
      <c r="N1023" s="42"/>
      <c r="O1023" s="42"/>
      <c r="P1023" s="42"/>
      <c r="Q1023" s="42"/>
      <c r="R1023" s="42" t="s">
        <v>7656</v>
      </c>
      <c r="S1023" s="42" t="s">
        <v>359</v>
      </c>
      <c r="T1023" s="42" t="s">
        <v>3891</v>
      </c>
      <c r="U1023" s="42" t="s">
        <v>7325</v>
      </c>
      <c r="V1023" s="44" t="s">
        <v>3892</v>
      </c>
      <c r="W1023" s="42" t="s">
        <v>3892</v>
      </c>
    </row>
    <row r="1024" spans="1:23">
      <c r="A1024" s="40">
        <v>514</v>
      </c>
      <c r="B1024" s="41">
        <v>1751040452</v>
      </c>
      <c r="C1024" s="42" t="s">
        <v>7849</v>
      </c>
      <c r="D1024" s="42" t="s">
        <v>760</v>
      </c>
      <c r="E1024" s="43" t="s">
        <v>8622</v>
      </c>
      <c r="F1024" s="42"/>
      <c r="G1024" s="42"/>
      <c r="H1024" s="43"/>
      <c r="I1024" s="42"/>
      <c r="J1024" s="42"/>
      <c r="K1024" s="42"/>
      <c r="L1024" s="42"/>
      <c r="M1024" s="42"/>
      <c r="N1024" s="42"/>
      <c r="O1024" s="42"/>
      <c r="P1024" s="42"/>
      <c r="Q1024" s="42"/>
      <c r="R1024" s="42" t="s">
        <v>7656</v>
      </c>
      <c r="S1024" s="42" t="s">
        <v>359</v>
      </c>
      <c r="T1024" s="42" t="s">
        <v>3891</v>
      </c>
      <c r="U1024" s="42" t="s">
        <v>7325</v>
      </c>
      <c r="V1024" s="44" t="s">
        <v>3892</v>
      </c>
      <c r="W1024" s="42" t="s">
        <v>3892</v>
      </c>
    </row>
    <row r="1025" spans="1:23">
      <c r="A1025" s="40">
        <v>515</v>
      </c>
      <c r="B1025" s="41">
        <v>1551043202</v>
      </c>
      <c r="C1025" s="42" t="s">
        <v>7850</v>
      </c>
      <c r="D1025" s="42" t="s">
        <v>760</v>
      </c>
      <c r="E1025" s="43" t="s">
        <v>8623</v>
      </c>
      <c r="F1025" s="42"/>
      <c r="G1025" s="42"/>
      <c r="H1025" s="43"/>
      <c r="I1025" s="42"/>
      <c r="J1025" s="42"/>
      <c r="K1025" s="42"/>
      <c r="L1025" s="42"/>
      <c r="M1025" s="42"/>
      <c r="N1025" s="42"/>
      <c r="O1025" s="42"/>
      <c r="P1025" s="42"/>
      <c r="Q1025" s="42"/>
      <c r="R1025" s="42" t="s">
        <v>7656</v>
      </c>
      <c r="S1025" s="42" t="s">
        <v>359</v>
      </c>
      <c r="T1025" s="42" t="s">
        <v>3891</v>
      </c>
      <c r="U1025" s="42" t="s">
        <v>7325</v>
      </c>
      <c r="V1025" s="44" t="s">
        <v>3892</v>
      </c>
      <c r="W1025" s="42" t="s">
        <v>3892</v>
      </c>
    </row>
    <row r="1026" spans="1:23">
      <c r="A1026" s="40">
        <v>516</v>
      </c>
      <c r="B1026" s="41">
        <v>1651041850</v>
      </c>
      <c r="C1026" s="42" t="s">
        <v>7851</v>
      </c>
      <c r="D1026" s="42" t="s">
        <v>760</v>
      </c>
      <c r="E1026" s="43" t="s">
        <v>8624</v>
      </c>
      <c r="F1026" s="42"/>
      <c r="G1026" s="42"/>
      <c r="H1026" s="43"/>
      <c r="I1026" s="42"/>
      <c r="J1026" s="42"/>
      <c r="K1026" s="42"/>
      <c r="L1026" s="42"/>
      <c r="M1026" s="42"/>
      <c r="N1026" s="42"/>
      <c r="O1026" s="42"/>
      <c r="P1026" s="42"/>
      <c r="Q1026" s="42"/>
      <c r="R1026" s="42" t="s">
        <v>7656</v>
      </c>
      <c r="S1026" s="42" t="s">
        <v>359</v>
      </c>
      <c r="T1026" s="42" t="s">
        <v>3891</v>
      </c>
      <c r="U1026" s="42" t="s">
        <v>7325</v>
      </c>
      <c r="V1026" s="44" t="s">
        <v>3892</v>
      </c>
      <c r="W1026" s="42" t="s">
        <v>3892</v>
      </c>
    </row>
    <row r="1027" spans="1:23">
      <c r="A1027" s="40">
        <v>517</v>
      </c>
      <c r="B1027" s="41">
        <v>1651041389</v>
      </c>
      <c r="C1027" s="42" t="s">
        <v>7852</v>
      </c>
      <c r="D1027" s="42" t="s">
        <v>760</v>
      </c>
      <c r="E1027" s="43" t="s">
        <v>8600</v>
      </c>
      <c r="F1027" s="42"/>
      <c r="G1027" s="42"/>
      <c r="H1027" s="43"/>
      <c r="I1027" s="42"/>
      <c r="J1027" s="42"/>
      <c r="K1027" s="42"/>
      <c r="L1027" s="42"/>
      <c r="M1027" s="42"/>
      <c r="N1027" s="42"/>
      <c r="O1027" s="42"/>
      <c r="P1027" s="42"/>
      <c r="Q1027" s="42"/>
      <c r="R1027" s="42" t="s">
        <v>7656</v>
      </c>
      <c r="S1027" s="42" t="s">
        <v>359</v>
      </c>
      <c r="T1027" s="42" t="s">
        <v>3891</v>
      </c>
      <c r="U1027" s="42" t="s">
        <v>7325</v>
      </c>
      <c r="V1027" s="44" t="s">
        <v>3892</v>
      </c>
      <c r="W1027" s="42" t="s">
        <v>3892</v>
      </c>
    </row>
    <row r="1028" spans="1:23">
      <c r="A1028" s="40">
        <v>518</v>
      </c>
      <c r="B1028" s="41">
        <v>1551043047</v>
      </c>
      <c r="C1028" s="42" t="s">
        <v>7853</v>
      </c>
      <c r="D1028" s="42" t="s">
        <v>760</v>
      </c>
      <c r="E1028" s="43" t="s">
        <v>8625</v>
      </c>
      <c r="F1028" s="42"/>
      <c r="G1028" s="42"/>
      <c r="H1028" s="43"/>
      <c r="I1028" s="42"/>
      <c r="J1028" s="42"/>
      <c r="K1028" s="42"/>
      <c r="L1028" s="42"/>
      <c r="M1028" s="42"/>
      <c r="N1028" s="42"/>
      <c r="O1028" s="42"/>
      <c r="P1028" s="42"/>
      <c r="Q1028" s="42"/>
      <c r="R1028" s="42" t="s">
        <v>7656</v>
      </c>
      <c r="S1028" s="42" t="s">
        <v>359</v>
      </c>
      <c r="T1028" s="42" t="s">
        <v>3891</v>
      </c>
      <c r="U1028" s="42" t="s">
        <v>7325</v>
      </c>
      <c r="V1028" s="44" t="s">
        <v>3892</v>
      </c>
      <c r="W1028" s="42" t="s">
        <v>3892</v>
      </c>
    </row>
    <row r="1029" spans="1:23" ht="60">
      <c r="A1029" s="40">
        <v>519</v>
      </c>
      <c r="B1029" s="41">
        <v>1851043057</v>
      </c>
      <c r="C1029" s="42" t="s">
        <v>7854</v>
      </c>
      <c r="D1029" s="42" t="s">
        <v>760</v>
      </c>
      <c r="E1029" s="43" t="s">
        <v>8626</v>
      </c>
      <c r="F1029" s="42"/>
      <c r="G1029" s="42"/>
      <c r="H1029" s="43"/>
      <c r="I1029" s="42"/>
      <c r="J1029" s="42"/>
      <c r="K1029" s="42"/>
      <c r="L1029" s="42"/>
      <c r="M1029" s="42"/>
      <c r="N1029" s="42"/>
      <c r="O1029" s="42"/>
      <c r="P1029" s="42"/>
      <c r="Q1029" s="42"/>
      <c r="R1029" s="42" t="s">
        <v>7656</v>
      </c>
      <c r="S1029" s="42" t="s">
        <v>359</v>
      </c>
      <c r="T1029" s="42" t="s">
        <v>3891</v>
      </c>
      <c r="U1029" s="42" t="s">
        <v>7325</v>
      </c>
      <c r="V1029" s="44" t="s">
        <v>7855</v>
      </c>
      <c r="W1029" s="42" t="s">
        <v>3905</v>
      </c>
    </row>
    <row r="1030" spans="1:23">
      <c r="A1030" s="40">
        <v>520</v>
      </c>
      <c r="B1030" s="41">
        <v>1851042672</v>
      </c>
      <c r="C1030" s="42" t="s">
        <v>7856</v>
      </c>
      <c r="D1030" s="42" t="s">
        <v>760</v>
      </c>
      <c r="E1030" s="43" t="s">
        <v>8627</v>
      </c>
      <c r="F1030" s="42"/>
      <c r="G1030" s="42"/>
      <c r="H1030" s="43"/>
      <c r="I1030" s="42"/>
      <c r="J1030" s="42"/>
      <c r="K1030" s="42"/>
      <c r="L1030" s="42"/>
      <c r="M1030" s="42"/>
      <c r="N1030" s="42"/>
      <c r="O1030" s="42"/>
      <c r="P1030" s="42"/>
      <c r="Q1030" s="42"/>
      <c r="R1030" s="42" t="s">
        <v>7656</v>
      </c>
      <c r="S1030" s="42" t="s">
        <v>359</v>
      </c>
      <c r="T1030" s="42" t="s">
        <v>3891</v>
      </c>
      <c r="U1030" s="42" t="s">
        <v>7325</v>
      </c>
      <c r="V1030" s="44" t="s">
        <v>3892</v>
      </c>
      <c r="W1030" s="42" t="s">
        <v>3892</v>
      </c>
    </row>
    <row r="1031" spans="1:23">
      <c r="A1031" s="40">
        <v>521</v>
      </c>
      <c r="B1031" s="41">
        <v>1751040195</v>
      </c>
      <c r="C1031" s="42" t="s">
        <v>7857</v>
      </c>
      <c r="D1031" s="42" t="s">
        <v>760</v>
      </c>
      <c r="E1031" s="43" t="s">
        <v>8628</v>
      </c>
      <c r="F1031" s="42"/>
      <c r="G1031" s="42"/>
      <c r="H1031" s="43"/>
      <c r="I1031" s="42"/>
      <c r="J1031" s="42"/>
      <c r="K1031" s="42"/>
      <c r="L1031" s="42"/>
      <c r="M1031" s="42"/>
      <c r="N1031" s="42"/>
      <c r="O1031" s="42"/>
      <c r="P1031" s="42"/>
      <c r="Q1031" s="42"/>
      <c r="R1031" s="42" t="s">
        <v>7656</v>
      </c>
      <c r="S1031" s="42" t="s">
        <v>359</v>
      </c>
      <c r="T1031" s="42" t="s">
        <v>3891</v>
      </c>
      <c r="U1031" s="42" t="s">
        <v>7325</v>
      </c>
      <c r="V1031" s="44" t="s">
        <v>3892</v>
      </c>
      <c r="W1031" s="42" t="s">
        <v>3892</v>
      </c>
    </row>
    <row r="1032" spans="1:23">
      <c r="A1032" s="40">
        <v>522</v>
      </c>
      <c r="B1032" s="41">
        <v>1751040693</v>
      </c>
      <c r="C1032" s="42" t="s">
        <v>7858</v>
      </c>
      <c r="D1032" s="42" t="s">
        <v>760</v>
      </c>
      <c r="E1032" s="43" t="s">
        <v>8629</v>
      </c>
      <c r="F1032" s="42"/>
      <c r="G1032" s="42"/>
      <c r="H1032" s="43"/>
      <c r="I1032" s="42"/>
      <c r="J1032" s="42"/>
      <c r="K1032" s="42"/>
      <c r="L1032" s="42"/>
      <c r="M1032" s="42"/>
      <c r="N1032" s="42"/>
      <c r="O1032" s="42"/>
      <c r="P1032" s="42"/>
      <c r="Q1032" s="42"/>
      <c r="R1032" s="42" t="s">
        <v>7656</v>
      </c>
      <c r="S1032" s="42" t="s">
        <v>359</v>
      </c>
      <c r="T1032" s="42" t="s">
        <v>3891</v>
      </c>
      <c r="U1032" s="42" t="s">
        <v>7325</v>
      </c>
      <c r="V1032" s="44" t="s">
        <v>3892</v>
      </c>
      <c r="W1032" s="42" t="s">
        <v>3892</v>
      </c>
    </row>
    <row r="1033" spans="1:23">
      <c r="A1033" s="40">
        <v>523</v>
      </c>
      <c r="B1033" s="41">
        <v>1651041380</v>
      </c>
      <c r="C1033" s="42" t="s">
        <v>7859</v>
      </c>
      <c r="D1033" s="42" t="s">
        <v>760</v>
      </c>
      <c r="E1033" s="43" t="s">
        <v>8630</v>
      </c>
      <c r="F1033" s="42"/>
      <c r="G1033" s="42"/>
      <c r="H1033" s="43"/>
      <c r="I1033" s="42"/>
      <c r="J1033" s="42"/>
      <c r="K1033" s="42"/>
      <c r="L1033" s="42"/>
      <c r="M1033" s="42"/>
      <c r="N1033" s="42"/>
      <c r="O1033" s="42"/>
      <c r="P1033" s="42"/>
      <c r="Q1033" s="42"/>
      <c r="R1033" s="42" t="s">
        <v>7656</v>
      </c>
      <c r="S1033" s="42" t="s">
        <v>359</v>
      </c>
      <c r="T1033" s="42" t="s">
        <v>3891</v>
      </c>
      <c r="U1033" s="42" t="s">
        <v>7325</v>
      </c>
      <c r="V1033" s="44" t="s">
        <v>3892</v>
      </c>
      <c r="W1033" s="42" t="s">
        <v>3892</v>
      </c>
    </row>
    <row r="1034" spans="1:23">
      <c r="A1034" s="40">
        <v>524</v>
      </c>
      <c r="B1034" s="41">
        <v>1551043169</v>
      </c>
      <c r="C1034" s="42" t="s">
        <v>7860</v>
      </c>
      <c r="D1034" s="42" t="s">
        <v>760</v>
      </c>
      <c r="E1034" s="43" t="s">
        <v>8438</v>
      </c>
      <c r="F1034" s="42"/>
      <c r="G1034" s="42"/>
      <c r="H1034" s="43"/>
      <c r="I1034" s="42"/>
      <c r="J1034" s="42"/>
      <c r="K1034" s="42"/>
      <c r="L1034" s="42"/>
      <c r="M1034" s="42"/>
      <c r="N1034" s="42"/>
      <c r="O1034" s="42"/>
      <c r="P1034" s="42"/>
      <c r="Q1034" s="42"/>
      <c r="R1034" s="42" t="s">
        <v>7656</v>
      </c>
      <c r="S1034" s="42" t="s">
        <v>359</v>
      </c>
      <c r="T1034" s="42" t="s">
        <v>3891</v>
      </c>
      <c r="U1034" s="42" t="s">
        <v>7325</v>
      </c>
      <c r="V1034" s="44" t="s">
        <v>3892</v>
      </c>
      <c r="W1034" s="42" t="s">
        <v>3892</v>
      </c>
    </row>
    <row r="1035" spans="1:23">
      <c r="A1035" s="40">
        <v>525</v>
      </c>
      <c r="B1035" s="41">
        <v>1551043194</v>
      </c>
      <c r="C1035" s="42" t="s">
        <v>7861</v>
      </c>
      <c r="D1035" s="42" t="s">
        <v>760</v>
      </c>
      <c r="E1035" s="43" t="s">
        <v>8631</v>
      </c>
      <c r="F1035" s="42"/>
      <c r="G1035" s="42"/>
      <c r="H1035" s="43"/>
      <c r="I1035" s="42"/>
      <c r="J1035" s="42"/>
      <c r="K1035" s="42"/>
      <c r="L1035" s="42"/>
      <c r="M1035" s="42"/>
      <c r="N1035" s="42"/>
      <c r="O1035" s="42"/>
      <c r="P1035" s="42"/>
      <c r="Q1035" s="42"/>
      <c r="R1035" s="42" t="s">
        <v>7656</v>
      </c>
      <c r="S1035" s="42" t="s">
        <v>359</v>
      </c>
      <c r="T1035" s="42" t="s">
        <v>3891</v>
      </c>
      <c r="U1035" s="42" t="s">
        <v>7325</v>
      </c>
      <c r="V1035" s="44" t="s">
        <v>3892</v>
      </c>
      <c r="W1035" s="42" t="s">
        <v>3892</v>
      </c>
    </row>
    <row r="1036" spans="1:23">
      <c r="A1036" s="40">
        <v>526</v>
      </c>
      <c r="B1036" s="41">
        <v>1551043085</v>
      </c>
      <c r="C1036" s="42" t="s">
        <v>7862</v>
      </c>
      <c r="D1036" s="42" t="s">
        <v>760</v>
      </c>
      <c r="E1036" s="43" t="s">
        <v>8632</v>
      </c>
      <c r="F1036" s="42"/>
      <c r="G1036" s="42"/>
      <c r="H1036" s="43"/>
      <c r="I1036" s="42"/>
      <c r="J1036" s="42"/>
      <c r="K1036" s="42"/>
      <c r="L1036" s="42"/>
      <c r="M1036" s="42"/>
      <c r="N1036" s="42"/>
      <c r="O1036" s="42"/>
      <c r="P1036" s="42"/>
      <c r="Q1036" s="42"/>
      <c r="R1036" s="42" t="s">
        <v>7656</v>
      </c>
      <c r="S1036" s="42" t="s">
        <v>359</v>
      </c>
      <c r="T1036" s="42" t="s">
        <v>3891</v>
      </c>
      <c r="U1036" s="42" t="s">
        <v>7325</v>
      </c>
      <c r="V1036" s="44" t="s">
        <v>3892</v>
      </c>
      <c r="W1036" s="42" t="s">
        <v>3892</v>
      </c>
    </row>
    <row r="1037" spans="1:23">
      <c r="A1037" s="40">
        <v>527</v>
      </c>
      <c r="B1037" s="41">
        <v>1851042680</v>
      </c>
      <c r="C1037" s="42" t="s">
        <v>7863</v>
      </c>
      <c r="D1037" s="42" t="s">
        <v>3892</v>
      </c>
      <c r="E1037" s="43" t="s">
        <v>7273</v>
      </c>
      <c r="F1037" s="42"/>
      <c r="G1037" s="42"/>
      <c r="H1037" s="43"/>
      <c r="I1037" s="42"/>
      <c r="J1037" s="42"/>
      <c r="K1037" s="42"/>
      <c r="L1037" s="42"/>
      <c r="M1037" s="42"/>
      <c r="N1037" s="42"/>
      <c r="O1037" s="42"/>
      <c r="P1037" s="42"/>
      <c r="Q1037" s="42"/>
      <c r="R1037" s="42" t="s">
        <v>7656</v>
      </c>
      <c r="S1037" s="42" t="s">
        <v>359</v>
      </c>
      <c r="T1037" s="42" t="s">
        <v>3891</v>
      </c>
      <c r="U1037" s="42" t="s">
        <v>7325</v>
      </c>
      <c r="V1037" s="44" t="s">
        <v>3892</v>
      </c>
      <c r="W1037" s="42" t="s">
        <v>3892</v>
      </c>
    </row>
    <row r="1038" spans="1:23">
      <c r="A1038" s="40">
        <v>528</v>
      </c>
      <c r="B1038" s="41">
        <v>1551043221</v>
      </c>
      <c r="C1038" s="42" t="s">
        <v>7864</v>
      </c>
      <c r="D1038" s="42" t="s">
        <v>3892</v>
      </c>
      <c r="E1038" s="43" t="s">
        <v>7273</v>
      </c>
      <c r="F1038" s="42"/>
      <c r="G1038" s="42"/>
      <c r="H1038" s="43"/>
      <c r="I1038" s="42"/>
      <c r="J1038" s="42"/>
      <c r="K1038" s="42"/>
      <c r="L1038" s="42"/>
      <c r="M1038" s="42"/>
      <c r="N1038" s="42"/>
      <c r="O1038" s="42"/>
      <c r="P1038" s="42"/>
      <c r="Q1038" s="42"/>
      <c r="R1038" s="42" t="s">
        <v>7656</v>
      </c>
      <c r="S1038" s="42" t="s">
        <v>359</v>
      </c>
      <c r="T1038" s="42" t="s">
        <v>3891</v>
      </c>
      <c r="U1038" s="42" t="s">
        <v>7325</v>
      </c>
      <c r="V1038" s="44" t="s">
        <v>3892</v>
      </c>
      <c r="W1038" s="42" t="s">
        <v>7345</v>
      </c>
    </row>
    <row r="1039" spans="1:23">
      <c r="A1039" s="40">
        <v>529</v>
      </c>
      <c r="B1039" s="41">
        <v>1551042940</v>
      </c>
      <c r="C1039" s="42" t="s">
        <v>7865</v>
      </c>
      <c r="D1039" s="42" t="s">
        <v>760</v>
      </c>
      <c r="E1039" s="43" t="s">
        <v>8633</v>
      </c>
      <c r="F1039" s="42"/>
      <c r="G1039" s="42"/>
      <c r="H1039" s="43"/>
      <c r="I1039" s="42"/>
      <c r="J1039" s="42"/>
      <c r="K1039" s="42"/>
      <c r="L1039" s="42"/>
      <c r="M1039" s="42"/>
      <c r="N1039" s="42"/>
      <c r="O1039" s="42"/>
      <c r="P1039" s="42"/>
      <c r="Q1039" s="42"/>
      <c r="R1039" s="42" t="s">
        <v>7656</v>
      </c>
      <c r="S1039" s="42" t="s">
        <v>359</v>
      </c>
      <c r="T1039" s="42" t="s">
        <v>3891</v>
      </c>
      <c r="U1039" s="42" t="s">
        <v>7325</v>
      </c>
      <c r="V1039" s="44" t="s">
        <v>3892</v>
      </c>
      <c r="W1039" s="42" t="s">
        <v>3892</v>
      </c>
    </row>
    <row r="1040" spans="1:23">
      <c r="A1040" s="40">
        <v>530</v>
      </c>
      <c r="B1040" s="41">
        <v>1651042911</v>
      </c>
      <c r="C1040" s="42" t="s">
        <v>7866</v>
      </c>
      <c r="D1040" s="42" t="s">
        <v>760</v>
      </c>
      <c r="E1040" s="43" t="s">
        <v>8634</v>
      </c>
      <c r="F1040" s="42"/>
      <c r="G1040" s="42"/>
      <c r="H1040" s="43"/>
      <c r="I1040" s="42"/>
      <c r="J1040" s="42"/>
      <c r="K1040" s="42"/>
      <c r="L1040" s="42"/>
      <c r="M1040" s="42"/>
      <c r="N1040" s="42"/>
      <c r="O1040" s="42"/>
      <c r="P1040" s="42"/>
      <c r="Q1040" s="42"/>
      <c r="R1040" s="42" t="s">
        <v>7656</v>
      </c>
      <c r="S1040" s="42" t="s">
        <v>359</v>
      </c>
      <c r="T1040" s="42" t="s">
        <v>3891</v>
      </c>
      <c r="U1040" s="42" t="s">
        <v>7325</v>
      </c>
      <c r="V1040" s="44" t="s">
        <v>3892</v>
      </c>
      <c r="W1040" s="42" t="s">
        <v>3892</v>
      </c>
    </row>
    <row r="1041" spans="1:23" ht="60">
      <c r="A1041" s="40">
        <v>531</v>
      </c>
      <c r="B1041" s="41">
        <v>1651042919</v>
      </c>
      <c r="C1041" s="42" t="s">
        <v>7867</v>
      </c>
      <c r="D1041" s="42" t="s">
        <v>760</v>
      </c>
      <c r="E1041" s="43" t="s">
        <v>8457</v>
      </c>
      <c r="F1041" s="42"/>
      <c r="G1041" s="42"/>
      <c r="H1041" s="43"/>
      <c r="I1041" s="42"/>
      <c r="J1041" s="42"/>
      <c r="K1041" s="42"/>
      <c r="L1041" s="42"/>
      <c r="M1041" s="42"/>
      <c r="N1041" s="42"/>
      <c r="O1041" s="42"/>
      <c r="P1041" s="42"/>
      <c r="Q1041" s="42"/>
      <c r="R1041" s="42" t="s">
        <v>7656</v>
      </c>
      <c r="S1041" s="42" t="s">
        <v>359</v>
      </c>
      <c r="T1041" s="42" t="s">
        <v>3891</v>
      </c>
      <c r="U1041" s="42" t="s">
        <v>7325</v>
      </c>
      <c r="V1041" s="44" t="s">
        <v>7868</v>
      </c>
      <c r="W1041" s="42" t="s">
        <v>3905</v>
      </c>
    </row>
    <row r="1042" spans="1:23">
      <c r="A1042" s="40">
        <v>532</v>
      </c>
      <c r="B1042" s="41">
        <v>1551043565</v>
      </c>
      <c r="C1042" s="42" t="s">
        <v>7869</v>
      </c>
      <c r="D1042" s="42" t="s">
        <v>3892</v>
      </c>
      <c r="E1042" s="43" t="s">
        <v>7273</v>
      </c>
      <c r="F1042" s="42"/>
      <c r="G1042" s="42"/>
      <c r="H1042" s="43"/>
      <c r="I1042" s="42"/>
      <c r="J1042" s="42"/>
      <c r="K1042" s="42"/>
      <c r="L1042" s="42"/>
      <c r="M1042" s="42"/>
      <c r="N1042" s="42"/>
      <c r="O1042" s="42"/>
      <c r="P1042" s="42"/>
      <c r="Q1042" s="42"/>
      <c r="R1042" s="42" t="s">
        <v>7656</v>
      </c>
      <c r="S1042" s="42" t="s">
        <v>359</v>
      </c>
      <c r="T1042" s="42" t="s">
        <v>3891</v>
      </c>
      <c r="U1042" s="42" t="s">
        <v>7325</v>
      </c>
      <c r="V1042" s="44" t="s">
        <v>3892</v>
      </c>
      <c r="W1042" s="42" t="s">
        <v>3892</v>
      </c>
    </row>
    <row r="1043" spans="1:23">
      <c r="A1043" s="40">
        <v>533</v>
      </c>
      <c r="B1043" s="41">
        <v>1751040108</v>
      </c>
      <c r="C1043" s="42" t="s">
        <v>7870</v>
      </c>
      <c r="D1043" s="42" t="s">
        <v>765</v>
      </c>
      <c r="E1043" s="43" t="s">
        <v>8635</v>
      </c>
      <c r="F1043" s="42"/>
      <c r="G1043" s="42"/>
      <c r="H1043" s="43"/>
      <c r="I1043" s="42"/>
      <c r="J1043" s="42"/>
      <c r="K1043" s="42"/>
      <c r="L1043" s="42"/>
      <c r="M1043" s="42"/>
      <c r="N1043" s="42"/>
      <c r="O1043" s="42"/>
      <c r="P1043" s="42"/>
      <c r="Q1043" s="42"/>
      <c r="R1043" s="42" t="s">
        <v>7656</v>
      </c>
      <c r="S1043" s="42" t="s">
        <v>359</v>
      </c>
      <c r="T1043" s="42" t="s">
        <v>3891</v>
      </c>
      <c r="U1043" s="42" t="s">
        <v>7325</v>
      </c>
      <c r="V1043" s="44" t="s">
        <v>3892</v>
      </c>
      <c r="W1043" s="42" t="s">
        <v>3892</v>
      </c>
    </row>
    <row r="1044" spans="1:23">
      <c r="A1044" s="40">
        <v>534</v>
      </c>
      <c r="B1044" s="41">
        <v>1651041467</v>
      </c>
      <c r="C1044" s="42" t="s">
        <v>7871</v>
      </c>
      <c r="D1044" s="42" t="s">
        <v>765</v>
      </c>
      <c r="E1044" s="43" t="s">
        <v>8482</v>
      </c>
      <c r="F1044" s="42"/>
      <c r="G1044" s="42"/>
      <c r="H1044" s="43"/>
      <c r="I1044" s="42"/>
      <c r="J1044" s="42"/>
      <c r="K1044" s="42"/>
      <c r="L1044" s="42"/>
      <c r="M1044" s="42"/>
      <c r="N1044" s="42"/>
      <c r="O1044" s="42"/>
      <c r="P1044" s="42"/>
      <c r="Q1044" s="42"/>
      <c r="R1044" s="42" t="s">
        <v>7656</v>
      </c>
      <c r="S1044" s="42" t="s">
        <v>359</v>
      </c>
      <c r="T1044" s="42" t="s">
        <v>3891</v>
      </c>
      <c r="U1044" s="42" t="s">
        <v>7325</v>
      </c>
      <c r="V1044" s="44" t="s">
        <v>3892</v>
      </c>
      <c r="W1044" s="42" t="s">
        <v>3892</v>
      </c>
    </row>
    <row r="1045" spans="1:23">
      <c r="A1045" s="40">
        <v>535</v>
      </c>
      <c r="B1045" s="41">
        <v>1651042907</v>
      </c>
      <c r="C1045" s="42" t="s">
        <v>7872</v>
      </c>
      <c r="D1045" s="42" t="s">
        <v>760</v>
      </c>
      <c r="E1045" s="43" t="s">
        <v>8636</v>
      </c>
      <c r="F1045" s="42"/>
      <c r="G1045" s="42"/>
      <c r="H1045" s="43"/>
      <c r="I1045" s="42"/>
      <c r="J1045" s="42"/>
      <c r="K1045" s="42"/>
      <c r="L1045" s="42"/>
      <c r="M1045" s="42"/>
      <c r="N1045" s="42"/>
      <c r="O1045" s="42"/>
      <c r="P1045" s="42"/>
      <c r="Q1045" s="42"/>
      <c r="R1045" s="42" t="s">
        <v>7656</v>
      </c>
      <c r="S1045" s="42" t="s">
        <v>359</v>
      </c>
      <c r="T1045" s="42" t="s">
        <v>3891</v>
      </c>
      <c r="U1045" s="42" t="s">
        <v>7325</v>
      </c>
      <c r="V1045" s="44" t="s">
        <v>3892</v>
      </c>
      <c r="W1045" s="42" t="s">
        <v>3892</v>
      </c>
    </row>
    <row r="1046" spans="1:23">
      <c r="A1046" s="40">
        <v>536</v>
      </c>
      <c r="B1046" s="41">
        <v>1651042913</v>
      </c>
      <c r="C1046" s="42" t="s">
        <v>7873</v>
      </c>
      <c r="D1046" s="42" t="s">
        <v>760</v>
      </c>
      <c r="E1046" s="43" t="s">
        <v>8600</v>
      </c>
      <c r="F1046" s="42"/>
      <c r="G1046" s="42"/>
      <c r="H1046" s="43"/>
      <c r="I1046" s="42"/>
      <c r="J1046" s="42"/>
      <c r="K1046" s="42"/>
      <c r="L1046" s="42"/>
      <c r="M1046" s="42"/>
      <c r="N1046" s="42"/>
      <c r="O1046" s="42"/>
      <c r="P1046" s="42"/>
      <c r="Q1046" s="42"/>
      <c r="R1046" s="42" t="s">
        <v>7656</v>
      </c>
      <c r="S1046" s="42" t="s">
        <v>359</v>
      </c>
      <c r="T1046" s="42" t="s">
        <v>3891</v>
      </c>
      <c r="U1046" s="42" t="s">
        <v>7325</v>
      </c>
      <c r="V1046" s="44" t="s">
        <v>3892</v>
      </c>
      <c r="W1046" s="42" t="s">
        <v>3892</v>
      </c>
    </row>
    <row r="1047" spans="1:23">
      <c r="A1047" s="40">
        <v>537</v>
      </c>
      <c r="B1047" s="41">
        <v>1551042976</v>
      </c>
      <c r="C1047" s="42" t="s">
        <v>7874</v>
      </c>
      <c r="D1047" s="42" t="s">
        <v>760</v>
      </c>
      <c r="E1047" s="43" t="s">
        <v>8637</v>
      </c>
      <c r="F1047" s="42"/>
      <c r="G1047" s="42"/>
      <c r="H1047" s="43"/>
      <c r="I1047" s="42"/>
      <c r="J1047" s="42"/>
      <c r="K1047" s="42"/>
      <c r="L1047" s="42"/>
      <c r="M1047" s="42"/>
      <c r="N1047" s="42"/>
      <c r="O1047" s="42"/>
      <c r="P1047" s="42"/>
      <c r="Q1047" s="42"/>
      <c r="R1047" s="42" t="s">
        <v>7656</v>
      </c>
      <c r="S1047" s="42" t="s">
        <v>359</v>
      </c>
      <c r="T1047" s="42" t="s">
        <v>3891</v>
      </c>
      <c r="U1047" s="42" t="s">
        <v>7325</v>
      </c>
      <c r="V1047" s="44" t="s">
        <v>3892</v>
      </c>
      <c r="W1047" s="42" t="s">
        <v>3892</v>
      </c>
    </row>
    <row r="1048" spans="1:23">
      <c r="A1048" s="40">
        <v>538</v>
      </c>
      <c r="B1048" s="41">
        <v>1651041922</v>
      </c>
      <c r="C1048" s="42" t="s">
        <v>7875</v>
      </c>
      <c r="D1048" s="42" t="s">
        <v>760</v>
      </c>
      <c r="E1048" s="43" t="s">
        <v>8586</v>
      </c>
      <c r="F1048" s="42"/>
      <c r="G1048" s="42"/>
      <c r="H1048" s="43"/>
      <c r="I1048" s="42"/>
      <c r="J1048" s="42"/>
      <c r="K1048" s="42"/>
      <c r="L1048" s="42"/>
      <c r="M1048" s="42"/>
      <c r="N1048" s="42"/>
      <c r="O1048" s="42"/>
      <c r="P1048" s="42"/>
      <c r="Q1048" s="42"/>
      <c r="R1048" s="42" t="s">
        <v>7656</v>
      </c>
      <c r="S1048" s="42" t="s">
        <v>359</v>
      </c>
      <c r="T1048" s="42" t="s">
        <v>3891</v>
      </c>
      <c r="U1048" s="42" t="s">
        <v>7325</v>
      </c>
      <c r="V1048" s="44" t="s">
        <v>3892</v>
      </c>
      <c r="W1048" s="42" t="s">
        <v>3892</v>
      </c>
    </row>
    <row r="1049" spans="1:23">
      <c r="A1049" s="40">
        <v>539</v>
      </c>
      <c r="B1049" s="41">
        <v>1451042901</v>
      </c>
      <c r="C1049" s="42" t="s">
        <v>7876</v>
      </c>
      <c r="D1049" s="42" t="s">
        <v>760</v>
      </c>
      <c r="E1049" s="43" t="s">
        <v>8638</v>
      </c>
      <c r="F1049" s="42"/>
      <c r="G1049" s="42"/>
      <c r="H1049" s="43"/>
      <c r="I1049" s="42"/>
      <c r="J1049" s="42"/>
      <c r="K1049" s="42"/>
      <c r="L1049" s="42"/>
      <c r="M1049" s="42"/>
      <c r="N1049" s="42"/>
      <c r="O1049" s="42"/>
      <c r="P1049" s="42"/>
      <c r="Q1049" s="42"/>
      <c r="R1049" s="42" t="s">
        <v>7656</v>
      </c>
      <c r="S1049" s="42" t="s">
        <v>359</v>
      </c>
      <c r="T1049" s="42" t="s">
        <v>3891</v>
      </c>
      <c r="U1049" s="42" t="s">
        <v>7325</v>
      </c>
      <c r="V1049" s="44" t="s">
        <v>3892</v>
      </c>
      <c r="W1049" s="42" t="s">
        <v>3892</v>
      </c>
    </row>
    <row r="1050" spans="1:23" ht="60">
      <c r="A1050" s="40">
        <v>540</v>
      </c>
      <c r="B1050" s="41">
        <v>1851043005</v>
      </c>
      <c r="C1050" s="42" t="s">
        <v>7877</v>
      </c>
      <c r="D1050" s="42" t="s">
        <v>760</v>
      </c>
      <c r="E1050" s="43" t="s">
        <v>8639</v>
      </c>
      <c r="F1050" s="42"/>
      <c r="G1050" s="42"/>
      <c r="H1050" s="43"/>
      <c r="I1050" s="42"/>
      <c r="J1050" s="42"/>
      <c r="K1050" s="42"/>
      <c r="L1050" s="42"/>
      <c r="M1050" s="42"/>
      <c r="N1050" s="42"/>
      <c r="O1050" s="42"/>
      <c r="P1050" s="42"/>
      <c r="Q1050" s="42"/>
      <c r="R1050" s="42" t="s">
        <v>7656</v>
      </c>
      <c r="S1050" s="42" t="s">
        <v>359</v>
      </c>
      <c r="T1050" s="42" t="s">
        <v>3891</v>
      </c>
      <c r="U1050" s="42" t="s">
        <v>7325</v>
      </c>
      <c r="V1050" s="44" t="s">
        <v>7878</v>
      </c>
      <c r="W1050" s="42" t="s">
        <v>3905</v>
      </c>
    </row>
    <row r="1051" spans="1:23">
      <c r="A1051" s="40">
        <v>541</v>
      </c>
      <c r="B1051" s="41">
        <v>1651041795</v>
      </c>
      <c r="C1051" s="42" t="s">
        <v>7879</v>
      </c>
      <c r="D1051" s="42" t="s">
        <v>760</v>
      </c>
      <c r="E1051" s="43" t="s">
        <v>8640</v>
      </c>
      <c r="F1051" s="42"/>
      <c r="G1051" s="42"/>
      <c r="H1051" s="43"/>
      <c r="I1051" s="42"/>
      <c r="J1051" s="42"/>
      <c r="K1051" s="42"/>
      <c r="L1051" s="42"/>
      <c r="M1051" s="42"/>
      <c r="N1051" s="42"/>
      <c r="O1051" s="42"/>
      <c r="P1051" s="42"/>
      <c r="Q1051" s="42"/>
      <c r="R1051" s="42" t="s">
        <v>7656</v>
      </c>
      <c r="S1051" s="42" t="s">
        <v>359</v>
      </c>
      <c r="T1051" s="42" t="s">
        <v>3891</v>
      </c>
      <c r="U1051" s="42" t="s">
        <v>7325</v>
      </c>
      <c r="V1051" s="44" t="s">
        <v>3892</v>
      </c>
      <c r="W1051" s="42" t="s">
        <v>3892</v>
      </c>
    </row>
    <row r="1052" spans="1:23">
      <c r="A1052" s="40">
        <v>542</v>
      </c>
      <c r="B1052" s="41">
        <v>1651042854</v>
      </c>
      <c r="C1052" s="42" t="s">
        <v>7880</v>
      </c>
      <c r="D1052" s="42" t="s">
        <v>760</v>
      </c>
      <c r="E1052" s="43" t="s">
        <v>8641</v>
      </c>
      <c r="F1052" s="42"/>
      <c r="G1052" s="42"/>
      <c r="H1052" s="43"/>
      <c r="I1052" s="42"/>
      <c r="J1052" s="42"/>
      <c r="K1052" s="42"/>
      <c r="L1052" s="42"/>
      <c r="M1052" s="42"/>
      <c r="N1052" s="42"/>
      <c r="O1052" s="42"/>
      <c r="P1052" s="42"/>
      <c r="Q1052" s="42"/>
      <c r="R1052" s="42" t="s">
        <v>7656</v>
      </c>
      <c r="S1052" s="42" t="s">
        <v>359</v>
      </c>
      <c r="T1052" s="42" t="s">
        <v>3891</v>
      </c>
      <c r="U1052" s="42" t="s">
        <v>7325</v>
      </c>
      <c r="V1052" s="44" t="s">
        <v>3892</v>
      </c>
      <c r="W1052" s="42" t="s">
        <v>3892</v>
      </c>
    </row>
    <row r="1053" spans="1:23">
      <c r="A1053" s="40">
        <v>543</v>
      </c>
      <c r="B1053" s="41">
        <v>1551133031</v>
      </c>
      <c r="C1053" s="42" t="s">
        <v>7881</v>
      </c>
      <c r="D1053" s="42" t="s">
        <v>760</v>
      </c>
      <c r="E1053" s="43" t="s">
        <v>8642</v>
      </c>
      <c r="F1053" s="42"/>
      <c r="G1053" s="42"/>
      <c r="H1053" s="43"/>
      <c r="I1053" s="42"/>
      <c r="J1053" s="42"/>
      <c r="K1053" s="42"/>
      <c r="L1053" s="42"/>
      <c r="M1053" s="42"/>
      <c r="N1053" s="42"/>
      <c r="O1053" s="42"/>
      <c r="P1053" s="42"/>
      <c r="Q1053" s="42"/>
      <c r="R1053" s="42" t="s">
        <v>7882</v>
      </c>
      <c r="S1053" s="42" t="s">
        <v>518</v>
      </c>
      <c r="T1053" s="42" t="s">
        <v>3891</v>
      </c>
      <c r="U1053" s="42" t="s">
        <v>7325</v>
      </c>
      <c r="V1053" s="44" t="s">
        <v>3892</v>
      </c>
      <c r="W1053" s="42" t="s">
        <v>3892</v>
      </c>
    </row>
    <row r="1054" spans="1:23">
      <c r="A1054" s="40">
        <v>544</v>
      </c>
      <c r="B1054" s="41">
        <v>1551043271</v>
      </c>
      <c r="C1054" s="42" t="s">
        <v>7883</v>
      </c>
      <c r="D1054" s="42" t="s">
        <v>3892</v>
      </c>
      <c r="E1054" s="43" t="s">
        <v>7273</v>
      </c>
      <c r="F1054" s="42"/>
      <c r="G1054" s="42"/>
      <c r="H1054" s="43"/>
      <c r="I1054" s="42"/>
      <c r="J1054" s="42"/>
      <c r="K1054" s="42"/>
      <c r="L1054" s="42"/>
      <c r="M1054" s="42"/>
      <c r="N1054" s="42"/>
      <c r="O1054" s="42"/>
      <c r="P1054" s="42"/>
      <c r="Q1054" s="42"/>
      <c r="R1054" s="42" t="s">
        <v>7882</v>
      </c>
      <c r="S1054" s="42" t="s">
        <v>518</v>
      </c>
      <c r="T1054" s="42" t="s">
        <v>3891</v>
      </c>
      <c r="U1054" s="42" t="s">
        <v>7325</v>
      </c>
      <c r="V1054" s="44" t="s">
        <v>3892</v>
      </c>
      <c r="W1054" s="42" t="s">
        <v>7345</v>
      </c>
    </row>
    <row r="1055" spans="1:23">
      <c r="A1055" s="40">
        <v>545</v>
      </c>
      <c r="B1055" s="41">
        <v>1651132073</v>
      </c>
      <c r="C1055" s="42" t="s">
        <v>7884</v>
      </c>
      <c r="D1055" s="42" t="s">
        <v>760</v>
      </c>
      <c r="E1055" s="43" t="s">
        <v>8255</v>
      </c>
      <c r="F1055" s="42"/>
      <c r="G1055" s="42"/>
      <c r="H1055" s="43"/>
      <c r="I1055" s="42"/>
      <c r="J1055" s="42"/>
      <c r="K1055" s="42"/>
      <c r="L1055" s="42"/>
      <c r="M1055" s="42"/>
      <c r="N1055" s="42"/>
      <c r="O1055" s="42"/>
      <c r="P1055" s="42"/>
      <c r="Q1055" s="42"/>
      <c r="R1055" s="42" t="s">
        <v>7882</v>
      </c>
      <c r="S1055" s="42" t="s">
        <v>518</v>
      </c>
      <c r="T1055" s="42" t="s">
        <v>3891</v>
      </c>
      <c r="U1055" s="42" t="s">
        <v>7325</v>
      </c>
      <c r="V1055" s="44" t="s">
        <v>3892</v>
      </c>
      <c r="W1055" s="42" t="s">
        <v>3892</v>
      </c>
    </row>
    <row r="1056" spans="1:23">
      <c r="A1056" s="40">
        <v>546</v>
      </c>
      <c r="B1056" s="41">
        <v>1751131622</v>
      </c>
      <c r="C1056" s="42" t="s">
        <v>7885</v>
      </c>
      <c r="D1056" s="42" t="s">
        <v>760</v>
      </c>
      <c r="E1056" s="43" t="s">
        <v>8643</v>
      </c>
      <c r="F1056" s="42"/>
      <c r="G1056" s="42"/>
      <c r="H1056" s="43"/>
      <c r="I1056" s="42"/>
      <c r="J1056" s="42"/>
      <c r="K1056" s="42"/>
      <c r="L1056" s="42"/>
      <c r="M1056" s="42"/>
      <c r="N1056" s="42"/>
      <c r="O1056" s="42"/>
      <c r="P1056" s="42"/>
      <c r="Q1056" s="42"/>
      <c r="R1056" s="42" t="s">
        <v>7882</v>
      </c>
      <c r="S1056" s="42" t="s">
        <v>518</v>
      </c>
      <c r="T1056" s="42" t="s">
        <v>3891</v>
      </c>
      <c r="U1056" s="42" t="s">
        <v>7325</v>
      </c>
      <c r="V1056" s="44" t="s">
        <v>3892</v>
      </c>
      <c r="W1056" s="42" t="s">
        <v>3892</v>
      </c>
    </row>
    <row r="1057" spans="1:23">
      <c r="A1057" s="40">
        <v>547</v>
      </c>
      <c r="B1057" s="41">
        <v>1851132863</v>
      </c>
      <c r="C1057" s="42" t="s">
        <v>450</v>
      </c>
      <c r="D1057" s="42" t="s">
        <v>760</v>
      </c>
      <c r="E1057" s="43" t="s">
        <v>8644</v>
      </c>
      <c r="F1057" s="42"/>
      <c r="G1057" s="42"/>
      <c r="H1057" s="43"/>
      <c r="I1057" s="42"/>
      <c r="J1057" s="42"/>
      <c r="K1057" s="42"/>
      <c r="L1057" s="42"/>
      <c r="M1057" s="42"/>
      <c r="N1057" s="42"/>
      <c r="O1057" s="42"/>
      <c r="P1057" s="42"/>
      <c r="Q1057" s="42"/>
      <c r="R1057" s="42" t="s">
        <v>7882</v>
      </c>
      <c r="S1057" s="42" t="s">
        <v>518</v>
      </c>
      <c r="T1057" s="42" t="s">
        <v>3891</v>
      </c>
      <c r="U1057" s="42" t="s">
        <v>7325</v>
      </c>
      <c r="V1057" s="44" t="s">
        <v>3892</v>
      </c>
      <c r="W1057" s="42" t="s">
        <v>3892</v>
      </c>
    </row>
    <row r="1058" spans="1:23">
      <c r="A1058" s="40">
        <v>548</v>
      </c>
      <c r="B1058" s="41">
        <v>1551132912</v>
      </c>
      <c r="C1058" s="42" t="s">
        <v>7886</v>
      </c>
      <c r="D1058" s="42" t="s">
        <v>760</v>
      </c>
      <c r="E1058" s="43" t="s">
        <v>8645</v>
      </c>
      <c r="F1058" s="42"/>
      <c r="G1058" s="42"/>
      <c r="H1058" s="43"/>
      <c r="I1058" s="42"/>
      <c r="J1058" s="42"/>
      <c r="K1058" s="42"/>
      <c r="L1058" s="42"/>
      <c r="M1058" s="42"/>
      <c r="N1058" s="42"/>
      <c r="O1058" s="42"/>
      <c r="P1058" s="42"/>
      <c r="Q1058" s="42"/>
      <c r="R1058" s="42" t="s">
        <v>7882</v>
      </c>
      <c r="S1058" s="42" t="s">
        <v>518</v>
      </c>
      <c r="T1058" s="42" t="s">
        <v>3891</v>
      </c>
      <c r="U1058" s="42" t="s">
        <v>7325</v>
      </c>
      <c r="V1058" s="44" t="s">
        <v>3892</v>
      </c>
      <c r="W1058" s="42" t="s">
        <v>3892</v>
      </c>
    </row>
    <row r="1059" spans="1:23">
      <c r="A1059" s="40">
        <v>549</v>
      </c>
      <c r="B1059" s="41">
        <v>1551133015</v>
      </c>
      <c r="C1059" s="42" t="s">
        <v>7887</v>
      </c>
      <c r="D1059" s="42" t="s">
        <v>760</v>
      </c>
      <c r="E1059" s="43" t="s">
        <v>8645</v>
      </c>
      <c r="F1059" s="42"/>
      <c r="G1059" s="42"/>
      <c r="H1059" s="43"/>
      <c r="I1059" s="42"/>
      <c r="J1059" s="42"/>
      <c r="K1059" s="42"/>
      <c r="L1059" s="42"/>
      <c r="M1059" s="42"/>
      <c r="N1059" s="42"/>
      <c r="O1059" s="42"/>
      <c r="P1059" s="42"/>
      <c r="Q1059" s="42"/>
      <c r="R1059" s="42" t="s">
        <v>7882</v>
      </c>
      <c r="S1059" s="42" t="s">
        <v>518</v>
      </c>
      <c r="T1059" s="42" t="s">
        <v>3891</v>
      </c>
      <c r="U1059" s="42" t="s">
        <v>7325</v>
      </c>
      <c r="V1059" s="44" t="s">
        <v>3892</v>
      </c>
      <c r="W1059" s="42" t="s">
        <v>3892</v>
      </c>
    </row>
    <row r="1060" spans="1:23">
      <c r="A1060" s="40">
        <v>550</v>
      </c>
      <c r="B1060" s="41">
        <v>1551132820</v>
      </c>
      <c r="C1060" s="42" t="s">
        <v>7888</v>
      </c>
      <c r="D1060" s="42" t="s">
        <v>760</v>
      </c>
      <c r="E1060" s="43" t="s">
        <v>8395</v>
      </c>
      <c r="F1060" s="42"/>
      <c r="G1060" s="42"/>
      <c r="H1060" s="43"/>
      <c r="I1060" s="42"/>
      <c r="J1060" s="42"/>
      <c r="K1060" s="42"/>
      <c r="L1060" s="42"/>
      <c r="M1060" s="42"/>
      <c r="N1060" s="42"/>
      <c r="O1060" s="42"/>
      <c r="P1060" s="42"/>
      <c r="Q1060" s="42"/>
      <c r="R1060" s="42" t="s">
        <v>7882</v>
      </c>
      <c r="S1060" s="42" t="s">
        <v>518</v>
      </c>
      <c r="T1060" s="42" t="s">
        <v>3891</v>
      </c>
      <c r="U1060" s="42" t="s">
        <v>7325</v>
      </c>
      <c r="V1060" s="44" t="s">
        <v>3892</v>
      </c>
      <c r="W1060" s="42" t="s">
        <v>3892</v>
      </c>
    </row>
    <row r="1061" spans="1:23">
      <c r="A1061" s="40">
        <v>551</v>
      </c>
      <c r="B1061" s="41">
        <v>1551132868</v>
      </c>
      <c r="C1061" s="42" t="s">
        <v>7889</v>
      </c>
      <c r="D1061" s="42" t="s">
        <v>760</v>
      </c>
      <c r="E1061" s="43" t="s">
        <v>8646</v>
      </c>
      <c r="F1061" s="42"/>
      <c r="G1061" s="42"/>
      <c r="H1061" s="43"/>
      <c r="I1061" s="42"/>
      <c r="J1061" s="42"/>
      <c r="K1061" s="42"/>
      <c r="L1061" s="42"/>
      <c r="M1061" s="42"/>
      <c r="N1061" s="42"/>
      <c r="O1061" s="42"/>
      <c r="P1061" s="42"/>
      <c r="Q1061" s="42"/>
      <c r="R1061" s="42" t="s">
        <v>7882</v>
      </c>
      <c r="S1061" s="42" t="s">
        <v>518</v>
      </c>
      <c r="T1061" s="42" t="s">
        <v>3891</v>
      </c>
      <c r="U1061" s="42" t="s">
        <v>7325</v>
      </c>
      <c r="V1061" s="44" t="s">
        <v>3892</v>
      </c>
      <c r="W1061" s="42" t="s">
        <v>3892</v>
      </c>
    </row>
    <row r="1062" spans="1:23">
      <c r="A1062" s="40">
        <v>552</v>
      </c>
      <c r="B1062" s="41">
        <v>1751130217</v>
      </c>
      <c r="C1062" s="42" t="s">
        <v>7890</v>
      </c>
      <c r="D1062" s="42" t="s">
        <v>760</v>
      </c>
      <c r="E1062" s="43" t="s">
        <v>8589</v>
      </c>
      <c r="F1062" s="42"/>
      <c r="G1062" s="42"/>
      <c r="H1062" s="43"/>
      <c r="I1062" s="42"/>
      <c r="J1062" s="42"/>
      <c r="K1062" s="42"/>
      <c r="L1062" s="42"/>
      <c r="M1062" s="42"/>
      <c r="N1062" s="42"/>
      <c r="O1062" s="42"/>
      <c r="P1062" s="42"/>
      <c r="Q1062" s="42"/>
      <c r="R1062" s="42" t="s">
        <v>7882</v>
      </c>
      <c r="S1062" s="42" t="s">
        <v>518</v>
      </c>
      <c r="T1062" s="42" t="s">
        <v>3891</v>
      </c>
      <c r="U1062" s="42" t="s">
        <v>7325</v>
      </c>
      <c r="V1062" s="44" t="s">
        <v>3892</v>
      </c>
      <c r="W1062" s="42" t="s">
        <v>3892</v>
      </c>
    </row>
    <row r="1063" spans="1:23">
      <c r="A1063" s="40">
        <v>553</v>
      </c>
      <c r="B1063" s="41">
        <v>1651132897</v>
      </c>
      <c r="C1063" s="42" t="s">
        <v>7891</v>
      </c>
      <c r="D1063" s="42" t="s">
        <v>760</v>
      </c>
      <c r="E1063" s="43" t="s">
        <v>8647</v>
      </c>
      <c r="F1063" s="42"/>
      <c r="G1063" s="42"/>
      <c r="H1063" s="43"/>
      <c r="I1063" s="42"/>
      <c r="J1063" s="42"/>
      <c r="K1063" s="42"/>
      <c r="L1063" s="42"/>
      <c r="M1063" s="42"/>
      <c r="N1063" s="42"/>
      <c r="O1063" s="42"/>
      <c r="P1063" s="42"/>
      <c r="Q1063" s="42"/>
      <c r="R1063" s="42" t="s">
        <v>7882</v>
      </c>
      <c r="S1063" s="42" t="s">
        <v>518</v>
      </c>
      <c r="T1063" s="42" t="s">
        <v>3891</v>
      </c>
      <c r="U1063" s="42" t="s">
        <v>7325</v>
      </c>
      <c r="V1063" s="44" t="s">
        <v>3892</v>
      </c>
      <c r="W1063" s="42" t="s">
        <v>3892</v>
      </c>
    </row>
    <row r="1064" spans="1:23">
      <c r="A1064" s="40">
        <v>554</v>
      </c>
      <c r="B1064" s="41">
        <v>1551133441</v>
      </c>
      <c r="C1064" s="42" t="s">
        <v>7892</v>
      </c>
      <c r="D1064" s="42" t="s">
        <v>760</v>
      </c>
      <c r="E1064" s="43" t="s">
        <v>8648</v>
      </c>
      <c r="F1064" s="42"/>
      <c r="G1064" s="42"/>
      <c r="H1064" s="43"/>
      <c r="I1064" s="42"/>
      <c r="J1064" s="42"/>
      <c r="K1064" s="42"/>
      <c r="L1064" s="42"/>
      <c r="M1064" s="42"/>
      <c r="N1064" s="42"/>
      <c r="O1064" s="42"/>
      <c r="P1064" s="42"/>
      <c r="Q1064" s="42"/>
      <c r="R1064" s="42" t="s">
        <v>7882</v>
      </c>
      <c r="S1064" s="42" t="s">
        <v>518</v>
      </c>
      <c r="T1064" s="42" t="s">
        <v>3891</v>
      </c>
      <c r="U1064" s="42" t="s">
        <v>7325</v>
      </c>
      <c r="V1064" s="44" t="s">
        <v>3892</v>
      </c>
      <c r="W1064" s="42" t="s">
        <v>3892</v>
      </c>
    </row>
    <row r="1065" spans="1:23">
      <c r="A1065" s="40">
        <v>555</v>
      </c>
      <c r="B1065" s="41">
        <v>1551133496</v>
      </c>
      <c r="C1065" s="42" t="s">
        <v>7893</v>
      </c>
      <c r="D1065" s="42" t="s">
        <v>760</v>
      </c>
      <c r="E1065" s="43" t="s">
        <v>8307</v>
      </c>
      <c r="F1065" s="42"/>
      <c r="G1065" s="42"/>
      <c r="H1065" s="43"/>
      <c r="I1065" s="42"/>
      <c r="J1065" s="42"/>
      <c r="K1065" s="42"/>
      <c r="L1065" s="42"/>
      <c r="M1065" s="42"/>
      <c r="N1065" s="42"/>
      <c r="O1065" s="42"/>
      <c r="P1065" s="42"/>
      <c r="Q1065" s="42"/>
      <c r="R1065" s="42" t="s">
        <v>7882</v>
      </c>
      <c r="S1065" s="42" t="s">
        <v>518</v>
      </c>
      <c r="T1065" s="42" t="s">
        <v>3891</v>
      </c>
      <c r="U1065" s="42" t="s">
        <v>7325</v>
      </c>
      <c r="V1065" s="44" t="s">
        <v>3892</v>
      </c>
      <c r="W1065" s="42" t="s">
        <v>3892</v>
      </c>
    </row>
    <row r="1066" spans="1:23">
      <c r="A1066" s="40">
        <v>556</v>
      </c>
      <c r="B1066" s="41">
        <v>1651132960</v>
      </c>
      <c r="C1066" s="42" t="s">
        <v>7894</v>
      </c>
      <c r="D1066" s="42" t="s">
        <v>3892</v>
      </c>
      <c r="E1066" s="43" t="s">
        <v>7273</v>
      </c>
      <c r="F1066" s="42"/>
      <c r="G1066" s="42"/>
      <c r="H1066" s="43"/>
      <c r="I1066" s="42"/>
      <c r="J1066" s="42"/>
      <c r="K1066" s="42"/>
      <c r="L1066" s="42"/>
      <c r="M1066" s="42"/>
      <c r="N1066" s="42"/>
      <c r="O1066" s="42"/>
      <c r="P1066" s="42"/>
      <c r="Q1066" s="42"/>
      <c r="R1066" s="42" t="s">
        <v>7882</v>
      </c>
      <c r="S1066" s="42" t="s">
        <v>518</v>
      </c>
      <c r="T1066" s="42" t="s">
        <v>3891</v>
      </c>
      <c r="U1066" s="42" t="s">
        <v>7325</v>
      </c>
      <c r="V1066" s="44" t="s">
        <v>3892</v>
      </c>
      <c r="W1066" s="42" t="s">
        <v>7345</v>
      </c>
    </row>
    <row r="1067" spans="1:23">
      <c r="A1067" s="40">
        <v>557</v>
      </c>
      <c r="B1067" s="41">
        <v>1651132466</v>
      </c>
      <c r="C1067" s="42" t="s">
        <v>7895</v>
      </c>
      <c r="D1067" s="42" t="s">
        <v>760</v>
      </c>
      <c r="E1067" s="43" t="s">
        <v>8649</v>
      </c>
      <c r="F1067" s="42"/>
      <c r="G1067" s="42"/>
      <c r="H1067" s="43"/>
      <c r="I1067" s="42"/>
      <c r="J1067" s="42"/>
      <c r="K1067" s="42"/>
      <c r="L1067" s="42"/>
      <c r="M1067" s="42"/>
      <c r="N1067" s="42"/>
      <c r="O1067" s="42"/>
      <c r="P1067" s="42"/>
      <c r="Q1067" s="42"/>
      <c r="R1067" s="42" t="s">
        <v>7882</v>
      </c>
      <c r="S1067" s="42" t="s">
        <v>518</v>
      </c>
      <c r="T1067" s="42" t="s">
        <v>3891</v>
      </c>
      <c r="U1067" s="42" t="s">
        <v>7325</v>
      </c>
      <c r="V1067" s="44" t="s">
        <v>3892</v>
      </c>
      <c r="W1067" s="42" t="s">
        <v>3892</v>
      </c>
    </row>
    <row r="1068" spans="1:23">
      <c r="A1068" s="40">
        <v>558</v>
      </c>
      <c r="B1068" s="41">
        <v>1651132045</v>
      </c>
      <c r="C1068" s="42" t="s">
        <v>7896</v>
      </c>
      <c r="D1068" s="42" t="s">
        <v>760</v>
      </c>
      <c r="E1068" s="43" t="s">
        <v>8650</v>
      </c>
      <c r="F1068" s="42"/>
      <c r="G1068" s="42"/>
      <c r="H1068" s="43"/>
      <c r="I1068" s="42"/>
      <c r="J1068" s="42"/>
      <c r="K1068" s="42"/>
      <c r="L1068" s="42"/>
      <c r="M1068" s="42"/>
      <c r="N1068" s="42"/>
      <c r="O1068" s="42"/>
      <c r="P1068" s="42"/>
      <c r="Q1068" s="42"/>
      <c r="R1068" s="42" t="s">
        <v>7882</v>
      </c>
      <c r="S1068" s="42" t="s">
        <v>518</v>
      </c>
      <c r="T1068" s="42" t="s">
        <v>3891</v>
      </c>
      <c r="U1068" s="42" t="s">
        <v>7325</v>
      </c>
      <c r="V1068" s="44" t="s">
        <v>3892</v>
      </c>
      <c r="W1068" s="42" t="s">
        <v>3892</v>
      </c>
    </row>
    <row r="1069" spans="1:23">
      <c r="A1069" s="40">
        <v>559</v>
      </c>
      <c r="B1069" s="41">
        <v>1751130453</v>
      </c>
      <c r="C1069" s="42" t="s">
        <v>7897</v>
      </c>
      <c r="D1069" s="42" t="s">
        <v>760</v>
      </c>
      <c r="E1069" s="43" t="s">
        <v>8439</v>
      </c>
      <c r="F1069" s="42"/>
      <c r="G1069" s="42"/>
      <c r="H1069" s="43"/>
      <c r="I1069" s="42"/>
      <c r="J1069" s="42"/>
      <c r="K1069" s="42"/>
      <c r="L1069" s="42"/>
      <c r="M1069" s="42"/>
      <c r="N1069" s="42"/>
      <c r="O1069" s="42"/>
      <c r="P1069" s="42"/>
      <c r="Q1069" s="42"/>
      <c r="R1069" s="42" t="s">
        <v>7882</v>
      </c>
      <c r="S1069" s="42" t="s">
        <v>518</v>
      </c>
      <c r="T1069" s="42" t="s">
        <v>3891</v>
      </c>
      <c r="U1069" s="42" t="s">
        <v>7325</v>
      </c>
      <c r="V1069" s="44" t="s">
        <v>3892</v>
      </c>
      <c r="W1069" s="42" t="s">
        <v>3892</v>
      </c>
    </row>
    <row r="1070" spans="1:23">
      <c r="A1070" s="40">
        <v>560</v>
      </c>
      <c r="B1070" s="41">
        <v>1551132932</v>
      </c>
      <c r="C1070" s="42" t="s">
        <v>7898</v>
      </c>
      <c r="D1070" s="42" t="s">
        <v>760</v>
      </c>
      <c r="E1070" s="43" t="s">
        <v>8651</v>
      </c>
      <c r="F1070" s="42"/>
      <c r="G1070" s="42"/>
      <c r="H1070" s="43"/>
      <c r="I1070" s="42"/>
      <c r="J1070" s="42"/>
      <c r="K1070" s="42"/>
      <c r="L1070" s="42"/>
      <c r="M1070" s="42"/>
      <c r="N1070" s="42"/>
      <c r="O1070" s="42"/>
      <c r="P1070" s="42"/>
      <c r="Q1070" s="42"/>
      <c r="R1070" s="42" t="s">
        <v>7882</v>
      </c>
      <c r="S1070" s="42" t="s">
        <v>518</v>
      </c>
      <c r="T1070" s="42" t="s">
        <v>3891</v>
      </c>
      <c r="U1070" s="42" t="s">
        <v>7325</v>
      </c>
      <c r="V1070" s="44" t="s">
        <v>3892</v>
      </c>
      <c r="W1070" s="42" t="s">
        <v>3892</v>
      </c>
    </row>
    <row r="1071" spans="1:23">
      <c r="A1071" s="40">
        <v>561</v>
      </c>
      <c r="B1071" s="41">
        <v>1451131996</v>
      </c>
      <c r="C1071" s="42" t="s">
        <v>7899</v>
      </c>
      <c r="D1071" s="42" t="s">
        <v>760</v>
      </c>
      <c r="E1071" s="43" t="s">
        <v>8652</v>
      </c>
      <c r="F1071" s="42"/>
      <c r="G1071" s="42"/>
      <c r="H1071" s="43"/>
      <c r="I1071" s="42"/>
      <c r="J1071" s="42"/>
      <c r="K1071" s="42"/>
      <c r="L1071" s="42"/>
      <c r="M1071" s="42"/>
      <c r="N1071" s="42"/>
      <c r="O1071" s="42"/>
      <c r="P1071" s="42"/>
      <c r="Q1071" s="42"/>
      <c r="R1071" s="42" t="s">
        <v>7882</v>
      </c>
      <c r="S1071" s="42" t="s">
        <v>518</v>
      </c>
      <c r="T1071" s="42" t="s">
        <v>3891</v>
      </c>
      <c r="U1071" s="42" t="s">
        <v>7325</v>
      </c>
      <c r="V1071" s="44" t="s">
        <v>3892</v>
      </c>
      <c r="W1071" s="42" t="s">
        <v>3892</v>
      </c>
    </row>
    <row r="1072" spans="1:23">
      <c r="A1072" s="40">
        <v>562</v>
      </c>
      <c r="B1072" s="41">
        <v>1551133116</v>
      </c>
      <c r="C1072" s="42" t="s">
        <v>7900</v>
      </c>
      <c r="D1072" s="42" t="s">
        <v>760</v>
      </c>
      <c r="E1072" s="43" t="s">
        <v>8653</v>
      </c>
      <c r="F1072" s="42"/>
      <c r="G1072" s="42"/>
      <c r="H1072" s="43"/>
      <c r="I1072" s="42"/>
      <c r="J1072" s="42"/>
      <c r="K1072" s="42"/>
      <c r="L1072" s="42"/>
      <c r="M1072" s="42"/>
      <c r="N1072" s="42"/>
      <c r="O1072" s="42"/>
      <c r="P1072" s="42"/>
      <c r="Q1072" s="42"/>
      <c r="R1072" s="42" t="s">
        <v>7882</v>
      </c>
      <c r="S1072" s="42" t="s">
        <v>518</v>
      </c>
      <c r="T1072" s="42" t="s">
        <v>3891</v>
      </c>
      <c r="U1072" s="42" t="s">
        <v>7325</v>
      </c>
      <c r="V1072" s="44" t="s">
        <v>3892</v>
      </c>
      <c r="W1072" s="42" t="s">
        <v>3892</v>
      </c>
    </row>
    <row r="1073" spans="1:23">
      <c r="A1073" s="40">
        <v>563</v>
      </c>
      <c r="B1073" s="41">
        <v>1651132959</v>
      </c>
      <c r="C1073" s="42" t="s">
        <v>7901</v>
      </c>
      <c r="D1073" s="42" t="s">
        <v>3892</v>
      </c>
      <c r="E1073" s="43" t="s">
        <v>7273</v>
      </c>
      <c r="F1073" s="42"/>
      <c r="G1073" s="42"/>
      <c r="H1073" s="43"/>
      <c r="I1073" s="42"/>
      <c r="J1073" s="42"/>
      <c r="K1073" s="42"/>
      <c r="L1073" s="42"/>
      <c r="M1073" s="42"/>
      <c r="N1073" s="42"/>
      <c r="O1073" s="42"/>
      <c r="P1073" s="42"/>
      <c r="Q1073" s="42"/>
      <c r="R1073" s="42" t="s">
        <v>7882</v>
      </c>
      <c r="S1073" s="42" t="s">
        <v>518</v>
      </c>
      <c r="T1073" s="42" t="s">
        <v>3891</v>
      </c>
      <c r="U1073" s="42" t="s">
        <v>7325</v>
      </c>
      <c r="V1073" s="44" t="s">
        <v>3892</v>
      </c>
      <c r="W1073" s="42" t="s">
        <v>7345</v>
      </c>
    </row>
    <row r="1074" spans="1:23">
      <c r="A1074" s="40">
        <v>564</v>
      </c>
      <c r="B1074" s="41">
        <v>1751130376</v>
      </c>
      <c r="C1074" s="42" t="s">
        <v>7902</v>
      </c>
      <c r="D1074" s="42" t="s">
        <v>760</v>
      </c>
      <c r="E1074" s="43" t="s">
        <v>8654</v>
      </c>
      <c r="F1074" s="42"/>
      <c r="G1074" s="42"/>
      <c r="H1074" s="43"/>
      <c r="I1074" s="42"/>
      <c r="J1074" s="42"/>
      <c r="K1074" s="42"/>
      <c r="L1074" s="42"/>
      <c r="M1074" s="42"/>
      <c r="N1074" s="42"/>
      <c r="O1074" s="42"/>
      <c r="P1074" s="42"/>
      <c r="Q1074" s="42"/>
      <c r="R1074" s="42" t="s">
        <v>7882</v>
      </c>
      <c r="S1074" s="42" t="s">
        <v>518</v>
      </c>
      <c r="T1074" s="42" t="s">
        <v>3891</v>
      </c>
      <c r="U1074" s="42" t="s">
        <v>7325</v>
      </c>
      <c r="V1074" s="44" t="s">
        <v>3892</v>
      </c>
      <c r="W1074" s="42" t="s">
        <v>3892</v>
      </c>
    </row>
    <row r="1075" spans="1:23">
      <c r="A1075" s="40">
        <v>565</v>
      </c>
      <c r="B1075" s="41">
        <v>1651131900</v>
      </c>
      <c r="C1075" s="42" t="s">
        <v>7903</v>
      </c>
      <c r="D1075" s="42" t="s">
        <v>760</v>
      </c>
      <c r="E1075" s="43" t="s">
        <v>8655</v>
      </c>
      <c r="F1075" s="42"/>
      <c r="G1075" s="42"/>
      <c r="H1075" s="43"/>
      <c r="I1075" s="42"/>
      <c r="J1075" s="42"/>
      <c r="K1075" s="42"/>
      <c r="L1075" s="42"/>
      <c r="M1075" s="42"/>
      <c r="N1075" s="42"/>
      <c r="O1075" s="42"/>
      <c r="P1075" s="42"/>
      <c r="Q1075" s="42"/>
      <c r="R1075" s="42" t="s">
        <v>7882</v>
      </c>
      <c r="S1075" s="42" t="s">
        <v>518</v>
      </c>
      <c r="T1075" s="42" t="s">
        <v>3891</v>
      </c>
      <c r="U1075" s="42" t="s">
        <v>7325</v>
      </c>
      <c r="V1075" s="44" t="s">
        <v>3892</v>
      </c>
      <c r="W1075" s="42" t="s">
        <v>3892</v>
      </c>
    </row>
    <row r="1076" spans="1:23">
      <c r="A1076" s="40">
        <v>566</v>
      </c>
      <c r="B1076" s="41">
        <v>1751130605</v>
      </c>
      <c r="C1076" s="42" t="s">
        <v>7904</v>
      </c>
      <c r="D1076" s="42" t="s">
        <v>760</v>
      </c>
      <c r="E1076" s="43" t="s">
        <v>8656</v>
      </c>
      <c r="F1076" s="42"/>
      <c r="G1076" s="42"/>
      <c r="H1076" s="43"/>
      <c r="I1076" s="42"/>
      <c r="J1076" s="42"/>
      <c r="K1076" s="42"/>
      <c r="L1076" s="42"/>
      <c r="M1076" s="42"/>
      <c r="N1076" s="42"/>
      <c r="O1076" s="42"/>
      <c r="P1076" s="42"/>
      <c r="Q1076" s="42"/>
      <c r="R1076" s="42" t="s">
        <v>7882</v>
      </c>
      <c r="S1076" s="42" t="s">
        <v>518</v>
      </c>
      <c r="T1076" s="42" t="s">
        <v>3891</v>
      </c>
      <c r="U1076" s="42" t="s">
        <v>7325</v>
      </c>
      <c r="V1076" s="44" t="s">
        <v>3892</v>
      </c>
      <c r="W1076" s="42" t="s">
        <v>3892</v>
      </c>
    </row>
    <row r="1077" spans="1:23">
      <c r="A1077" s="40">
        <v>567</v>
      </c>
      <c r="B1077" s="41">
        <v>1651132100</v>
      </c>
      <c r="C1077" s="42" t="s">
        <v>7905</v>
      </c>
      <c r="D1077" s="42" t="s">
        <v>760</v>
      </c>
      <c r="E1077" s="43" t="s">
        <v>8657</v>
      </c>
      <c r="F1077" s="42"/>
      <c r="G1077" s="42"/>
      <c r="H1077" s="43"/>
      <c r="I1077" s="42"/>
      <c r="J1077" s="42"/>
      <c r="K1077" s="42"/>
      <c r="L1077" s="42"/>
      <c r="M1077" s="42"/>
      <c r="N1077" s="42"/>
      <c r="O1077" s="42"/>
      <c r="P1077" s="42"/>
      <c r="Q1077" s="42"/>
      <c r="R1077" s="42" t="s">
        <v>7882</v>
      </c>
      <c r="S1077" s="42" t="s">
        <v>518</v>
      </c>
      <c r="T1077" s="42" t="s">
        <v>3891</v>
      </c>
      <c r="U1077" s="42" t="s">
        <v>7325</v>
      </c>
      <c r="V1077" s="44" t="s">
        <v>3892</v>
      </c>
      <c r="W1077" s="42" t="s">
        <v>3892</v>
      </c>
    </row>
    <row r="1078" spans="1:23">
      <c r="A1078" s="40">
        <v>568</v>
      </c>
      <c r="B1078" s="41">
        <v>1651131662</v>
      </c>
      <c r="C1078" s="42" t="s">
        <v>7906</v>
      </c>
      <c r="D1078" s="42" t="s">
        <v>3892</v>
      </c>
      <c r="E1078" s="43" t="s">
        <v>7273</v>
      </c>
      <c r="F1078" s="42"/>
      <c r="G1078" s="42"/>
      <c r="H1078" s="43"/>
      <c r="I1078" s="42"/>
      <c r="J1078" s="42"/>
      <c r="K1078" s="42"/>
      <c r="L1078" s="42"/>
      <c r="M1078" s="42"/>
      <c r="N1078" s="42"/>
      <c r="O1078" s="42"/>
      <c r="P1078" s="42"/>
      <c r="Q1078" s="42"/>
      <c r="R1078" s="42" t="s">
        <v>7882</v>
      </c>
      <c r="S1078" s="42" t="s">
        <v>518</v>
      </c>
      <c r="T1078" s="42" t="s">
        <v>3891</v>
      </c>
      <c r="U1078" s="42" t="s">
        <v>7325</v>
      </c>
      <c r="V1078" s="44" t="s">
        <v>3892</v>
      </c>
      <c r="W1078" s="42" t="s">
        <v>7345</v>
      </c>
    </row>
    <row r="1079" spans="1:23">
      <c r="A1079" s="40">
        <v>569</v>
      </c>
      <c r="B1079" s="41">
        <v>1451133445</v>
      </c>
      <c r="C1079" s="42" t="s">
        <v>7907</v>
      </c>
      <c r="D1079" s="42" t="s">
        <v>760</v>
      </c>
      <c r="E1079" s="43" t="s">
        <v>8658</v>
      </c>
      <c r="F1079" s="42"/>
      <c r="G1079" s="42"/>
      <c r="H1079" s="43"/>
      <c r="I1079" s="42"/>
      <c r="J1079" s="42"/>
      <c r="K1079" s="42"/>
      <c r="L1079" s="42"/>
      <c r="M1079" s="42"/>
      <c r="N1079" s="42"/>
      <c r="O1079" s="42"/>
      <c r="P1079" s="42"/>
      <c r="Q1079" s="42"/>
      <c r="R1079" s="42" t="s">
        <v>7882</v>
      </c>
      <c r="S1079" s="42" t="s">
        <v>518</v>
      </c>
      <c r="T1079" s="42" t="s">
        <v>3891</v>
      </c>
      <c r="U1079" s="42" t="s">
        <v>7325</v>
      </c>
      <c r="V1079" s="44" t="s">
        <v>3892</v>
      </c>
      <c r="W1079" s="42" t="s">
        <v>3892</v>
      </c>
    </row>
    <row r="1080" spans="1:23">
      <c r="A1080" s="40">
        <v>570</v>
      </c>
      <c r="B1080" s="41">
        <v>1651132930</v>
      </c>
      <c r="C1080" s="42" t="s">
        <v>7908</v>
      </c>
      <c r="D1080" s="42" t="s">
        <v>760</v>
      </c>
      <c r="E1080" s="43" t="s">
        <v>8659</v>
      </c>
      <c r="F1080" s="42"/>
      <c r="G1080" s="42"/>
      <c r="H1080" s="43"/>
      <c r="I1080" s="42"/>
      <c r="J1080" s="42"/>
      <c r="K1080" s="42"/>
      <c r="L1080" s="42"/>
      <c r="M1080" s="42"/>
      <c r="N1080" s="42"/>
      <c r="O1080" s="42"/>
      <c r="P1080" s="42"/>
      <c r="Q1080" s="42"/>
      <c r="R1080" s="42" t="s">
        <v>7882</v>
      </c>
      <c r="S1080" s="42" t="s">
        <v>518</v>
      </c>
      <c r="T1080" s="42" t="s">
        <v>3891</v>
      </c>
      <c r="U1080" s="42" t="s">
        <v>7325</v>
      </c>
      <c r="V1080" s="44" t="s">
        <v>3892</v>
      </c>
      <c r="W1080" s="42" t="s">
        <v>3892</v>
      </c>
    </row>
    <row r="1081" spans="1:23">
      <c r="A1081" s="40">
        <v>571</v>
      </c>
      <c r="B1081" s="41">
        <v>1551133434</v>
      </c>
      <c r="C1081" s="42" t="s">
        <v>7909</v>
      </c>
      <c r="D1081" s="42" t="s">
        <v>3892</v>
      </c>
      <c r="E1081" s="43" t="s">
        <v>7273</v>
      </c>
      <c r="F1081" s="42"/>
      <c r="G1081" s="42"/>
      <c r="H1081" s="43"/>
      <c r="I1081" s="42"/>
      <c r="J1081" s="42"/>
      <c r="K1081" s="42"/>
      <c r="L1081" s="42"/>
      <c r="M1081" s="42"/>
      <c r="N1081" s="42"/>
      <c r="O1081" s="42"/>
      <c r="P1081" s="42"/>
      <c r="Q1081" s="42"/>
      <c r="R1081" s="42" t="s">
        <v>7882</v>
      </c>
      <c r="S1081" s="42" t="s">
        <v>518</v>
      </c>
      <c r="T1081" s="42" t="s">
        <v>3891</v>
      </c>
      <c r="U1081" s="42" t="s">
        <v>7325</v>
      </c>
      <c r="V1081" s="44" t="s">
        <v>3892</v>
      </c>
      <c r="W1081" s="42" t="s">
        <v>7345</v>
      </c>
    </row>
    <row r="1082" spans="1:23">
      <c r="A1082" s="40">
        <v>572</v>
      </c>
      <c r="B1082" s="41">
        <v>1651132901</v>
      </c>
      <c r="C1082" s="42" t="s">
        <v>7910</v>
      </c>
      <c r="D1082" s="42" t="s">
        <v>760</v>
      </c>
      <c r="E1082" s="43" t="s">
        <v>8500</v>
      </c>
      <c r="F1082" s="42"/>
      <c r="G1082" s="42"/>
      <c r="H1082" s="43"/>
      <c r="I1082" s="42"/>
      <c r="J1082" s="42"/>
      <c r="K1082" s="42"/>
      <c r="L1082" s="42"/>
      <c r="M1082" s="42"/>
      <c r="N1082" s="42"/>
      <c r="O1082" s="42"/>
      <c r="P1082" s="42"/>
      <c r="Q1082" s="42"/>
      <c r="R1082" s="42" t="s">
        <v>7882</v>
      </c>
      <c r="S1082" s="42" t="s">
        <v>518</v>
      </c>
      <c r="T1082" s="42" t="s">
        <v>3891</v>
      </c>
      <c r="U1082" s="42" t="s">
        <v>7325</v>
      </c>
      <c r="V1082" s="44" t="s">
        <v>3892</v>
      </c>
      <c r="W1082" s="42" t="s">
        <v>3892</v>
      </c>
    </row>
    <row r="1083" spans="1:23">
      <c r="A1083" s="40">
        <v>573</v>
      </c>
      <c r="B1083" s="41">
        <v>1751131609</v>
      </c>
      <c r="C1083" s="42" t="s">
        <v>7911</v>
      </c>
      <c r="D1083" s="42" t="s">
        <v>760</v>
      </c>
      <c r="E1083" s="43" t="s">
        <v>8660</v>
      </c>
      <c r="F1083" s="42"/>
      <c r="G1083" s="42"/>
      <c r="H1083" s="43"/>
      <c r="I1083" s="42"/>
      <c r="J1083" s="42"/>
      <c r="K1083" s="42"/>
      <c r="L1083" s="42"/>
      <c r="M1083" s="42"/>
      <c r="N1083" s="42"/>
      <c r="O1083" s="42"/>
      <c r="P1083" s="42"/>
      <c r="Q1083" s="42"/>
      <c r="R1083" s="42" t="s">
        <v>7882</v>
      </c>
      <c r="S1083" s="42" t="s">
        <v>518</v>
      </c>
      <c r="T1083" s="42" t="s">
        <v>3891</v>
      </c>
      <c r="U1083" s="42" t="s">
        <v>7325</v>
      </c>
      <c r="V1083" s="44" t="s">
        <v>3892</v>
      </c>
      <c r="W1083" s="42" t="s">
        <v>3892</v>
      </c>
    </row>
    <row r="1084" spans="1:23">
      <c r="A1084" s="40">
        <v>574</v>
      </c>
      <c r="B1084" s="41">
        <v>1751130083</v>
      </c>
      <c r="C1084" s="42" t="s">
        <v>7912</v>
      </c>
      <c r="D1084" s="42" t="s">
        <v>760</v>
      </c>
      <c r="E1084" s="43" t="s">
        <v>8661</v>
      </c>
      <c r="F1084" s="42"/>
      <c r="G1084" s="42"/>
      <c r="H1084" s="43"/>
      <c r="I1084" s="42"/>
      <c r="J1084" s="42"/>
      <c r="K1084" s="42"/>
      <c r="L1084" s="42"/>
      <c r="M1084" s="42"/>
      <c r="N1084" s="42"/>
      <c r="O1084" s="42"/>
      <c r="P1084" s="42"/>
      <c r="Q1084" s="42"/>
      <c r="R1084" s="42" t="s">
        <v>7882</v>
      </c>
      <c r="S1084" s="42" t="s">
        <v>518</v>
      </c>
      <c r="T1084" s="42" t="s">
        <v>3891</v>
      </c>
      <c r="U1084" s="42" t="s">
        <v>7325</v>
      </c>
      <c r="V1084" s="44" t="s">
        <v>3892</v>
      </c>
      <c r="W1084" s="42" t="s">
        <v>3892</v>
      </c>
    </row>
    <row r="1085" spans="1:23">
      <c r="A1085" s="40">
        <v>575</v>
      </c>
      <c r="B1085" s="41">
        <v>1851133086</v>
      </c>
      <c r="C1085" s="42" t="s">
        <v>7913</v>
      </c>
      <c r="D1085" s="42" t="s">
        <v>760</v>
      </c>
      <c r="E1085" s="43" t="s">
        <v>8662</v>
      </c>
      <c r="F1085" s="42"/>
      <c r="G1085" s="42"/>
      <c r="H1085" s="43"/>
      <c r="I1085" s="42"/>
      <c r="J1085" s="42"/>
      <c r="K1085" s="42"/>
      <c r="L1085" s="42"/>
      <c r="M1085" s="42"/>
      <c r="N1085" s="42"/>
      <c r="O1085" s="42"/>
      <c r="P1085" s="42"/>
      <c r="Q1085" s="42"/>
      <c r="R1085" s="42" t="s">
        <v>7882</v>
      </c>
      <c r="S1085" s="42" t="s">
        <v>518</v>
      </c>
      <c r="T1085" s="42" t="s">
        <v>3891</v>
      </c>
      <c r="U1085" s="42" t="s">
        <v>7325</v>
      </c>
      <c r="V1085" s="44" t="s">
        <v>3892</v>
      </c>
      <c r="W1085" s="42" t="s">
        <v>3892</v>
      </c>
    </row>
    <row r="1086" spans="1:23">
      <c r="A1086" s="40">
        <v>576</v>
      </c>
      <c r="B1086" s="41">
        <v>1651132116</v>
      </c>
      <c r="C1086" s="42" t="s">
        <v>7914</v>
      </c>
      <c r="D1086" s="42" t="s">
        <v>760</v>
      </c>
      <c r="E1086" s="43" t="s">
        <v>8663</v>
      </c>
      <c r="F1086" s="42"/>
      <c r="G1086" s="42"/>
      <c r="H1086" s="43"/>
      <c r="I1086" s="42"/>
      <c r="J1086" s="42"/>
      <c r="K1086" s="42"/>
      <c r="L1086" s="42"/>
      <c r="M1086" s="42"/>
      <c r="N1086" s="42"/>
      <c r="O1086" s="42"/>
      <c r="P1086" s="42"/>
      <c r="Q1086" s="42"/>
      <c r="R1086" s="42" t="s">
        <v>7882</v>
      </c>
      <c r="S1086" s="42" t="s">
        <v>518</v>
      </c>
      <c r="T1086" s="42" t="s">
        <v>3891</v>
      </c>
      <c r="U1086" s="42" t="s">
        <v>7325</v>
      </c>
      <c r="V1086" s="44" t="s">
        <v>3892</v>
      </c>
      <c r="W1086" s="42" t="s">
        <v>3892</v>
      </c>
    </row>
    <row r="1087" spans="1:23">
      <c r="A1087" s="40">
        <v>577</v>
      </c>
      <c r="B1087" s="41">
        <v>1451131802</v>
      </c>
      <c r="C1087" s="42" t="s">
        <v>7915</v>
      </c>
      <c r="D1087" s="42" t="s">
        <v>760</v>
      </c>
      <c r="E1087" s="43" t="s">
        <v>8664</v>
      </c>
      <c r="F1087" s="42"/>
      <c r="G1087" s="42"/>
      <c r="H1087" s="43"/>
      <c r="I1087" s="42"/>
      <c r="J1087" s="42"/>
      <c r="K1087" s="42"/>
      <c r="L1087" s="42"/>
      <c r="M1087" s="42"/>
      <c r="N1087" s="42"/>
      <c r="O1087" s="42"/>
      <c r="P1087" s="42"/>
      <c r="Q1087" s="42"/>
      <c r="R1087" s="42" t="s">
        <v>7882</v>
      </c>
      <c r="S1087" s="42" t="s">
        <v>518</v>
      </c>
      <c r="T1087" s="42" t="s">
        <v>3891</v>
      </c>
      <c r="U1087" s="42" t="s">
        <v>7325</v>
      </c>
      <c r="V1087" s="44" t="s">
        <v>3892</v>
      </c>
      <c r="W1087" s="42" t="s">
        <v>3892</v>
      </c>
    </row>
    <row r="1088" spans="1:23">
      <c r="A1088" s="40">
        <v>578</v>
      </c>
      <c r="B1088" s="41">
        <v>1551133318</v>
      </c>
      <c r="C1088" s="42" t="s">
        <v>7916</v>
      </c>
      <c r="D1088" s="42" t="s">
        <v>760</v>
      </c>
      <c r="E1088" s="43" t="s">
        <v>8665</v>
      </c>
      <c r="F1088" s="42"/>
      <c r="G1088" s="42"/>
      <c r="H1088" s="43"/>
      <c r="I1088" s="42"/>
      <c r="J1088" s="42"/>
      <c r="K1088" s="42"/>
      <c r="L1088" s="42"/>
      <c r="M1088" s="42"/>
      <c r="N1088" s="42"/>
      <c r="O1088" s="42"/>
      <c r="P1088" s="42"/>
      <c r="Q1088" s="42"/>
      <c r="R1088" s="42" t="s">
        <v>7882</v>
      </c>
      <c r="S1088" s="42" t="s">
        <v>518</v>
      </c>
      <c r="T1088" s="42" t="s">
        <v>3891</v>
      </c>
      <c r="U1088" s="42" t="s">
        <v>7325</v>
      </c>
      <c r="V1088" s="44" t="s">
        <v>3892</v>
      </c>
      <c r="W1088" s="42" t="s">
        <v>3892</v>
      </c>
    </row>
    <row r="1089" spans="1:23">
      <c r="A1089" s="40">
        <v>579</v>
      </c>
      <c r="B1089" s="41">
        <v>1651132271</v>
      </c>
      <c r="C1089" s="42" t="s">
        <v>7917</v>
      </c>
      <c r="D1089" s="42" t="s">
        <v>760</v>
      </c>
      <c r="E1089" s="43" t="s">
        <v>8517</v>
      </c>
      <c r="F1089" s="42"/>
      <c r="G1089" s="42"/>
      <c r="H1089" s="43"/>
      <c r="I1089" s="42"/>
      <c r="J1089" s="42"/>
      <c r="K1089" s="42"/>
      <c r="L1089" s="42"/>
      <c r="M1089" s="42"/>
      <c r="N1089" s="42"/>
      <c r="O1089" s="42"/>
      <c r="P1089" s="42"/>
      <c r="Q1089" s="42"/>
      <c r="R1089" s="42" t="s">
        <v>7882</v>
      </c>
      <c r="S1089" s="42" t="s">
        <v>518</v>
      </c>
      <c r="T1089" s="42" t="s">
        <v>3891</v>
      </c>
      <c r="U1089" s="42" t="s">
        <v>7325</v>
      </c>
      <c r="V1089" s="44" t="s">
        <v>3892</v>
      </c>
      <c r="W1089" s="42" t="s">
        <v>3892</v>
      </c>
    </row>
    <row r="1090" spans="1:23">
      <c r="A1090" s="40">
        <v>580</v>
      </c>
      <c r="B1090" s="41">
        <v>1451133227</v>
      </c>
      <c r="C1090" s="42" t="s">
        <v>7918</v>
      </c>
      <c r="D1090" s="42" t="s">
        <v>760</v>
      </c>
      <c r="E1090" s="43" t="s">
        <v>8666</v>
      </c>
      <c r="F1090" s="42"/>
      <c r="G1090" s="42"/>
      <c r="H1090" s="43"/>
      <c r="I1090" s="42"/>
      <c r="J1090" s="42"/>
      <c r="K1090" s="42"/>
      <c r="L1090" s="42"/>
      <c r="M1090" s="42"/>
      <c r="N1090" s="42"/>
      <c r="O1090" s="42"/>
      <c r="P1090" s="42"/>
      <c r="Q1090" s="42"/>
      <c r="R1090" s="42" t="s">
        <v>7882</v>
      </c>
      <c r="S1090" s="42" t="s">
        <v>518</v>
      </c>
      <c r="T1090" s="42" t="s">
        <v>3891</v>
      </c>
      <c r="U1090" s="42" t="s">
        <v>7325</v>
      </c>
      <c r="V1090" s="44" t="s">
        <v>3892</v>
      </c>
      <c r="W1090" s="42" t="s">
        <v>3892</v>
      </c>
    </row>
    <row r="1091" spans="1:23">
      <c r="A1091" s="40">
        <v>581</v>
      </c>
      <c r="B1091" s="41">
        <v>1451132690</v>
      </c>
      <c r="C1091" s="42" t="s">
        <v>4012</v>
      </c>
      <c r="D1091" s="42" t="s">
        <v>3892</v>
      </c>
      <c r="E1091" s="43" t="s">
        <v>7273</v>
      </c>
      <c r="F1091" s="42"/>
      <c r="G1091" s="42"/>
      <c r="H1091" s="43"/>
      <c r="I1091" s="42"/>
      <c r="J1091" s="42"/>
      <c r="K1091" s="42"/>
      <c r="L1091" s="42"/>
      <c r="M1091" s="42"/>
      <c r="N1091" s="42"/>
      <c r="O1091" s="42"/>
      <c r="P1091" s="42"/>
      <c r="Q1091" s="42"/>
      <c r="R1091" s="42" t="s">
        <v>7882</v>
      </c>
      <c r="S1091" s="42" t="s">
        <v>518</v>
      </c>
      <c r="T1091" s="42" t="s">
        <v>3891</v>
      </c>
      <c r="U1091" s="42" t="s">
        <v>7325</v>
      </c>
      <c r="V1091" s="44" t="s">
        <v>3892</v>
      </c>
      <c r="W1091" s="42" t="s">
        <v>7345</v>
      </c>
    </row>
    <row r="1092" spans="1:23">
      <c r="A1092" s="40">
        <v>582</v>
      </c>
      <c r="B1092" s="41">
        <v>1651132124</v>
      </c>
      <c r="C1092" s="42" t="s">
        <v>7919</v>
      </c>
      <c r="D1092" s="42" t="s">
        <v>760</v>
      </c>
      <c r="E1092" s="43" t="s">
        <v>8667</v>
      </c>
      <c r="F1092" s="42"/>
      <c r="G1092" s="42"/>
      <c r="H1092" s="43"/>
      <c r="I1092" s="42"/>
      <c r="J1092" s="42"/>
      <c r="K1092" s="42"/>
      <c r="L1092" s="42"/>
      <c r="M1092" s="42"/>
      <c r="N1092" s="42"/>
      <c r="O1092" s="42"/>
      <c r="P1092" s="42"/>
      <c r="Q1092" s="42"/>
      <c r="R1092" s="42" t="s">
        <v>7882</v>
      </c>
      <c r="S1092" s="42" t="s">
        <v>518</v>
      </c>
      <c r="T1092" s="42" t="s">
        <v>3891</v>
      </c>
      <c r="U1092" s="42" t="s">
        <v>7325</v>
      </c>
      <c r="V1092" s="44" t="s">
        <v>3892</v>
      </c>
      <c r="W1092" s="42" t="s">
        <v>3892</v>
      </c>
    </row>
    <row r="1093" spans="1:23">
      <c r="A1093" s="40">
        <v>583</v>
      </c>
      <c r="B1093" s="41">
        <v>1651132955</v>
      </c>
      <c r="C1093" s="42" t="s">
        <v>7920</v>
      </c>
      <c r="D1093" s="42" t="s">
        <v>760</v>
      </c>
      <c r="E1093" s="43" t="s">
        <v>8373</v>
      </c>
      <c r="F1093" s="42"/>
      <c r="G1093" s="42"/>
      <c r="H1093" s="43"/>
      <c r="I1093" s="42"/>
      <c r="J1093" s="42"/>
      <c r="K1093" s="42"/>
      <c r="L1093" s="42"/>
      <c r="M1093" s="42"/>
      <c r="N1093" s="42"/>
      <c r="O1093" s="42"/>
      <c r="P1093" s="42"/>
      <c r="Q1093" s="42"/>
      <c r="R1093" s="42" t="s">
        <v>7882</v>
      </c>
      <c r="S1093" s="42" t="s">
        <v>518</v>
      </c>
      <c r="T1093" s="42" t="s">
        <v>3891</v>
      </c>
      <c r="U1093" s="42" t="s">
        <v>7325</v>
      </c>
      <c r="V1093" s="44" t="s">
        <v>3892</v>
      </c>
      <c r="W1093" s="42" t="s">
        <v>3892</v>
      </c>
    </row>
    <row r="1094" spans="1:23">
      <c r="A1094" s="40">
        <v>584</v>
      </c>
      <c r="B1094" s="41">
        <v>1551133170</v>
      </c>
      <c r="C1094" s="42" t="s">
        <v>7921</v>
      </c>
      <c r="D1094" s="42" t="s">
        <v>760</v>
      </c>
      <c r="E1094" s="43" t="s">
        <v>8668</v>
      </c>
      <c r="F1094" s="42"/>
      <c r="G1094" s="42"/>
      <c r="H1094" s="43"/>
      <c r="I1094" s="42"/>
      <c r="J1094" s="42"/>
      <c r="K1094" s="42"/>
      <c r="L1094" s="42"/>
      <c r="M1094" s="42"/>
      <c r="N1094" s="42"/>
      <c r="O1094" s="42"/>
      <c r="P1094" s="42"/>
      <c r="Q1094" s="42"/>
      <c r="R1094" s="42" t="s">
        <v>7882</v>
      </c>
      <c r="S1094" s="42" t="s">
        <v>518</v>
      </c>
      <c r="T1094" s="42" t="s">
        <v>3891</v>
      </c>
      <c r="U1094" s="42" t="s">
        <v>7325</v>
      </c>
      <c r="V1094" s="44" t="s">
        <v>3892</v>
      </c>
      <c r="W1094" s="42" t="s">
        <v>3892</v>
      </c>
    </row>
    <row r="1095" spans="1:23">
      <c r="A1095" s="40">
        <v>585</v>
      </c>
      <c r="B1095" s="41">
        <v>1551133129</v>
      </c>
      <c r="C1095" s="42" t="s">
        <v>7922</v>
      </c>
      <c r="D1095" s="42" t="s">
        <v>760</v>
      </c>
      <c r="E1095" s="43" t="s">
        <v>8669</v>
      </c>
      <c r="F1095" s="42"/>
      <c r="G1095" s="42"/>
      <c r="H1095" s="43"/>
      <c r="I1095" s="42"/>
      <c r="J1095" s="42"/>
      <c r="K1095" s="42"/>
      <c r="L1095" s="42"/>
      <c r="M1095" s="42"/>
      <c r="N1095" s="42"/>
      <c r="O1095" s="42"/>
      <c r="P1095" s="42"/>
      <c r="Q1095" s="42"/>
      <c r="R1095" s="42" t="s">
        <v>7882</v>
      </c>
      <c r="S1095" s="42" t="s">
        <v>518</v>
      </c>
      <c r="T1095" s="42" t="s">
        <v>3891</v>
      </c>
      <c r="U1095" s="42" t="s">
        <v>7325</v>
      </c>
      <c r="V1095" s="44" t="s">
        <v>3892</v>
      </c>
      <c r="W1095" s="42" t="s">
        <v>3892</v>
      </c>
    </row>
    <row r="1096" spans="1:23">
      <c r="A1096" s="40">
        <v>586</v>
      </c>
      <c r="B1096" s="41">
        <v>1751130407</v>
      </c>
      <c r="C1096" s="42" t="s">
        <v>7923</v>
      </c>
      <c r="D1096" s="42" t="s">
        <v>760</v>
      </c>
      <c r="E1096" s="43" t="s">
        <v>8670</v>
      </c>
      <c r="F1096" s="42"/>
      <c r="G1096" s="42"/>
      <c r="H1096" s="43"/>
      <c r="I1096" s="42"/>
      <c r="J1096" s="42"/>
      <c r="K1096" s="42"/>
      <c r="L1096" s="42"/>
      <c r="M1096" s="42"/>
      <c r="N1096" s="42"/>
      <c r="O1096" s="42"/>
      <c r="P1096" s="42"/>
      <c r="Q1096" s="42"/>
      <c r="R1096" s="42" t="s">
        <v>7882</v>
      </c>
      <c r="S1096" s="42" t="s">
        <v>518</v>
      </c>
      <c r="T1096" s="42" t="s">
        <v>3891</v>
      </c>
      <c r="U1096" s="42" t="s">
        <v>7325</v>
      </c>
      <c r="V1096" s="44" t="s">
        <v>3892</v>
      </c>
      <c r="W1096" s="42" t="s">
        <v>3892</v>
      </c>
    </row>
    <row r="1097" spans="1:23">
      <c r="A1097" s="40">
        <v>587</v>
      </c>
      <c r="B1097" s="41">
        <v>1651041681</v>
      </c>
      <c r="C1097" s="42" t="s">
        <v>7924</v>
      </c>
      <c r="D1097" s="42" t="s">
        <v>760</v>
      </c>
      <c r="E1097" s="43" t="s">
        <v>8671</v>
      </c>
      <c r="F1097" s="42"/>
      <c r="G1097" s="42"/>
      <c r="H1097" s="43"/>
      <c r="I1097" s="42"/>
      <c r="J1097" s="42"/>
      <c r="K1097" s="42"/>
      <c r="L1097" s="42"/>
      <c r="M1097" s="42"/>
      <c r="N1097" s="42"/>
      <c r="O1097" s="42"/>
      <c r="P1097" s="42"/>
      <c r="Q1097" s="42"/>
      <c r="R1097" s="42" t="s">
        <v>7882</v>
      </c>
      <c r="S1097" s="42" t="s">
        <v>518</v>
      </c>
      <c r="T1097" s="42" t="s">
        <v>3891</v>
      </c>
      <c r="U1097" s="42" t="s">
        <v>7325</v>
      </c>
      <c r="V1097" s="44" t="s">
        <v>3892</v>
      </c>
      <c r="W1097" s="42" t="s">
        <v>3892</v>
      </c>
    </row>
    <row r="1098" spans="1:23">
      <c r="A1098" s="40">
        <v>588</v>
      </c>
      <c r="B1098" s="41">
        <v>1451132527</v>
      </c>
      <c r="C1098" s="42" t="s">
        <v>7925</v>
      </c>
      <c r="D1098" s="42" t="s">
        <v>760</v>
      </c>
      <c r="E1098" s="43" t="s">
        <v>8672</v>
      </c>
      <c r="F1098" s="42"/>
      <c r="G1098" s="42"/>
      <c r="H1098" s="43"/>
      <c r="I1098" s="42"/>
      <c r="J1098" s="42"/>
      <c r="K1098" s="42"/>
      <c r="L1098" s="42"/>
      <c r="M1098" s="42"/>
      <c r="N1098" s="42"/>
      <c r="O1098" s="42"/>
      <c r="P1098" s="42"/>
      <c r="Q1098" s="42"/>
      <c r="R1098" s="42" t="s">
        <v>7882</v>
      </c>
      <c r="S1098" s="42" t="s">
        <v>518</v>
      </c>
      <c r="T1098" s="42" t="s">
        <v>3891</v>
      </c>
      <c r="U1098" s="42" t="s">
        <v>7325</v>
      </c>
      <c r="V1098" s="44" t="s">
        <v>3892</v>
      </c>
      <c r="W1098" s="42" t="s">
        <v>3892</v>
      </c>
    </row>
    <row r="1099" spans="1:23">
      <c r="A1099" s="40">
        <v>589</v>
      </c>
      <c r="B1099" s="41">
        <v>1351012596</v>
      </c>
      <c r="C1099" s="42" t="s">
        <v>7926</v>
      </c>
      <c r="D1099" s="42" t="s">
        <v>760</v>
      </c>
      <c r="E1099" s="43" t="s">
        <v>8673</v>
      </c>
      <c r="F1099" s="42"/>
      <c r="G1099" s="42"/>
      <c r="H1099" s="43"/>
      <c r="I1099" s="42"/>
      <c r="J1099" s="42"/>
      <c r="K1099" s="42"/>
      <c r="L1099" s="42"/>
      <c r="M1099" s="42"/>
      <c r="N1099" s="42"/>
      <c r="O1099" s="42"/>
      <c r="P1099" s="42"/>
      <c r="Q1099" s="42"/>
      <c r="R1099" s="42" t="s">
        <v>7882</v>
      </c>
      <c r="S1099" s="42" t="s">
        <v>518</v>
      </c>
      <c r="T1099" s="42" t="s">
        <v>3891</v>
      </c>
      <c r="U1099" s="42" t="s">
        <v>7325</v>
      </c>
      <c r="V1099" s="44" t="s">
        <v>3892</v>
      </c>
      <c r="W1099" s="42" t="s">
        <v>3892</v>
      </c>
    </row>
    <row r="1100" spans="1:23">
      <c r="A1100" s="40">
        <v>590</v>
      </c>
      <c r="B1100" s="41">
        <v>1651132881</v>
      </c>
      <c r="C1100" s="42" t="s">
        <v>7927</v>
      </c>
      <c r="D1100" s="42" t="s">
        <v>760</v>
      </c>
      <c r="E1100" s="43" t="s">
        <v>8674</v>
      </c>
      <c r="F1100" s="42"/>
      <c r="G1100" s="42"/>
      <c r="H1100" s="43"/>
      <c r="I1100" s="42"/>
      <c r="J1100" s="42"/>
      <c r="K1100" s="42"/>
      <c r="L1100" s="42"/>
      <c r="M1100" s="42"/>
      <c r="N1100" s="42"/>
      <c r="O1100" s="42"/>
      <c r="P1100" s="42"/>
      <c r="Q1100" s="42"/>
      <c r="R1100" s="42" t="s">
        <v>7882</v>
      </c>
      <c r="S1100" s="42" t="s">
        <v>518</v>
      </c>
      <c r="T1100" s="42" t="s">
        <v>3891</v>
      </c>
      <c r="U1100" s="42" t="s">
        <v>7325</v>
      </c>
      <c r="V1100" s="44" t="s">
        <v>3892</v>
      </c>
      <c r="W1100" s="42" t="s">
        <v>3892</v>
      </c>
    </row>
    <row r="1101" spans="1:23">
      <c r="A1101" s="40">
        <v>591</v>
      </c>
      <c r="B1101" s="41">
        <v>1651132946</v>
      </c>
      <c r="C1101" s="42" t="s">
        <v>7770</v>
      </c>
      <c r="D1101" s="42" t="s">
        <v>760</v>
      </c>
      <c r="E1101" s="43" t="s">
        <v>8675</v>
      </c>
      <c r="F1101" s="42"/>
      <c r="G1101" s="42"/>
      <c r="H1101" s="43"/>
      <c r="I1101" s="42"/>
      <c r="J1101" s="42"/>
      <c r="K1101" s="42"/>
      <c r="L1101" s="42"/>
      <c r="M1101" s="42"/>
      <c r="N1101" s="42"/>
      <c r="O1101" s="42"/>
      <c r="P1101" s="42"/>
      <c r="Q1101" s="42"/>
      <c r="R1101" s="42" t="s">
        <v>7882</v>
      </c>
      <c r="S1101" s="42" t="s">
        <v>518</v>
      </c>
      <c r="T1101" s="42" t="s">
        <v>3891</v>
      </c>
      <c r="U1101" s="42" t="s">
        <v>7325</v>
      </c>
      <c r="V1101" s="44" t="s">
        <v>3892</v>
      </c>
      <c r="W1101" s="42" t="s">
        <v>3892</v>
      </c>
    </row>
    <row r="1102" spans="1:23">
      <c r="A1102" s="40">
        <v>592</v>
      </c>
      <c r="B1102" s="41">
        <v>1551133000</v>
      </c>
      <c r="C1102" s="42" t="s">
        <v>7928</v>
      </c>
      <c r="D1102" s="42" t="s">
        <v>760</v>
      </c>
      <c r="E1102" s="43" t="s">
        <v>8525</v>
      </c>
      <c r="F1102" s="42"/>
      <c r="G1102" s="42"/>
      <c r="H1102" s="43"/>
      <c r="I1102" s="42"/>
      <c r="J1102" s="42"/>
      <c r="K1102" s="42"/>
      <c r="L1102" s="42"/>
      <c r="M1102" s="42"/>
      <c r="N1102" s="42"/>
      <c r="O1102" s="42"/>
      <c r="P1102" s="42"/>
      <c r="Q1102" s="42"/>
      <c r="R1102" s="42" t="s">
        <v>7882</v>
      </c>
      <c r="S1102" s="42" t="s">
        <v>518</v>
      </c>
      <c r="T1102" s="42" t="s">
        <v>3891</v>
      </c>
      <c r="U1102" s="42" t="s">
        <v>7325</v>
      </c>
      <c r="V1102" s="44" t="s">
        <v>3892</v>
      </c>
      <c r="W1102" s="42" t="s">
        <v>3892</v>
      </c>
    </row>
    <row r="1103" spans="1:23">
      <c r="A1103" s="40">
        <v>593</v>
      </c>
      <c r="B1103" s="41">
        <v>1251012296</v>
      </c>
      <c r="C1103" s="42" t="s">
        <v>7929</v>
      </c>
      <c r="D1103" s="42" t="s">
        <v>3892</v>
      </c>
      <c r="E1103" s="43" t="s">
        <v>7273</v>
      </c>
      <c r="F1103" s="42"/>
      <c r="G1103" s="42"/>
      <c r="H1103" s="43"/>
      <c r="I1103" s="42"/>
      <c r="J1103" s="42"/>
      <c r="K1103" s="42"/>
      <c r="L1103" s="42"/>
      <c r="M1103" s="42"/>
      <c r="N1103" s="42"/>
      <c r="O1103" s="42"/>
      <c r="P1103" s="42"/>
      <c r="Q1103" s="42"/>
      <c r="R1103" s="42" t="s">
        <v>7882</v>
      </c>
      <c r="S1103" s="42" t="s">
        <v>518</v>
      </c>
      <c r="T1103" s="42" t="s">
        <v>3891</v>
      </c>
      <c r="U1103" s="42" t="s">
        <v>7325</v>
      </c>
      <c r="V1103" s="44" t="s">
        <v>3892</v>
      </c>
      <c r="W1103" s="42" t="s">
        <v>7345</v>
      </c>
    </row>
    <row r="1104" spans="1:23">
      <c r="A1104" s="40">
        <v>594</v>
      </c>
      <c r="B1104" s="41">
        <v>1551133154</v>
      </c>
      <c r="C1104" s="42" t="s">
        <v>7930</v>
      </c>
      <c r="D1104" s="42" t="s">
        <v>3892</v>
      </c>
      <c r="E1104" s="43" t="s">
        <v>7273</v>
      </c>
      <c r="F1104" s="42"/>
      <c r="G1104" s="42"/>
      <c r="H1104" s="43"/>
      <c r="I1104" s="42"/>
      <c r="J1104" s="42"/>
      <c r="K1104" s="42"/>
      <c r="L1104" s="42"/>
      <c r="M1104" s="42"/>
      <c r="N1104" s="42"/>
      <c r="O1104" s="42"/>
      <c r="P1104" s="42"/>
      <c r="Q1104" s="42"/>
      <c r="R1104" s="42" t="s">
        <v>7882</v>
      </c>
      <c r="S1104" s="42" t="s">
        <v>518</v>
      </c>
      <c r="T1104" s="42" t="s">
        <v>3891</v>
      </c>
      <c r="U1104" s="42" t="s">
        <v>7325</v>
      </c>
      <c r="V1104" s="44" t="s">
        <v>3892</v>
      </c>
      <c r="W1104" s="42" t="s">
        <v>3892</v>
      </c>
    </row>
    <row r="1105" spans="1:23">
      <c r="A1105" s="40">
        <v>595</v>
      </c>
      <c r="B1105" s="41">
        <v>1851133152</v>
      </c>
      <c r="C1105" s="42" t="s">
        <v>7931</v>
      </c>
      <c r="D1105" s="42" t="s">
        <v>3892</v>
      </c>
      <c r="E1105" s="43" t="s">
        <v>7273</v>
      </c>
      <c r="F1105" s="42"/>
      <c r="G1105" s="42"/>
      <c r="H1105" s="43"/>
      <c r="I1105" s="42"/>
      <c r="J1105" s="42"/>
      <c r="K1105" s="42"/>
      <c r="L1105" s="42"/>
      <c r="M1105" s="42"/>
      <c r="N1105" s="42"/>
      <c r="O1105" s="42"/>
      <c r="P1105" s="42"/>
      <c r="Q1105" s="42"/>
      <c r="R1105" s="42" t="s">
        <v>7882</v>
      </c>
      <c r="S1105" s="42" t="s">
        <v>518</v>
      </c>
      <c r="T1105" s="42" t="s">
        <v>3891</v>
      </c>
      <c r="U1105" s="42" t="s">
        <v>7325</v>
      </c>
      <c r="V1105" s="44" t="s">
        <v>3892</v>
      </c>
      <c r="W1105" s="42" t="s">
        <v>3892</v>
      </c>
    </row>
    <row r="1106" spans="1:23">
      <c r="A1106" s="40">
        <v>596</v>
      </c>
      <c r="B1106" s="41">
        <v>1651132874</v>
      </c>
      <c r="C1106" s="42" t="s">
        <v>7932</v>
      </c>
      <c r="D1106" s="42" t="s">
        <v>760</v>
      </c>
      <c r="E1106" s="43" t="s">
        <v>8608</v>
      </c>
      <c r="F1106" s="42"/>
      <c r="G1106" s="42"/>
      <c r="H1106" s="43"/>
      <c r="I1106" s="42"/>
      <c r="J1106" s="42"/>
      <c r="K1106" s="42"/>
      <c r="L1106" s="42"/>
      <c r="M1106" s="42"/>
      <c r="N1106" s="42"/>
      <c r="O1106" s="42"/>
      <c r="P1106" s="42"/>
      <c r="Q1106" s="42"/>
      <c r="R1106" s="42" t="s">
        <v>7882</v>
      </c>
      <c r="S1106" s="42" t="s">
        <v>518</v>
      </c>
      <c r="T1106" s="42" t="s">
        <v>3891</v>
      </c>
      <c r="U1106" s="42" t="s">
        <v>7325</v>
      </c>
      <c r="V1106" s="44" t="s">
        <v>3892</v>
      </c>
      <c r="W1106" s="42" t="s">
        <v>3892</v>
      </c>
    </row>
    <row r="1107" spans="1:23">
      <c r="A1107" s="40">
        <v>597</v>
      </c>
      <c r="B1107" s="41">
        <v>1551133372</v>
      </c>
      <c r="C1107" s="42" t="s">
        <v>7933</v>
      </c>
      <c r="D1107" s="42" t="s">
        <v>3892</v>
      </c>
      <c r="E1107" s="43" t="s">
        <v>7273</v>
      </c>
      <c r="F1107" s="42"/>
      <c r="G1107" s="42"/>
      <c r="H1107" s="43"/>
      <c r="I1107" s="42"/>
      <c r="J1107" s="42"/>
      <c r="K1107" s="42"/>
      <c r="L1107" s="42"/>
      <c r="M1107" s="42"/>
      <c r="N1107" s="42"/>
      <c r="O1107" s="42"/>
      <c r="P1107" s="42"/>
      <c r="Q1107" s="42"/>
      <c r="R1107" s="42" t="s">
        <v>7882</v>
      </c>
      <c r="S1107" s="42" t="s">
        <v>518</v>
      </c>
      <c r="T1107" s="42" t="s">
        <v>3891</v>
      </c>
      <c r="U1107" s="42" t="s">
        <v>7325</v>
      </c>
      <c r="V1107" s="44" t="s">
        <v>3892</v>
      </c>
      <c r="W1107" s="42" t="s">
        <v>7345</v>
      </c>
    </row>
    <row r="1108" spans="1:23">
      <c r="A1108" s="40">
        <v>598</v>
      </c>
      <c r="B1108" s="41">
        <v>1651132926</v>
      </c>
      <c r="C1108" s="42" t="s">
        <v>7934</v>
      </c>
      <c r="D1108" s="42" t="s">
        <v>760</v>
      </c>
      <c r="E1108" s="43" t="s">
        <v>8676</v>
      </c>
      <c r="F1108" s="42"/>
      <c r="G1108" s="42"/>
      <c r="H1108" s="43"/>
      <c r="I1108" s="42"/>
      <c r="J1108" s="42"/>
      <c r="K1108" s="42"/>
      <c r="L1108" s="42"/>
      <c r="M1108" s="42"/>
      <c r="N1108" s="42"/>
      <c r="O1108" s="42"/>
      <c r="P1108" s="42"/>
      <c r="Q1108" s="42"/>
      <c r="R1108" s="42" t="s">
        <v>7882</v>
      </c>
      <c r="S1108" s="42" t="s">
        <v>518</v>
      </c>
      <c r="T1108" s="42" t="s">
        <v>3891</v>
      </c>
      <c r="U1108" s="42" t="s">
        <v>7325</v>
      </c>
      <c r="V1108" s="44" t="s">
        <v>3892</v>
      </c>
      <c r="W1108" s="42" t="s">
        <v>3892</v>
      </c>
    </row>
    <row r="1109" spans="1:23">
      <c r="A1109" s="40">
        <v>599</v>
      </c>
      <c r="B1109" s="41">
        <v>1451132917</v>
      </c>
      <c r="C1109" s="42" t="s">
        <v>7935</v>
      </c>
      <c r="D1109" s="42" t="s">
        <v>760</v>
      </c>
      <c r="E1109" s="43" t="s">
        <v>8677</v>
      </c>
      <c r="F1109" s="42"/>
      <c r="G1109" s="42"/>
      <c r="H1109" s="43"/>
      <c r="I1109" s="42"/>
      <c r="J1109" s="42"/>
      <c r="K1109" s="42"/>
      <c r="L1109" s="42"/>
      <c r="M1109" s="42"/>
      <c r="N1109" s="42"/>
      <c r="O1109" s="42"/>
      <c r="P1109" s="42"/>
      <c r="Q1109" s="42"/>
      <c r="R1109" s="42" t="s">
        <v>7882</v>
      </c>
      <c r="S1109" s="42" t="s">
        <v>518</v>
      </c>
      <c r="T1109" s="42" t="s">
        <v>3891</v>
      </c>
      <c r="U1109" s="42" t="s">
        <v>7325</v>
      </c>
      <c r="V1109" s="44" t="s">
        <v>3892</v>
      </c>
      <c r="W1109" s="42" t="s">
        <v>3892</v>
      </c>
    </row>
    <row r="1110" spans="1:23">
      <c r="A1110" s="40">
        <v>600</v>
      </c>
      <c r="B1110" s="41">
        <v>1551133092</v>
      </c>
      <c r="C1110" s="42" t="s">
        <v>7936</v>
      </c>
      <c r="D1110" s="42" t="s">
        <v>760</v>
      </c>
      <c r="E1110" s="43" t="s">
        <v>8678</v>
      </c>
      <c r="F1110" s="42"/>
      <c r="G1110" s="42"/>
      <c r="H1110" s="43"/>
      <c r="I1110" s="42"/>
      <c r="J1110" s="42"/>
      <c r="K1110" s="42"/>
      <c r="L1110" s="42"/>
      <c r="M1110" s="42"/>
      <c r="N1110" s="42"/>
      <c r="O1110" s="42"/>
      <c r="P1110" s="42"/>
      <c r="Q1110" s="42"/>
      <c r="R1110" s="42" t="s">
        <v>7882</v>
      </c>
      <c r="S1110" s="42" t="s">
        <v>518</v>
      </c>
      <c r="T1110" s="42" t="s">
        <v>3891</v>
      </c>
      <c r="U1110" s="42" t="s">
        <v>7325</v>
      </c>
      <c r="V1110" s="44" t="s">
        <v>3892</v>
      </c>
      <c r="W1110" s="42" t="s">
        <v>3892</v>
      </c>
    </row>
    <row r="1111" spans="1:23">
      <c r="A1111" s="40">
        <v>601</v>
      </c>
      <c r="B1111" s="41">
        <v>1651131959</v>
      </c>
      <c r="C1111" s="42" t="s">
        <v>7937</v>
      </c>
      <c r="D1111" s="42" t="s">
        <v>760</v>
      </c>
      <c r="E1111" s="43" t="s">
        <v>8679</v>
      </c>
      <c r="F1111" s="42"/>
      <c r="G1111" s="42"/>
      <c r="H1111" s="43"/>
      <c r="I1111" s="42"/>
      <c r="J1111" s="42"/>
      <c r="K1111" s="42"/>
      <c r="L1111" s="42"/>
      <c r="M1111" s="42"/>
      <c r="N1111" s="42"/>
      <c r="O1111" s="42"/>
      <c r="P1111" s="42"/>
      <c r="Q1111" s="42"/>
      <c r="R1111" s="42" t="s">
        <v>7882</v>
      </c>
      <c r="S1111" s="42" t="s">
        <v>518</v>
      </c>
      <c r="T1111" s="42" t="s">
        <v>3891</v>
      </c>
      <c r="U1111" s="42" t="s">
        <v>7325</v>
      </c>
      <c r="V1111" s="44" t="s">
        <v>3892</v>
      </c>
      <c r="W1111" s="42" t="s">
        <v>3892</v>
      </c>
    </row>
    <row r="1112" spans="1:23">
      <c r="A1112" s="40">
        <v>602</v>
      </c>
      <c r="B1112" s="41">
        <v>1551132938</v>
      </c>
      <c r="C1112" s="42" t="s">
        <v>7938</v>
      </c>
      <c r="D1112" s="42" t="s">
        <v>760</v>
      </c>
      <c r="E1112" s="43" t="s">
        <v>8680</v>
      </c>
      <c r="F1112" s="42"/>
      <c r="G1112" s="42"/>
      <c r="H1112" s="43"/>
      <c r="I1112" s="42"/>
      <c r="J1112" s="42"/>
      <c r="K1112" s="42"/>
      <c r="L1112" s="42"/>
      <c r="M1112" s="42"/>
      <c r="N1112" s="42"/>
      <c r="O1112" s="42"/>
      <c r="P1112" s="42"/>
      <c r="Q1112" s="42"/>
      <c r="R1112" s="42" t="s">
        <v>7882</v>
      </c>
      <c r="S1112" s="42" t="s">
        <v>518</v>
      </c>
      <c r="T1112" s="42" t="s">
        <v>3891</v>
      </c>
      <c r="U1112" s="42" t="s">
        <v>7325</v>
      </c>
      <c r="V1112" s="44" t="s">
        <v>3892</v>
      </c>
      <c r="W1112" s="42" t="s">
        <v>3892</v>
      </c>
    </row>
    <row r="1113" spans="1:23">
      <c r="A1113" s="40">
        <v>603</v>
      </c>
      <c r="B1113" s="41">
        <v>1551133405</v>
      </c>
      <c r="C1113" s="42" t="s">
        <v>7939</v>
      </c>
      <c r="D1113" s="42" t="s">
        <v>760</v>
      </c>
      <c r="E1113" s="43" t="s">
        <v>8591</v>
      </c>
      <c r="F1113" s="42"/>
      <c r="G1113" s="42"/>
      <c r="H1113" s="43"/>
      <c r="I1113" s="42"/>
      <c r="J1113" s="42"/>
      <c r="K1113" s="42"/>
      <c r="L1113" s="42"/>
      <c r="M1113" s="42"/>
      <c r="N1113" s="42"/>
      <c r="O1113" s="42"/>
      <c r="P1113" s="42"/>
      <c r="Q1113" s="42"/>
      <c r="R1113" s="42" t="s">
        <v>7882</v>
      </c>
      <c r="S1113" s="42" t="s">
        <v>518</v>
      </c>
      <c r="T1113" s="42" t="s">
        <v>3891</v>
      </c>
      <c r="U1113" s="42" t="s">
        <v>7325</v>
      </c>
      <c r="V1113" s="44" t="s">
        <v>3892</v>
      </c>
      <c r="W1113" s="42" t="s">
        <v>3892</v>
      </c>
    </row>
    <row r="1114" spans="1:23">
      <c r="A1114" s="40">
        <v>604</v>
      </c>
      <c r="B1114" s="41">
        <v>1651132863</v>
      </c>
      <c r="C1114" s="42" t="s">
        <v>7940</v>
      </c>
      <c r="D1114" s="42" t="s">
        <v>760</v>
      </c>
      <c r="E1114" s="43" t="s">
        <v>8681</v>
      </c>
      <c r="F1114" s="42"/>
      <c r="G1114" s="42"/>
      <c r="H1114" s="43"/>
      <c r="I1114" s="42"/>
      <c r="J1114" s="42"/>
      <c r="K1114" s="42"/>
      <c r="L1114" s="42"/>
      <c r="M1114" s="42"/>
      <c r="N1114" s="42"/>
      <c r="O1114" s="42"/>
      <c r="P1114" s="42"/>
      <c r="Q1114" s="42"/>
      <c r="R1114" s="42" t="s">
        <v>7882</v>
      </c>
      <c r="S1114" s="42" t="s">
        <v>518</v>
      </c>
      <c r="T1114" s="42" t="s">
        <v>3891</v>
      </c>
      <c r="U1114" s="42" t="s">
        <v>7325</v>
      </c>
      <c r="V1114" s="44" t="s">
        <v>3892</v>
      </c>
      <c r="W1114" s="42" t="s">
        <v>3892</v>
      </c>
    </row>
    <row r="1115" spans="1:23">
      <c r="A1115" s="40">
        <v>605</v>
      </c>
      <c r="B1115" s="41">
        <v>1851133242</v>
      </c>
      <c r="C1115" s="42" t="s">
        <v>7941</v>
      </c>
      <c r="D1115" s="42" t="s">
        <v>760</v>
      </c>
      <c r="E1115" s="43" t="s">
        <v>7273</v>
      </c>
      <c r="F1115" s="42"/>
      <c r="G1115" s="42"/>
      <c r="H1115" s="43"/>
      <c r="I1115" s="42"/>
      <c r="J1115" s="42"/>
      <c r="K1115" s="42"/>
      <c r="L1115" s="42"/>
      <c r="M1115" s="42"/>
      <c r="N1115" s="42"/>
      <c r="O1115" s="42"/>
      <c r="P1115" s="42"/>
      <c r="Q1115" s="42"/>
      <c r="R1115" s="42" t="s">
        <v>7882</v>
      </c>
      <c r="S1115" s="42" t="s">
        <v>518</v>
      </c>
      <c r="T1115" s="42" t="s">
        <v>3891</v>
      </c>
      <c r="U1115" s="42" t="s">
        <v>7325</v>
      </c>
      <c r="V1115" s="44" t="s">
        <v>3892</v>
      </c>
      <c r="W1115" s="42" t="s">
        <v>3892</v>
      </c>
    </row>
    <row r="1116" spans="1:23">
      <c r="A1116" s="40">
        <v>606</v>
      </c>
      <c r="B1116" s="41">
        <v>1551133294</v>
      </c>
      <c r="C1116" s="42" t="s">
        <v>7942</v>
      </c>
      <c r="D1116" s="42" t="s">
        <v>760</v>
      </c>
      <c r="E1116" s="43" t="s">
        <v>8682</v>
      </c>
      <c r="F1116" s="42"/>
      <c r="G1116" s="42"/>
      <c r="H1116" s="43"/>
      <c r="I1116" s="42"/>
      <c r="J1116" s="42"/>
      <c r="K1116" s="42"/>
      <c r="L1116" s="42"/>
      <c r="M1116" s="42"/>
      <c r="N1116" s="42"/>
      <c r="O1116" s="42"/>
      <c r="P1116" s="42"/>
      <c r="Q1116" s="42"/>
      <c r="R1116" s="42" t="s">
        <v>7882</v>
      </c>
      <c r="S1116" s="42" t="s">
        <v>518</v>
      </c>
      <c r="T1116" s="42" t="s">
        <v>3891</v>
      </c>
      <c r="U1116" s="42" t="s">
        <v>7325</v>
      </c>
      <c r="V1116" s="44" t="s">
        <v>3892</v>
      </c>
      <c r="W1116" s="42" t="s">
        <v>3892</v>
      </c>
    </row>
    <row r="1117" spans="1:23">
      <c r="A1117" s="40">
        <v>607</v>
      </c>
      <c r="B1117" s="41">
        <v>1451133029</v>
      </c>
      <c r="C1117" s="42" t="s">
        <v>7943</v>
      </c>
      <c r="D1117" s="42" t="s">
        <v>760</v>
      </c>
      <c r="E1117" s="43" t="s">
        <v>8683</v>
      </c>
      <c r="F1117" s="42"/>
      <c r="G1117" s="42"/>
      <c r="H1117" s="43"/>
      <c r="I1117" s="42"/>
      <c r="J1117" s="42"/>
      <c r="K1117" s="42"/>
      <c r="L1117" s="42"/>
      <c r="M1117" s="42"/>
      <c r="N1117" s="42"/>
      <c r="O1117" s="42"/>
      <c r="P1117" s="42"/>
      <c r="Q1117" s="42"/>
      <c r="R1117" s="42" t="s">
        <v>7882</v>
      </c>
      <c r="S1117" s="42" t="s">
        <v>518</v>
      </c>
      <c r="T1117" s="42" t="s">
        <v>3891</v>
      </c>
      <c r="U1117" s="42" t="s">
        <v>7325</v>
      </c>
      <c r="V1117" s="44" t="s">
        <v>3892</v>
      </c>
      <c r="W1117" s="42" t="s">
        <v>3892</v>
      </c>
    </row>
    <row r="1118" spans="1:23">
      <c r="A1118" s="40">
        <v>608</v>
      </c>
      <c r="B1118" s="41">
        <v>1551133237</v>
      </c>
      <c r="C1118" s="42" t="s">
        <v>7944</v>
      </c>
      <c r="D1118" s="42" t="s">
        <v>760</v>
      </c>
      <c r="E1118" s="43" t="s">
        <v>8684</v>
      </c>
      <c r="F1118" s="42"/>
      <c r="G1118" s="42"/>
      <c r="H1118" s="43"/>
      <c r="I1118" s="42"/>
      <c r="J1118" s="42"/>
      <c r="K1118" s="42"/>
      <c r="L1118" s="42"/>
      <c r="M1118" s="42"/>
      <c r="N1118" s="42"/>
      <c r="O1118" s="42"/>
      <c r="P1118" s="42"/>
      <c r="Q1118" s="42"/>
      <c r="R1118" s="42" t="s">
        <v>7882</v>
      </c>
      <c r="S1118" s="42" t="s">
        <v>518</v>
      </c>
      <c r="T1118" s="42" t="s">
        <v>3891</v>
      </c>
      <c r="U1118" s="42" t="s">
        <v>7325</v>
      </c>
      <c r="V1118" s="44" t="s">
        <v>3892</v>
      </c>
      <c r="W1118" s="42" t="s">
        <v>3892</v>
      </c>
    </row>
    <row r="1119" spans="1:23">
      <c r="A1119" s="40">
        <v>609</v>
      </c>
      <c r="B1119" s="41">
        <v>1651012802</v>
      </c>
      <c r="C1119" s="42" t="s">
        <v>7945</v>
      </c>
      <c r="D1119" s="42" t="s">
        <v>760</v>
      </c>
      <c r="E1119" s="43" t="s">
        <v>8685</v>
      </c>
      <c r="F1119" s="42"/>
      <c r="G1119" s="42"/>
      <c r="H1119" s="43"/>
      <c r="I1119" s="42"/>
      <c r="J1119" s="42"/>
      <c r="K1119" s="42"/>
      <c r="L1119" s="42"/>
      <c r="M1119" s="42"/>
      <c r="N1119" s="42"/>
      <c r="O1119" s="42"/>
      <c r="P1119" s="42"/>
      <c r="Q1119" s="42"/>
      <c r="R1119" s="42" t="s">
        <v>7882</v>
      </c>
      <c r="S1119" s="42" t="s">
        <v>518</v>
      </c>
      <c r="T1119" s="42" t="s">
        <v>3891</v>
      </c>
      <c r="U1119" s="42" t="s">
        <v>7325</v>
      </c>
      <c r="V1119" s="44" t="s">
        <v>3892</v>
      </c>
      <c r="W1119" s="42" t="s">
        <v>3892</v>
      </c>
    </row>
    <row r="1120" spans="1:23">
      <c r="A1120" s="40">
        <v>610</v>
      </c>
      <c r="B1120" s="41">
        <v>1651131371</v>
      </c>
      <c r="C1120" s="42" t="s">
        <v>7946</v>
      </c>
      <c r="D1120" s="42" t="s">
        <v>760</v>
      </c>
      <c r="E1120" s="43" t="s">
        <v>8390</v>
      </c>
      <c r="F1120" s="42"/>
      <c r="G1120" s="42"/>
      <c r="H1120" s="43"/>
      <c r="I1120" s="42"/>
      <c r="J1120" s="42"/>
      <c r="K1120" s="42"/>
      <c r="L1120" s="42"/>
      <c r="M1120" s="42"/>
      <c r="N1120" s="42"/>
      <c r="O1120" s="42"/>
      <c r="P1120" s="42"/>
      <c r="Q1120" s="42"/>
      <c r="R1120" s="42" t="s">
        <v>7882</v>
      </c>
      <c r="S1120" s="42" t="s">
        <v>518</v>
      </c>
      <c r="T1120" s="42" t="s">
        <v>3891</v>
      </c>
      <c r="U1120" s="42" t="s">
        <v>7325</v>
      </c>
      <c r="V1120" s="44" t="s">
        <v>3892</v>
      </c>
      <c r="W1120" s="42" t="s">
        <v>3892</v>
      </c>
    </row>
    <row r="1121" spans="1:23">
      <c r="A1121" s="40">
        <v>611</v>
      </c>
      <c r="B1121" s="41">
        <v>1551133167</v>
      </c>
      <c r="C1121" s="42" t="s">
        <v>7947</v>
      </c>
      <c r="D1121" s="42" t="s">
        <v>760</v>
      </c>
      <c r="E1121" s="43" t="s">
        <v>8686</v>
      </c>
      <c r="F1121" s="42"/>
      <c r="G1121" s="42"/>
      <c r="H1121" s="43"/>
      <c r="I1121" s="42"/>
      <c r="J1121" s="42"/>
      <c r="K1121" s="42"/>
      <c r="L1121" s="42"/>
      <c r="M1121" s="42"/>
      <c r="N1121" s="42"/>
      <c r="O1121" s="42"/>
      <c r="P1121" s="42"/>
      <c r="Q1121" s="42"/>
      <c r="R1121" s="42" t="s">
        <v>7882</v>
      </c>
      <c r="S1121" s="42" t="s">
        <v>518</v>
      </c>
      <c r="T1121" s="42" t="s">
        <v>3891</v>
      </c>
      <c r="U1121" s="42" t="s">
        <v>7325</v>
      </c>
      <c r="V1121" s="44" t="s">
        <v>3892</v>
      </c>
      <c r="W1121" s="42" t="s">
        <v>3892</v>
      </c>
    </row>
    <row r="1122" spans="1:23">
      <c r="A1122" s="40">
        <v>612</v>
      </c>
      <c r="B1122" s="41">
        <v>1351012673</v>
      </c>
      <c r="C1122" s="42" t="s">
        <v>7948</v>
      </c>
      <c r="D1122" s="42" t="s">
        <v>760</v>
      </c>
      <c r="E1122" s="43" t="s">
        <v>8687</v>
      </c>
      <c r="F1122" s="42"/>
      <c r="G1122" s="42"/>
      <c r="H1122" s="43"/>
      <c r="I1122" s="42"/>
      <c r="J1122" s="42"/>
      <c r="K1122" s="42"/>
      <c r="L1122" s="42"/>
      <c r="M1122" s="42"/>
      <c r="N1122" s="42"/>
      <c r="O1122" s="42"/>
      <c r="P1122" s="42"/>
      <c r="Q1122" s="42"/>
      <c r="R1122" s="42" t="s">
        <v>7882</v>
      </c>
      <c r="S1122" s="42" t="s">
        <v>518</v>
      </c>
      <c r="T1122" s="42" t="s">
        <v>3891</v>
      </c>
      <c r="U1122" s="42" t="s">
        <v>7325</v>
      </c>
      <c r="V1122" s="44" t="s">
        <v>3892</v>
      </c>
      <c r="W1122" s="42" t="s">
        <v>3892</v>
      </c>
    </row>
    <row r="1123" spans="1:23">
      <c r="A1123" s="40">
        <v>613</v>
      </c>
      <c r="B1123" s="41">
        <v>1651132941</v>
      </c>
      <c r="C1123" s="42" t="s">
        <v>7949</v>
      </c>
      <c r="D1123" s="42" t="s">
        <v>760</v>
      </c>
      <c r="E1123" s="43" t="s">
        <v>8688</v>
      </c>
      <c r="F1123" s="42"/>
      <c r="G1123" s="42"/>
      <c r="H1123" s="43"/>
      <c r="I1123" s="42"/>
      <c r="J1123" s="42"/>
      <c r="K1123" s="42"/>
      <c r="L1123" s="42"/>
      <c r="M1123" s="42"/>
      <c r="N1123" s="42"/>
      <c r="O1123" s="42"/>
      <c r="P1123" s="42"/>
      <c r="Q1123" s="42"/>
      <c r="R1123" s="42" t="s">
        <v>7882</v>
      </c>
      <c r="S1123" s="42" t="s">
        <v>518</v>
      </c>
      <c r="T1123" s="42" t="s">
        <v>3891</v>
      </c>
      <c r="U1123" s="42" t="s">
        <v>7325</v>
      </c>
      <c r="V1123" s="44" t="s">
        <v>3892</v>
      </c>
      <c r="W1123" s="42" t="s">
        <v>3892</v>
      </c>
    </row>
    <row r="1124" spans="1:23">
      <c r="A1124" s="40">
        <v>614</v>
      </c>
      <c r="B1124" s="41">
        <v>1551133535</v>
      </c>
      <c r="C1124" s="42" t="s">
        <v>7950</v>
      </c>
      <c r="D1124" s="42" t="s">
        <v>760</v>
      </c>
      <c r="E1124" s="43" t="s">
        <v>8689</v>
      </c>
      <c r="F1124" s="42"/>
      <c r="G1124" s="42"/>
      <c r="H1124" s="43"/>
      <c r="I1124" s="42"/>
      <c r="J1124" s="42"/>
      <c r="K1124" s="42"/>
      <c r="L1124" s="42"/>
      <c r="M1124" s="42"/>
      <c r="N1124" s="42"/>
      <c r="O1124" s="42"/>
      <c r="P1124" s="42"/>
      <c r="Q1124" s="42"/>
      <c r="R1124" s="42" t="s">
        <v>7882</v>
      </c>
      <c r="S1124" s="42" t="s">
        <v>518</v>
      </c>
      <c r="T1124" s="42" t="s">
        <v>3891</v>
      </c>
      <c r="U1124" s="42" t="s">
        <v>7325</v>
      </c>
      <c r="V1124" s="44" t="s">
        <v>3892</v>
      </c>
      <c r="W1124" s="42" t="s">
        <v>3892</v>
      </c>
    </row>
    <row r="1125" spans="1:23">
      <c r="A1125" s="40">
        <v>615</v>
      </c>
      <c r="B1125" s="41">
        <v>1751132228</v>
      </c>
      <c r="C1125" s="42" t="s">
        <v>7951</v>
      </c>
      <c r="D1125" s="42" t="s">
        <v>760</v>
      </c>
      <c r="E1125" s="43" t="s">
        <v>8690</v>
      </c>
      <c r="F1125" s="42"/>
      <c r="G1125" s="42"/>
      <c r="H1125" s="43"/>
      <c r="I1125" s="42"/>
      <c r="J1125" s="42"/>
      <c r="K1125" s="42"/>
      <c r="L1125" s="42"/>
      <c r="M1125" s="42"/>
      <c r="N1125" s="42"/>
      <c r="O1125" s="42"/>
      <c r="P1125" s="42"/>
      <c r="Q1125" s="42"/>
      <c r="R1125" s="42" t="s">
        <v>7882</v>
      </c>
      <c r="S1125" s="42" t="s">
        <v>518</v>
      </c>
      <c r="T1125" s="42" t="s">
        <v>3891</v>
      </c>
      <c r="U1125" s="42" t="s">
        <v>7325</v>
      </c>
      <c r="V1125" s="44" t="s">
        <v>3892</v>
      </c>
      <c r="W1125" s="42" t="s">
        <v>3892</v>
      </c>
    </row>
    <row r="1126" spans="1:23" ht="60">
      <c r="A1126" s="40">
        <v>616</v>
      </c>
      <c r="B1126" s="41">
        <v>1851133239</v>
      </c>
      <c r="C1126" s="42" t="s">
        <v>7952</v>
      </c>
      <c r="D1126" s="42" t="s">
        <v>760</v>
      </c>
      <c r="E1126" s="43" t="s">
        <v>7273</v>
      </c>
      <c r="F1126" s="42"/>
      <c r="G1126" s="42"/>
      <c r="H1126" s="43"/>
      <c r="I1126" s="42"/>
      <c r="J1126" s="42"/>
      <c r="K1126" s="42"/>
      <c r="L1126" s="42"/>
      <c r="M1126" s="42"/>
      <c r="N1126" s="42"/>
      <c r="O1126" s="42"/>
      <c r="P1126" s="42"/>
      <c r="Q1126" s="42"/>
      <c r="R1126" s="42" t="s">
        <v>7882</v>
      </c>
      <c r="S1126" s="42" t="s">
        <v>518</v>
      </c>
      <c r="T1126" s="42" t="s">
        <v>3891</v>
      </c>
      <c r="U1126" s="42" t="s">
        <v>7325</v>
      </c>
      <c r="V1126" s="44" t="s">
        <v>7953</v>
      </c>
      <c r="W1126" s="42" t="s">
        <v>3905</v>
      </c>
    </row>
    <row r="1127" spans="1:23">
      <c r="A1127" s="40">
        <v>617</v>
      </c>
      <c r="B1127" s="41">
        <v>1451133260</v>
      </c>
      <c r="C1127" s="42" t="s">
        <v>7954</v>
      </c>
      <c r="D1127" s="42" t="s">
        <v>760</v>
      </c>
      <c r="E1127" s="43" t="s">
        <v>8691</v>
      </c>
      <c r="F1127" s="42"/>
      <c r="G1127" s="42"/>
      <c r="H1127" s="43"/>
      <c r="I1127" s="42"/>
      <c r="J1127" s="42"/>
      <c r="K1127" s="42"/>
      <c r="L1127" s="42"/>
      <c r="M1127" s="42"/>
      <c r="N1127" s="42"/>
      <c r="O1127" s="42"/>
      <c r="P1127" s="42"/>
      <c r="Q1127" s="42"/>
      <c r="R1127" s="42" t="s">
        <v>7882</v>
      </c>
      <c r="S1127" s="42" t="s">
        <v>518</v>
      </c>
      <c r="T1127" s="42" t="s">
        <v>3891</v>
      </c>
      <c r="U1127" s="42" t="s">
        <v>7325</v>
      </c>
      <c r="V1127" s="44" t="s">
        <v>3892</v>
      </c>
      <c r="W1127" s="42" t="s">
        <v>3892</v>
      </c>
    </row>
    <row r="1128" spans="1:23">
      <c r="A1128" s="40">
        <v>618</v>
      </c>
      <c r="B1128" s="41">
        <v>1551133353</v>
      </c>
      <c r="C1128" s="42" t="s">
        <v>7955</v>
      </c>
      <c r="D1128" s="42" t="s">
        <v>3892</v>
      </c>
      <c r="E1128" s="43" t="s">
        <v>7273</v>
      </c>
      <c r="F1128" s="42"/>
      <c r="G1128" s="42"/>
      <c r="H1128" s="43"/>
      <c r="I1128" s="42"/>
      <c r="J1128" s="42"/>
      <c r="K1128" s="42"/>
      <c r="L1128" s="42"/>
      <c r="M1128" s="42"/>
      <c r="N1128" s="42"/>
      <c r="O1128" s="42"/>
      <c r="P1128" s="42"/>
      <c r="Q1128" s="42"/>
      <c r="R1128" s="42" t="s">
        <v>7882</v>
      </c>
      <c r="S1128" s="42" t="s">
        <v>518</v>
      </c>
      <c r="T1128" s="42" t="s">
        <v>3891</v>
      </c>
      <c r="U1128" s="42" t="s">
        <v>7325</v>
      </c>
      <c r="V1128" s="44" t="s">
        <v>3892</v>
      </c>
      <c r="W1128" s="42" t="s">
        <v>7345</v>
      </c>
    </row>
    <row r="1129" spans="1:23">
      <c r="A1129" s="40">
        <v>619</v>
      </c>
      <c r="B1129" s="41">
        <v>1751130409</v>
      </c>
      <c r="C1129" s="42" t="s">
        <v>7956</v>
      </c>
      <c r="D1129" s="42" t="s">
        <v>760</v>
      </c>
      <c r="E1129" s="43" t="s">
        <v>8692</v>
      </c>
      <c r="F1129" s="42"/>
      <c r="G1129" s="42"/>
      <c r="H1129" s="43"/>
      <c r="I1129" s="42"/>
      <c r="J1129" s="42"/>
      <c r="K1129" s="42"/>
      <c r="L1129" s="42"/>
      <c r="M1129" s="42"/>
      <c r="N1129" s="42"/>
      <c r="O1129" s="42"/>
      <c r="P1129" s="42"/>
      <c r="Q1129" s="42"/>
      <c r="R1129" s="42" t="s">
        <v>7882</v>
      </c>
      <c r="S1129" s="42" t="s">
        <v>518</v>
      </c>
      <c r="T1129" s="42" t="s">
        <v>3891</v>
      </c>
      <c r="U1129" s="42" t="s">
        <v>7325</v>
      </c>
      <c r="V1129" s="44" t="s">
        <v>3892</v>
      </c>
      <c r="W1129" s="42" t="s">
        <v>3892</v>
      </c>
    </row>
    <row r="1130" spans="1:23">
      <c r="A1130" s="40">
        <v>620</v>
      </c>
      <c r="B1130" s="41">
        <v>1551133299</v>
      </c>
      <c r="C1130" s="42" t="s">
        <v>7957</v>
      </c>
      <c r="D1130" s="42" t="s">
        <v>760</v>
      </c>
      <c r="E1130" s="43" t="s">
        <v>8693</v>
      </c>
      <c r="F1130" s="42"/>
      <c r="G1130" s="42"/>
      <c r="H1130" s="43"/>
      <c r="I1130" s="42"/>
      <c r="J1130" s="42"/>
      <c r="K1130" s="42"/>
      <c r="L1130" s="42"/>
      <c r="M1130" s="42"/>
      <c r="N1130" s="42"/>
      <c r="O1130" s="42"/>
      <c r="P1130" s="42"/>
      <c r="Q1130" s="42"/>
      <c r="R1130" s="42" t="s">
        <v>7882</v>
      </c>
      <c r="S1130" s="42" t="s">
        <v>518</v>
      </c>
      <c r="T1130" s="42" t="s">
        <v>3891</v>
      </c>
      <c r="U1130" s="42" t="s">
        <v>7325</v>
      </c>
      <c r="V1130" s="44" t="s">
        <v>3892</v>
      </c>
      <c r="W1130" s="42" t="s">
        <v>3892</v>
      </c>
    </row>
    <row r="1131" spans="1:23">
      <c r="A1131" s="40">
        <v>621</v>
      </c>
      <c r="B1131" s="41">
        <v>1651131362</v>
      </c>
      <c r="C1131" s="42" t="s">
        <v>7958</v>
      </c>
      <c r="D1131" s="42" t="s">
        <v>760</v>
      </c>
      <c r="E1131" s="43" t="s">
        <v>8694</v>
      </c>
      <c r="F1131" s="42"/>
      <c r="G1131" s="42"/>
      <c r="H1131" s="43"/>
      <c r="I1131" s="42"/>
      <c r="J1131" s="42"/>
      <c r="K1131" s="42"/>
      <c r="L1131" s="42"/>
      <c r="M1131" s="42"/>
      <c r="N1131" s="42"/>
      <c r="O1131" s="42"/>
      <c r="P1131" s="42"/>
      <c r="Q1131" s="42"/>
      <c r="R1131" s="42" t="s">
        <v>7882</v>
      </c>
      <c r="S1131" s="42" t="s">
        <v>518</v>
      </c>
      <c r="T1131" s="42" t="s">
        <v>3891</v>
      </c>
      <c r="U1131" s="42" t="s">
        <v>7325</v>
      </c>
      <c r="V1131" s="44" t="s">
        <v>3892</v>
      </c>
      <c r="W1131" s="42" t="s">
        <v>3892</v>
      </c>
    </row>
    <row r="1132" spans="1:23">
      <c r="A1132" s="40">
        <v>622</v>
      </c>
      <c r="B1132" s="41">
        <v>1651131712</v>
      </c>
      <c r="C1132" s="42" t="s">
        <v>7959</v>
      </c>
      <c r="D1132" s="42" t="s">
        <v>760</v>
      </c>
      <c r="E1132" s="43" t="s">
        <v>8695</v>
      </c>
      <c r="F1132" s="42"/>
      <c r="G1132" s="42"/>
      <c r="H1132" s="43"/>
      <c r="I1132" s="42"/>
      <c r="J1132" s="42"/>
      <c r="K1132" s="42"/>
      <c r="L1132" s="42"/>
      <c r="M1132" s="42"/>
      <c r="N1132" s="42"/>
      <c r="O1132" s="42"/>
      <c r="P1132" s="42"/>
      <c r="Q1132" s="42"/>
      <c r="R1132" s="42" t="s">
        <v>7882</v>
      </c>
      <c r="S1132" s="42" t="s">
        <v>518</v>
      </c>
      <c r="T1132" s="42" t="s">
        <v>3891</v>
      </c>
      <c r="U1132" s="42" t="s">
        <v>7325</v>
      </c>
      <c r="V1132" s="44" t="s">
        <v>3892</v>
      </c>
      <c r="W1132" s="42" t="s">
        <v>3892</v>
      </c>
    </row>
    <row r="1133" spans="1:23">
      <c r="A1133" s="40">
        <v>623</v>
      </c>
      <c r="B1133" s="41">
        <v>1451133441</v>
      </c>
      <c r="C1133" s="42" t="s">
        <v>7960</v>
      </c>
      <c r="D1133" s="42" t="s">
        <v>760</v>
      </c>
      <c r="E1133" s="43" t="s">
        <v>8696</v>
      </c>
      <c r="F1133" s="42"/>
      <c r="G1133" s="42"/>
      <c r="H1133" s="43"/>
      <c r="I1133" s="42"/>
      <c r="J1133" s="42"/>
      <c r="K1133" s="42"/>
      <c r="L1133" s="42"/>
      <c r="M1133" s="42"/>
      <c r="N1133" s="42"/>
      <c r="O1133" s="42"/>
      <c r="P1133" s="42"/>
      <c r="Q1133" s="42"/>
      <c r="R1133" s="42" t="s">
        <v>7882</v>
      </c>
      <c r="S1133" s="42" t="s">
        <v>518</v>
      </c>
      <c r="T1133" s="42" t="s">
        <v>3891</v>
      </c>
      <c r="U1133" s="42" t="s">
        <v>7325</v>
      </c>
      <c r="V1133" s="44" t="s">
        <v>3892</v>
      </c>
      <c r="W1133" s="42" t="s">
        <v>3892</v>
      </c>
    </row>
    <row r="1134" spans="1:23">
      <c r="A1134" s="40">
        <v>624</v>
      </c>
      <c r="B1134" s="41">
        <v>1651132975</v>
      </c>
      <c r="C1134" s="42" t="s">
        <v>7961</v>
      </c>
      <c r="D1134" s="42" t="s">
        <v>760</v>
      </c>
      <c r="E1134" s="43" t="s">
        <v>8483</v>
      </c>
      <c r="F1134" s="42"/>
      <c r="G1134" s="42"/>
      <c r="H1134" s="43"/>
      <c r="I1134" s="42"/>
      <c r="J1134" s="42"/>
      <c r="K1134" s="42"/>
      <c r="L1134" s="42"/>
      <c r="M1134" s="42"/>
      <c r="N1134" s="42"/>
      <c r="O1134" s="42"/>
      <c r="P1134" s="42"/>
      <c r="Q1134" s="42"/>
      <c r="R1134" s="42" t="s">
        <v>7882</v>
      </c>
      <c r="S1134" s="42" t="s">
        <v>518</v>
      </c>
      <c r="T1134" s="42" t="s">
        <v>3891</v>
      </c>
      <c r="U1134" s="42" t="s">
        <v>7325</v>
      </c>
      <c r="V1134" s="44" t="s">
        <v>3892</v>
      </c>
      <c r="W1134" s="42" t="s">
        <v>3892</v>
      </c>
    </row>
    <row r="1135" spans="1:23">
      <c r="A1135" s="40">
        <v>625</v>
      </c>
      <c r="B1135" s="41">
        <v>1551133267</v>
      </c>
      <c r="C1135" s="42" t="s">
        <v>7962</v>
      </c>
      <c r="D1135" s="42" t="s">
        <v>760</v>
      </c>
      <c r="E1135" s="43" t="s">
        <v>8697</v>
      </c>
      <c r="F1135" s="42"/>
      <c r="G1135" s="42"/>
      <c r="H1135" s="43"/>
      <c r="I1135" s="42"/>
      <c r="J1135" s="42"/>
      <c r="K1135" s="42"/>
      <c r="L1135" s="42"/>
      <c r="M1135" s="42"/>
      <c r="N1135" s="42"/>
      <c r="O1135" s="42"/>
      <c r="P1135" s="42"/>
      <c r="Q1135" s="42"/>
      <c r="R1135" s="42" t="s">
        <v>7882</v>
      </c>
      <c r="S1135" s="42" t="s">
        <v>518</v>
      </c>
      <c r="T1135" s="42" t="s">
        <v>3891</v>
      </c>
      <c r="U1135" s="42" t="s">
        <v>7325</v>
      </c>
      <c r="V1135" s="44" t="s">
        <v>3892</v>
      </c>
      <c r="W1135" s="42" t="s">
        <v>3892</v>
      </c>
    </row>
    <row r="1136" spans="1:23">
      <c r="A1136" s="40">
        <v>626</v>
      </c>
      <c r="B1136" s="41">
        <v>1651132880</v>
      </c>
      <c r="C1136" s="42" t="s">
        <v>7963</v>
      </c>
      <c r="D1136" s="42" t="s">
        <v>760</v>
      </c>
      <c r="E1136" s="43" t="s">
        <v>8659</v>
      </c>
      <c r="F1136" s="42"/>
      <c r="G1136" s="42"/>
      <c r="H1136" s="43"/>
      <c r="I1136" s="42"/>
      <c r="J1136" s="42"/>
      <c r="K1136" s="42"/>
      <c r="L1136" s="42"/>
      <c r="M1136" s="42"/>
      <c r="N1136" s="42"/>
      <c r="O1136" s="42"/>
      <c r="P1136" s="42"/>
      <c r="Q1136" s="42"/>
      <c r="R1136" s="42" t="s">
        <v>7882</v>
      </c>
      <c r="S1136" s="42" t="s">
        <v>518</v>
      </c>
      <c r="T1136" s="42" t="s">
        <v>3891</v>
      </c>
      <c r="U1136" s="42" t="s">
        <v>7325</v>
      </c>
      <c r="V1136" s="44" t="s">
        <v>3892</v>
      </c>
      <c r="W1136" s="42" t="s">
        <v>3892</v>
      </c>
    </row>
    <row r="1137" spans="1:23">
      <c r="A1137" s="40">
        <v>627</v>
      </c>
      <c r="B1137" s="41">
        <v>1651131946</v>
      </c>
      <c r="C1137" s="42" t="s">
        <v>7964</v>
      </c>
      <c r="D1137" s="42" t="s">
        <v>760</v>
      </c>
      <c r="E1137" s="43" t="s">
        <v>8390</v>
      </c>
      <c r="F1137" s="42"/>
      <c r="G1137" s="42"/>
      <c r="H1137" s="43"/>
      <c r="I1137" s="42"/>
      <c r="J1137" s="42"/>
      <c r="K1137" s="42"/>
      <c r="L1137" s="42"/>
      <c r="M1137" s="42"/>
      <c r="N1137" s="42"/>
      <c r="O1137" s="42"/>
      <c r="P1137" s="42"/>
      <c r="Q1137" s="42"/>
      <c r="R1137" s="42" t="s">
        <v>7882</v>
      </c>
      <c r="S1137" s="42" t="s">
        <v>518</v>
      </c>
      <c r="T1137" s="42" t="s">
        <v>3891</v>
      </c>
      <c r="U1137" s="42" t="s">
        <v>7325</v>
      </c>
      <c r="V1137" s="44" t="s">
        <v>3892</v>
      </c>
      <c r="W1137" s="42" t="s">
        <v>3892</v>
      </c>
    </row>
    <row r="1138" spans="1:23">
      <c r="A1138" s="40">
        <v>628</v>
      </c>
      <c r="B1138" s="41">
        <v>1551132897</v>
      </c>
      <c r="C1138" s="42" t="s">
        <v>7965</v>
      </c>
      <c r="D1138" s="42" t="s">
        <v>760</v>
      </c>
      <c r="E1138" s="43" t="s">
        <v>8632</v>
      </c>
      <c r="F1138" s="42"/>
      <c r="G1138" s="42"/>
      <c r="H1138" s="43"/>
      <c r="I1138" s="42"/>
      <c r="J1138" s="42"/>
      <c r="K1138" s="42"/>
      <c r="L1138" s="42"/>
      <c r="M1138" s="42"/>
      <c r="N1138" s="42"/>
      <c r="O1138" s="42"/>
      <c r="P1138" s="42"/>
      <c r="Q1138" s="42"/>
      <c r="R1138" s="42" t="s">
        <v>7882</v>
      </c>
      <c r="S1138" s="42" t="s">
        <v>518</v>
      </c>
      <c r="T1138" s="42" t="s">
        <v>3891</v>
      </c>
      <c r="U1138" s="42" t="s">
        <v>7325</v>
      </c>
      <c r="V1138" s="44" t="s">
        <v>3892</v>
      </c>
      <c r="W1138" s="42" t="s">
        <v>3892</v>
      </c>
    </row>
    <row r="1139" spans="1:23">
      <c r="A1139" s="40">
        <v>629</v>
      </c>
      <c r="B1139" s="41">
        <v>1651131447</v>
      </c>
      <c r="C1139" s="42" t="s">
        <v>7966</v>
      </c>
      <c r="D1139" s="42" t="s">
        <v>760</v>
      </c>
      <c r="E1139" s="43" t="s">
        <v>8698</v>
      </c>
      <c r="F1139" s="42"/>
      <c r="G1139" s="42"/>
      <c r="H1139" s="43"/>
      <c r="I1139" s="42"/>
      <c r="J1139" s="42"/>
      <c r="K1139" s="42"/>
      <c r="L1139" s="42"/>
      <c r="M1139" s="42"/>
      <c r="N1139" s="42"/>
      <c r="O1139" s="42"/>
      <c r="P1139" s="42"/>
      <c r="Q1139" s="42"/>
      <c r="R1139" s="42" t="s">
        <v>7882</v>
      </c>
      <c r="S1139" s="42" t="s">
        <v>518</v>
      </c>
      <c r="T1139" s="42" t="s">
        <v>3891</v>
      </c>
      <c r="U1139" s="42" t="s">
        <v>7325</v>
      </c>
      <c r="V1139" s="44" t="s">
        <v>3892</v>
      </c>
      <c r="W1139" s="42" t="s">
        <v>3892</v>
      </c>
    </row>
    <row r="1140" spans="1:23">
      <c r="A1140" s="40">
        <v>630</v>
      </c>
      <c r="B1140" s="41">
        <v>1551133348</v>
      </c>
      <c r="C1140" s="42" t="s">
        <v>7967</v>
      </c>
      <c r="D1140" s="42" t="s">
        <v>3892</v>
      </c>
      <c r="E1140" s="43" t="s">
        <v>7273</v>
      </c>
      <c r="F1140" s="42"/>
      <c r="G1140" s="42"/>
      <c r="H1140" s="43"/>
      <c r="I1140" s="42"/>
      <c r="J1140" s="42"/>
      <c r="K1140" s="42"/>
      <c r="L1140" s="42"/>
      <c r="M1140" s="42"/>
      <c r="N1140" s="42"/>
      <c r="O1140" s="42"/>
      <c r="P1140" s="42"/>
      <c r="Q1140" s="42"/>
      <c r="R1140" s="42" t="s">
        <v>7882</v>
      </c>
      <c r="S1140" s="42" t="s">
        <v>518</v>
      </c>
      <c r="T1140" s="42" t="s">
        <v>3891</v>
      </c>
      <c r="U1140" s="42" t="s">
        <v>7325</v>
      </c>
      <c r="V1140" s="44" t="s">
        <v>3892</v>
      </c>
      <c r="W1140" s="42" t="s">
        <v>7345</v>
      </c>
    </row>
    <row r="1141" spans="1:23">
      <c r="A1141" s="40">
        <v>631</v>
      </c>
      <c r="B1141" s="41">
        <v>1551133511</v>
      </c>
      <c r="C1141" s="42" t="s">
        <v>7968</v>
      </c>
      <c r="D1141" s="42" t="s">
        <v>760</v>
      </c>
      <c r="E1141" s="43" t="s">
        <v>8632</v>
      </c>
      <c r="F1141" s="42"/>
      <c r="G1141" s="42"/>
      <c r="H1141" s="43"/>
      <c r="I1141" s="42"/>
      <c r="J1141" s="42"/>
      <c r="K1141" s="42"/>
      <c r="L1141" s="42"/>
      <c r="M1141" s="42"/>
      <c r="N1141" s="42"/>
      <c r="O1141" s="42"/>
      <c r="P1141" s="42"/>
      <c r="Q1141" s="42"/>
      <c r="R1141" s="42" t="s">
        <v>7882</v>
      </c>
      <c r="S1141" s="42" t="s">
        <v>518</v>
      </c>
      <c r="T1141" s="42" t="s">
        <v>3891</v>
      </c>
      <c r="U1141" s="42" t="s">
        <v>7325</v>
      </c>
      <c r="V1141" s="44" t="s">
        <v>3892</v>
      </c>
      <c r="W1141" s="42" t="s">
        <v>3892</v>
      </c>
    </row>
    <row r="1142" spans="1:23">
      <c r="A1142" s="40">
        <v>632</v>
      </c>
      <c r="B1142" s="41">
        <v>1551133008</v>
      </c>
      <c r="C1142" s="42" t="s">
        <v>7969</v>
      </c>
      <c r="D1142" s="42" t="s">
        <v>760</v>
      </c>
      <c r="E1142" s="43" t="s">
        <v>8699</v>
      </c>
      <c r="F1142" s="42"/>
      <c r="G1142" s="42"/>
      <c r="H1142" s="43"/>
      <c r="I1142" s="42"/>
      <c r="J1142" s="42"/>
      <c r="K1142" s="42"/>
      <c r="L1142" s="42"/>
      <c r="M1142" s="42"/>
      <c r="N1142" s="42"/>
      <c r="O1142" s="42"/>
      <c r="P1142" s="42"/>
      <c r="Q1142" s="42"/>
      <c r="R1142" s="42" t="s">
        <v>7882</v>
      </c>
      <c r="S1142" s="42" t="s">
        <v>518</v>
      </c>
      <c r="T1142" s="42" t="s">
        <v>3891</v>
      </c>
      <c r="U1142" s="42" t="s">
        <v>7325</v>
      </c>
      <c r="V1142" s="44" t="s">
        <v>3892</v>
      </c>
      <c r="W1142" s="42" t="s">
        <v>3892</v>
      </c>
    </row>
    <row r="1143" spans="1:23">
      <c r="A1143" s="40">
        <v>633</v>
      </c>
      <c r="B1143" s="41">
        <v>1651132026</v>
      </c>
      <c r="C1143" s="42" t="s">
        <v>7970</v>
      </c>
      <c r="D1143" s="42" t="s">
        <v>760</v>
      </c>
      <c r="E1143" s="43" t="s">
        <v>8417</v>
      </c>
      <c r="F1143" s="42"/>
      <c r="G1143" s="42"/>
      <c r="H1143" s="43"/>
      <c r="I1143" s="42"/>
      <c r="J1143" s="42"/>
      <c r="K1143" s="42"/>
      <c r="L1143" s="42"/>
      <c r="M1143" s="42"/>
      <c r="N1143" s="42"/>
      <c r="O1143" s="42"/>
      <c r="P1143" s="42"/>
      <c r="Q1143" s="42"/>
      <c r="R1143" s="42" t="s">
        <v>7882</v>
      </c>
      <c r="S1143" s="42" t="s">
        <v>518</v>
      </c>
      <c r="T1143" s="42" t="s">
        <v>3891</v>
      </c>
      <c r="U1143" s="42" t="s">
        <v>7325</v>
      </c>
      <c r="V1143" s="44" t="s">
        <v>3892</v>
      </c>
      <c r="W1143" s="42" t="s">
        <v>3892</v>
      </c>
    </row>
    <row r="1144" spans="1:23">
      <c r="A1144" s="40">
        <v>634</v>
      </c>
      <c r="B1144" s="41">
        <v>1551133467</v>
      </c>
      <c r="C1144" s="42" t="s">
        <v>7971</v>
      </c>
      <c r="D1144" s="42" t="s">
        <v>760</v>
      </c>
      <c r="E1144" s="43" t="s">
        <v>8700</v>
      </c>
      <c r="F1144" s="42"/>
      <c r="G1144" s="42"/>
      <c r="H1144" s="43"/>
      <c r="I1144" s="42"/>
      <c r="J1144" s="42"/>
      <c r="K1144" s="42"/>
      <c r="L1144" s="42"/>
      <c r="M1144" s="42"/>
      <c r="N1144" s="42"/>
      <c r="O1144" s="42"/>
      <c r="P1144" s="42"/>
      <c r="Q1144" s="42"/>
      <c r="R1144" s="42" t="s">
        <v>7882</v>
      </c>
      <c r="S1144" s="42" t="s">
        <v>518</v>
      </c>
      <c r="T1144" s="42" t="s">
        <v>3891</v>
      </c>
      <c r="U1144" s="42" t="s">
        <v>7325</v>
      </c>
      <c r="V1144" s="44" t="s">
        <v>3892</v>
      </c>
      <c r="W1144" s="42" t="s">
        <v>3892</v>
      </c>
    </row>
    <row r="1145" spans="1:23">
      <c r="A1145" s="40">
        <v>635</v>
      </c>
      <c r="B1145" s="41">
        <v>1651131616</v>
      </c>
      <c r="C1145" s="42" t="s">
        <v>7972</v>
      </c>
      <c r="D1145" s="42" t="s">
        <v>760</v>
      </c>
      <c r="E1145" s="43" t="s">
        <v>8306</v>
      </c>
      <c r="F1145" s="42"/>
      <c r="G1145" s="42"/>
      <c r="H1145" s="43"/>
      <c r="I1145" s="42"/>
      <c r="J1145" s="42"/>
      <c r="K1145" s="42"/>
      <c r="L1145" s="42"/>
      <c r="M1145" s="42"/>
      <c r="N1145" s="42"/>
      <c r="O1145" s="42"/>
      <c r="P1145" s="42"/>
      <c r="Q1145" s="42"/>
      <c r="R1145" s="42" t="s">
        <v>7882</v>
      </c>
      <c r="S1145" s="42" t="s">
        <v>518</v>
      </c>
      <c r="T1145" s="42" t="s">
        <v>3891</v>
      </c>
      <c r="U1145" s="42" t="s">
        <v>7325</v>
      </c>
      <c r="V1145" s="44" t="s">
        <v>3892</v>
      </c>
      <c r="W1145" s="42" t="s">
        <v>3892</v>
      </c>
    </row>
    <row r="1146" spans="1:23">
      <c r="A1146" s="40">
        <v>636</v>
      </c>
      <c r="B1146" s="41">
        <v>1651132123</v>
      </c>
      <c r="C1146" s="42" t="s">
        <v>7973</v>
      </c>
      <c r="D1146" s="42" t="s">
        <v>760</v>
      </c>
      <c r="E1146" s="43" t="s">
        <v>8701</v>
      </c>
      <c r="F1146" s="42"/>
      <c r="G1146" s="42"/>
      <c r="H1146" s="43"/>
      <c r="I1146" s="42"/>
      <c r="J1146" s="42"/>
      <c r="K1146" s="42"/>
      <c r="L1146" s="42"/>
      <c r="M1146" s="42"/>
      <c r="N1146" s="42"/>
      <c r="O1146" s="42"/>
      <c r="P1146" s="42"/>
      <c r="Q1146" s="42"/>
      <c r="R1146" s="42" t="s">
        <v>7882</v>
      </c>
      <c r="S1146" s="42" t="s">
        <v>518</v>
      </c>
      <c r="T1146" s="42" t="s">
        <v>3891</v>
      </c>
      <c r="U1146" s="42" t="s">
        <v>7325</v>
      </c>
      <c r="V1146" s="44" t="s">
        <v>3892</v>
      </c>
      <c r="W1146" s="42" t="s">
        <v>3892</v>
      </c>
    </row>
    <row r="1147" spans="1:23">
      <c r="A1147" s="40">
        <v>637</v>
      </c>
      <c r="B1147" s="41">
        <v>1754031485</v>
      </c>
      <c r="C1147" s="42" t="s">
        <v>7974</v>
      </c>
      <c r="D1147" s="42" t="s">
        <v>765</v>
      </c>
      <c r="E1147" s="43" t="s">
        <v>8702</v>
      </c>
      <c r="F1147" s="42"/>
      <c r="G1147" s="42"/>
      <c r="H1147" s="43"/>
      <c r="I1147" s="42"/>
      <c r="J1147" s="42"/>
      <c r="K1147" s="42"/>
      <c r="L1147" s="42"/>
      <c r="M1147" s="42"/>
      <c r="N1147" s="42"/>
      <c r="O1147" s="42"/>
      <c r="P1147" s="42"/>
      <c r="Q1147" s="42"/>
      <c r="R1147" s="42" t="s">
        <v>7975</v>
      </c>
      <c r="S1147" s="42" t="s">
        <v>494</v>
      </c>
      <c r="T1147" s="42" t="s">
        <v>5268</v>
      </c>
      <c r="U1147" s="42" t="s">
        <v>7325</v>
      </c>
      <c r="V1147" s="44" t="s">
        <v>3892</v>
      </c>
      <c r="W1147" s="42" t="s">
        <v>3892</v>
      </c>
    </row>
    <row r="1148" spans="1:23">
      <c r="A1148" s="40">
        <v>638</v>
      </c>
      <c r="B1148" s="41">
        <v>1854033170</v>
      </c>
      <c r="C1148" s="42" t="s">
        <v>7976</v>
      </c>
      <c r="D1148" s="42" t="s">
        <v>765</v>
      </c>
      <c r="E1148" s="43" t="s">
        <v>8703</v>
      </c>
      <c r="F1148" s="42"/>
      <c r="G1148" s="42"/>
      <c r="H1148" s="43"/>
      <c r="I1148" s="42"/>
      <c r="J1148" s="42"/>
      <c r="K1148" s="42"/>
      <c r="L1148" s="42"/>
      <c r="M1148" s="42"/>
      <c r="N1148" s="42"/>
      <c r="O1148" s="42"/>
      <c r="P1148" s="42"/>
      <c r="Q1148" s="42"/>
      <c r="R1148" s="42" t="s">
        <v>7975</v>
      </c>
      <c r="S1148" s="42" t="s">
        <v>494</v>
      </c>
      <c r="T1148" s="42" t="s">
        <v>5268</v>
      </c>
      <c r="U1148" s="42" t="s">
        <v>7325</v>
      </c>
      <c r="V1148" s="44" t="s">
        <v>3892</v>
      </c>
      <c r="W1148" s="42" t="s">
        <v>3892</v>
      </c>
    </row>
    <row r="1149" spans="1:23">
      <c r="A1149" s="40">
        <v>639</v>
      </c>
      <c r="B1149" s="41">
        <v>1854033053</v>
      </c>
      <c r="C1149" s="42" t="s">
        <v>7977</v>
      </c>
      <c r="D1149" s="42" t="s">
        <v>765</v>
      </c>
      <c r="E1149" s="43" t="s">
        <v>8704</v>
      </c>
      <c r="F1149" s="42"/>
      <c r="G1149" s="42"/>
      <c r="H1149" s="43"/>
      <c r="I1149" s="42"/>
      <c r="J1149" s="42"/>
      <c r="K1149" s="42"/>
      <c r="L1149" s="42"/>
      <c r="M1149" s="42"/>
      <c r="N1149" s="42"/>
      <c r="O1149" s="42"/>
      <c r="P1149" s="42"/>
      <c r="Q1149" s="42"/>
      <c r="R1149" s="42" t="s">
        <v>7975</v>
      </c>
      <c r="S1149" s="42" t="s">
        <v>494</v>
      </c>
      <c r="T1149" s="42" t="s">
        <v>5268</v>
      </c>
      <c r="U1149" s="42" t="s">
        <v>7325</v>
      </c>
      <c r="V1149" s="44" t="s">
        <v>3892</v>
      </c>
      <c r="W1149" s="42" t="s">
        <v>3892</v>
      </c>
    </row>
    <row r="1150" spans="1:23">
      <c r="A1150" s="40">
        <v>640</v>
      </c>
      <c r="B1150" s="41">
        <v>1854033049</v>
      </c>
      <c r="C1150" s="42" t="s">
        <v>7978</v>
      </c>
      <c r="D1150" s="42" t="s">
        <v>765</v>
      </c>
      <c r="E1150" s="43" t="s">
        <v>8705</v>
      </c>
      <c r="F1150" s="42"/>
      <c r="G1150" s="42"/>
      <c r="H1150" s="43"/>
      <c r="I1150" s="42"/>
      <c r="J1150" s="42"/>
      <c r="K1150" s="42"/>
      <c r="L1150" s="42"/>
      <c r="M1150" s="42"/>
      <c r="N1150" s="42"/>
      <c r="O1150" s="42"/>
      <c r="P1150" s="42"/>
      <c r="Q1150" s="42"/>
      <c r="R1150" s="42" t="s">
        <v>7975</v>
      </c>
      <c r="S1150" s="42" t="s">
        <v>494</v>
      </c>
      <c r="T1150" s="42" t="s">
        <v>5268</v>
      </c>
      <c r="U1150" s="42" t="s">
        <v>7325</v>
      </c>
      <c r="V1150" s="44" t="s">
        <v>3892</v>
      </c>
      <c r="W1150" s="42" t="s">
        <v>3892</v>
      </c>
    </row>
    <row r="1151" spans="1:23">
      <c r="A1151" s="40">
        <v>641</v>
      </c>
      <c r="B1151" s="41">
        <v>1754032224</v>
      </c>
      <c r="C1151" s="42" t="s">
        <v>7979</v>
      </c>
      <c r="D1151" s="42" t="s">
        <v>765</v>
      </c>
      <c r="E1151" s="43" t="s">
        <v>8706</v>
      </c>
      <c r="F1151" s="42"/>
      <c r="G1151" s="42"/>
      <c r="H1151" s="43"/>
      <c r="I1151" s="42"/>
      <c r="J1151" s="42"/>
      <c r="K1151" s="42"/>
      <c r="L1151" s="42"/>
      <c r="M1151" s="42"/>
      <c r="N1151" s="42"/>
      <c r="O1151" s="42"/>
      <c r="P1151" s="42"/>
      <c r="Q1151" s="42"/>
      <c r="R1151" s="42" t="s">
        <v>7975</v>
      </c>
      <c r="S1151" s="42" t="s">
        <v>494</v>
      </c>
      <c r="T1151" s="42" t="s">
        <v>5268</v>
      </c>
      <c r="U1151" s="42" t="s">
        <v>7325</v>
      </c>
      <c r="V1151" s="44" t="s">
        <v>3892</v>
      </c>
      <c r="W1151" s="42" t="s">
        <v>3892</v>
      </c>
    </row>
    <row r="1152" spans="1:23">
      <c r="A1152" s="40">
        <v>642</v>
      </c>
      <c r="B1152" s="41">
        <v>1754030372</v>
      </c>
      <c r="C1152" s="42" t="s">
        <v>7980</v>
      </c>
      <c r="D1152" s="42" t="s">
        <v>760</v>
      </c>
      <c r="E1152" s="43" t="s">
        <v>8707</v>
      </c>
      <c r="F1152" s="42"/>
      <c r="G1152" s="42"/>
      <c r="H1152" s="43"/>
      <c r="I1152" s="42"/>
      <c r="J1152" s="42"/>
      <c r="K1152" s="42"/>
      <c r="L1152" s="42"/>
      <c r="M1152" s="42"/>
      <c r="N1152" s="42"/>
      <c r="O1152" s="42"/>
      <c r="P1152" s="42"/>
      <c r="Q1152" s="42"/>
      <c r="R1152" s="42" t="s">
        <v>7975</v>
      </c>
      <c r="S1152" s="42" t="s">
        <v>494</v>
      </c>
      <c r="T1152" s="42" t="s">
        <v>5268</v>
      </c>
      <c r="U1152" s="42" t="s">
        <v>7325</v>
      </c>
      <c r="V1152" s="44" t="s">
        <v>3892</v>
      </c>
      <c r="W1152" s="42" t="s">
        <v>3892</v>
      </c>
    </row>
    <row r="1153" spans="1:23">
      <c r="A1153" s="40">
        <v>643</v>
      </c>
      <c r="B1153" s="41">
        <v>1854032671</v>
      </c>
      <c r="C1153" s="42" t="s">
        <v>7981</v>
      </c>
      <c r="D1153" s="42" t="s">
        <v>765</v>
      </c>
      <c r="E1153" s="43" t="s">
        <v>8708</v>
      </c>
      <c r="F1153" s="42"/>
      <c r="G1153" s="42"/>
      <c r="H1153" s="43"/>
      <c r="I1153" s="42"/>
      <c r="J1153" s="42"/>
      <c r="K1153" s="42"/>
      <c r="L1153" s="42"/>
      <c r="M1153" s="42"/>
      <c r="N1153" s="42"/>
      <c r="O1153" s="42"/>
      <c r="P1153" s="42"/>
      <c r="Q1153" s="42"/>
      <c r="R1153" s="42" t="s">
        <v>7975</v>
      </c>
      <c r="S1153" s="42" t="s">
        <v>494</v>
      </c>
      <c r="T1153" s="42" t="s">
        <v>5268</v>
      </c>
      <c r="U1153" s="42" t="s">
        <v>7325</v>
      </c>
      <c r="V1153" s="44" t="s">
        <v>3892</v>
      </c>
      <c r="W1153" s="42" t="s">
        <v>3892</v>
      </c>
    </row>
    <row r="1154" spans="1:23">
      <c r="A1154" s="40">
        <v>644</v>
      </c>
      <c r="B1154" s="41">
        <v>1754030592</v>
      </c>
      <c r="C1154" s="42" t="s">
        <v>7982</v>
      </c>
      <c r="D1154" s="42" t="s">
        <v>765</v>
      </c>
      <c r="E1154" s="43" t="s">
        <v>8709</v>
      </c>
      <c r="F1154" s="42"/>
      <c r="G1154" s="42"/>
      <c r="H1154" s="43"/>
      <c r="I1154" s="42"/>
      <c r="J1154" s="42"/>
      <c r="K1154" s="42"/>
      <c r="L1154" s="42"/>
      <c r="M1154" s="42"/>
      <c r="N1154" s="42"/>
      <c r="O1154" s="42"/>
      <c r="P1154" s="42"/>
      <c r="Q1154" s="42"/>
      <c r="R1154" s="42" t="s">
        <v>7975</v>
      </c>
      <c r="S1154" s="42" t="s">
        <v>494</v>
      </c>
      <c r="T1154" s="42" t="s">
        <v>5268</v>
      </c>
      <c r="U1154" s="42" t="s">
        <v>7325</v>
      </c>
      <c r="V1154" s="44" t="s">
        <v>3892</v>
      </c>
      <c r="W1154" s="42" t="s">
        <v>3892</v>
      </c>
    </row>
    <row r="1155" spans="1:23">
      <c r="A1155" s="40">
        <v>645</v>
      </c>
      <c r="B1155" s="41">
        <v>1754032227</v>
      </c>
      <c r="C1155" s="42" t="s">
        <v>7983</v>
      </c>
      <c r="D1155" s="42" t="s">
        <v>765</v>
      </c>
      <c r="E1155" s="43" t="s">
        <v>8710</v>
      </c>
      <c r="F1155" s="42"/>
      <c r="G1155" s="42"/>
      <c r="H1155" s="43"/>
      <c r="I1155" s="42"/>
      <c r="J1155" s="42"/>
      <c r="K1155" s="42"/>
      <c r="L1155" s="42"/>
      <c r="M1155" s="42"/>
      <c r="N1155" s="42"/>
      <c r="O1155" s="42"/>
      <c r="P1155" s="42"/>
      <c r="Q1155" s="42"/>
      <c r="R1155" s="42" t="s">
        <v>7975</v>
      </c>
      <c r="S1155" s="42" t="s">
        <v>494</v>
      </c>
      <c r="T1155" s="42" t="s">
        <v>5268</v>
      </c>
      <c r="U1155" s="42" t="s">
        <v>7325</v>
      </c>
      <c r="V1155" s="44" t="s">
        <v>3892</v>
      </c>
      <c r="W1155" s="42" t="s">
        <v>3892</v>
      </c>
    </row>
    <row r="1156" spans="1:23">
      <c r="A1156" s="40">
        <v>646</v>
      </c>
      <c r="B1156" s="41">
        <v>1754030268</v>
      </c>
      <c r="C1156" s="42" t="s">
        <v>7984</v>
      </c>
      <c r="D1156" s="42" t="s">
        <v>760</v>
      </c>
      <c r="E1156" s="43" t="s">
        <v>8711</v>
      </c>
      <c r="F1156" s="42"/>
      <c r="G1156" s="42"/>
      <c r="H1156" s="43"/>
      <c r="I1156" s="42"/>
      <c r="J1156" s="42"/>
      <c r="K1156" s="42"/>
      <c r="L1156" s="42"/>
      <c r="M1156" s="42"/>
      <c r="N1156" s="42"/>
      <c r="O1156" s="42"/>
      <c r="P1156" s="42"/>
      <c r="Q1156" s="42"/>
      <c r="R1156" s="42" t="s">
        <v>7975</v>
      </c>
      <c r="S1156" s="42" t="s">
        <v>494</v>
      </c>
      <c r="T1156" s="42" t="s">
        <v>5268</v>
      </c>
      <c r="U1156" s="42" t="s">
        <v>7325</v>
      </c>
      <c r="V1156" s="44" t="s">
        <v>3892</v>
      </c>
      <c r="W1156" s="42" t="s">
        <v>3892</v>
      </c>
    </row>
    <row r="1157" spans="1:23">
      <c r="A1157" s="40">
        <v>647</v>
      </c>
      <c r="B1157" s="41">
        <v>1854033181</v>
      </c>
      <c r="C1157" s="42" t="s">
        <v>7985</v>
      </c>
      <c r="D1157" s="42" t="s">
        <v>760</v>
      </c>
      <c r="E1157" s="43" t="s">
        <v>8712</v>
      </c>
      <c r="F1157" s="42"/>
      <c r="G1157" s="42"/>
      <c r="H1157" s="43"/>
      <c r="I1157" s="42"/>
      <c r="J1157" s="42"/>
      <c r="K1157" s="42"/>
      <c r="L1157" s="42"/>
      <c r="M1157" s="42"/>
      <c r="N1157" s="42"/>
      <c r="O1157" s="42"/>
      <c r="P1157" s="42"/>
      <c r="Q1157" s="42"/>
      <c r="R1157" s="42" t="s">
        <v>7975</v>
      </c>
      <c r="S1157" s="42" t="s">
        <v>494</v>
      </c>
      <c r="T1157" s="42" t="s">
        <v>5268</v>
      </c>
      <c r="U1157" s="42" t="s">
        <v>7325</v>
      </c>
      <c r="V1157" s="44" t="s">
        <v>3892</v>
      </c>
      <c r="W1157" s="42" t="s">
        <v>3892</v>
      </c>
    </row>
    <row r="1158" spans="1:23">
      <c r="A1158" s="40">
        <v>648</v>
      </c>
      <c r="B1158" s="41">
        <v>1754030552</v>
      </c>
      <c r="C1158" s="42" t="s">
        <v>7986</v>
      </c>
      <c r="D1158" s="42" t="s">
        <v>760</v>
      </c>
      <c r="E1158" s="43" t="s">
        <v>8713</v>
      </c>
      <c r="F1158" s="42"/>
      <c r="G1158" s="42"/>
      <c r="H1158" s="43"/>
      <c r="I1158" s="42"/>
      <c r="J1158" s="42"/>
      <c r="K1158" s="42"/>
      <c r="L1158" s="42"/>
      <c r="M1158" s="42"/>
      <c r="N1158" s="42"/>
      <c r="O1158" s="42"/>
      <c r="P1158" s="42"/>
      <c r="Q1158" s="42"/>
      <c r="R1158" s="42" t="s">
        <v>7975</v>
      </c>
      <c r="S1158" s="42" t="s">
        <v>494</v>
      </c>
      <c r="T1158" s="42" t="s">
        <v>5268</v>
      </c>
      <c r="U1158" s="42" t="s">
        <v>7325</v>
      </c>
      <c r="V1158" s="44" t="s">
        <v>3892</v>
      </c>
      <c r="W1158" s="42" t="s">
        <v>3892</v>
      </c>
    </row>
    <row r="1159" spans="1:23">
      <c r="A1159" s="40">
        <v>649</v>
      </c>
      <c r="B1159" s="41">
        <v>1754030257</v>
      </c>
      <c r="C1159" s="42" t="s">
        <v>7987</v>
      </c>
      <c r="D1159" s="42" t="s">
        <v>765</v>
      </c>
      <c r="E1159" s="43" t="s">
        <v>8714</v>
      </c>
      <c r="F1159" s="42"/>
      <c r="G1159" s="42"/>
      <c r="H1159" s="43"/>
      <c r="I1159" s="42"/>
      <c r="J1159" s="42"/>
      <c r="K1159" s="42"/>
      <c r="L1159" s="42"/>
      <c r="M1159" s="42"/>
      <c r="N1159" s="42"/>
      <c r="O1159" s="42"/>
      <c r="P1159" s="42"/>
      <c r="Q1159" s="42"/>
      <c r="R1159" s="42" t="s">
        <v>7975</v>
      </c>
      <c r="S1159" s="42" t="s">
        <v>494</v>
      </c>
      <c r="T1159" s="42" t="s">
        <v>5268</v>
      </c>
      <c r="U1159" s="42" t="s">
        <v>7325</v>
      </c>
      <c r="V1159" s="44" t="s">
        <v>3892</v>
      </c>
      <c r="W1159" s="42" t="s">
        <v>3892</v>
      </c>
    </row>
    <row r="1160" spans="1:23">
      <c r="A1160" s="40">
        <v>650</v>
      </c>
      <c r="B1160" s="41">
        <v>1854032748</v>
      </c>
      <c r="C1160" s="42" t="s">
        <v>7988</v>
      </c>
      <c r="D1160" s="42" t="s">
        <v>765</v>
      </c>
      <c r="E1160" s="43" t="s">
        <v>8715</v>
      </c>
      <c r="F1160" s="42"/>
      <c r="G1160" s="42"/>
      <c r="H1160" s="43"/>
      <c r="I1160" s="42"/>
      <c r="J1160" s="42"/>
      <c r="K1160" s="42"/>
      <c r="L1160" s="42"/>
      <c r="M1160" s="42"/>
      <c r="N1160" s="42"/>
      <c r="O1160" s="42"/>
      <c r="P1160" s="42"/>
      <c r="Q1160" s="42"/>
      <c r="R1160" s="42" t="s">
        <v>7975</v>
      </c>
      <c r="S1160" s="42" t="s">
        <v>494</v>
      </c>
      <c r="T1160" s="42" t="s">
        <v>5268</v>
      </c>
      <c r="U1160" s="42" t="s">
        <v>7325</v>
      </c>
      <c r="V1160" s="44" t="s">
        <v>3892</v>
      </c>
      <c r="W1160" s="42" t="s">
        <v>3892</v>
      </c>
    </row>
    <row r="1161" spans="1:23">
      <c r="A1161" s="40">
        <v>651</v>
      </c>
      <c r="B1161" s="41">
        <v>1854033034</v>
      </c>
      <c r="C1161" s="42" t="s">
        <v>7989</v>
      </c>
      <c r="D1161" s="42" t="s">
        <v>765</v>
      </c>
      <c r="E1161" s="43" t="s">
        <v>7299</v>
      </c>
      <c r="F1161" s="42"/>
      <c r="G1161" s="42"/>
      <c r="H1161" s="43"/>
      <c r="I1161" s="42"/>
      <c r="J1161" s="42"/>
      <c r="K1161" s="42"/>
      <c r="L1161" s="42"/>
      <c r="M1161" s="42"/>
      <c r="N1161" s="42"/>
      <c r="O1161" s="42"/>
      <c r="P1161" s="42"/>
      <c r="Q1161" s="42"/>
      <c r="R1161" s="42" t="s">
        <v>7975</v>
      </c>
      <c r="S1161" s="42" t="s">
        <v>494</v>
      </c>
      <c r="T1161" s="42" t="s">
        <v>5268</v>
      </c>
      <c r="U1161" s="42" t="s">
        <v>7325</v>
      </c>
      <c r="V1161" s="44" t="s">
        <v>3892</v>
      </c>
      <c r="W1161" s="42" t="s">
        <v>3892</v>
      </c>
    </row>
    <row r="1162" spans="1:23">
      <c r="A1162" s="40">
        <v>652</v>
      </c>
      <c r="B1162" s="41">
        <v>1854033155</v>
      </c>
      <c r="C1162" s="42" t="s">
        <v>7990</v>
      </c>
      <c r="D1162" s="42" t="s">
        <v>765</v>
      </c>
      <c r="E1162" s="43" t="s">
        <v>8716</v>
      </c>
      <c r="F1162" s="42"/>
      <c r="G1162" s="42"/>
      <c r="H1162" s="43"/>
      <c r="I1162" s="42"/>
      <c r="J1162" s="42"/>
      <c r="K1162" s="42"/>
      <c r="L1162" s="42"/>
      <c r="M1162" s="42"/>
      <c r="N1162" s="42"/>
      <c r="O1162" s="42"/>
      <c r="P1162" s="42"/>
      <c r="Q1162" s="42"/>
      <c r="R1162" s="42" t="s">
        <v>7975</v>
      </c>
      <c r="S1162" s="42" t="s">
        <v>494</v>
      </c>
      <c r="T1162" s="42" t="s">
        <v>5268</v>
      </c>
      <c r="U1162" s="42" t="s">
        <v>7325</v>
      </c>
      <c r="V1162" s="44" t="s">
        <v>3892</v>
      </c>
      <c r="W1162" s="42" t="s">
        <v>3892</v>
      </c>
    </row>
    <row r="1163" spans="1:23">
      <c r="A1163" s="40">
        <v>653</v>
      </c>
      <c r="B1163" s="41">
        <v>1854032639</v>
      </c>
      <c r="C1163" s="42" t="s">
        <v>7991</v>
      </c>
      <c r="D1163" s="42" t="s">
        <v>765</v>
      </c>
      <c r="E1163" s="43" t="s">
        <v>8717</v>
      </c>
      <c r="F1163" s="42"/>
      <c r="G1163" s="42"/>
      <c r="H1163" s="43"/>
      <c r="I1163" s="42"/>
      <c r="J1163" s="42"/>
      <c r="K1163" s="42"/>
      <c r="L1163" s="42"/>
      <c r="M1163" s="42"/>
      <c r="N1163" s="42"/>
      <c r="O1163" s="42"/>
      <c r="P1163" s="42"/>
      <c r="Q1163" s="42"/>
      <c r="R1163" s="42" t="s">
        <v>7975</v>
      </c>
      <c r="S1163" s="42" t="s">
        <v>494</v>
      </c>
      <c r="T1163" s="42" t="s">
        <v>5268</v>
      </c>
      <c r="U1163" s="42" t="s">
        <v>7325</v>
      </c>
      <c r="V1163" s="44" t="s">
        <v>3892</v>
      </c>
      <c r="W1163" s="42" t="s">
        <v>3892</v>
      </c>
    </row>
    <row r="1164" spans="1:23">
      <c r="A1164" s="40">
        <v>654</v>
      </c>
      <c r="B1164" s="41">
        <v>1754030680</v>
      </c>
      <c r="C1164" s="42" t="s">
        <v>7992</v>
      </c>
      <c r="D1164" s="42" t="s">
        <v>765</v>
      </c>
      <c r="E1164" s="43" t="s">
        <v>8718</v>
      </c>
      <c r="F1164" s="42"/>
      <c r="G1164" s="42"/>
      <c r="H1164" s="43"/>
      <c r="I1164" s="42"/>
      <c r="J1164" s="42"/>
      <c r="K1164" s="42"/>
      <c r="L1164" s="42"/>
      <c r="M1164" s="42"/>
      <c r="N1164" s="42"/>
      <c r="O1164" s="42"/>
      <c r="P1164" s="42"/>
      <c r="Q1164" s="42"/>
      <c r="R1164" s="42" t="s">
        <v>7975</v>
      </c>
      <c r="S1164" s="42" t="s">
        <v>494</v>
      </c>
      <c r="T1164" s="42" t="s">
        <v>5268</v>
      </c>
      <c r="U1164" s="42" t="s">
        <v>7325</v>
      </c>
      <c r="V1164" s="44" t="s">
        <v>3892</v>
      </c>
      <c r="W1164" s="42" t="s">
        <v>3892</v>
      </c>
    </row>
    <row r="1165" spans="1:23">
      <c r="A1165" s="40">
        <v>655</v>
      </c>
      <c r="B1165" s="41">
        <v>1754030350</v>
      </c>
      <c r="C1165" s="42" t="s">
        <v>7993</v>
      </c>
      <c r="D1165" s="42" t="s">
        <v>3892</v>
      </c>
      <c r="E1165" s="43" t="s">
        <v>7273</v>
      </c>
      <c r="F1165" s="42"/>
      <c r="G1165" s="42"/>
      <c r="H1165" s="43"/>
      <c r="I1165" s="42"/>
      <c r="J1165" s="42"/>
      <c r="K1165" s="42"/>
      <c r="L1165" s="42"/>
      <c r="M1165" s="42"/>
      <c r="N1165" s="42"/>
      <c r="O1165" s="42"/>
      <c r="P1165" s="42"/>
      <c r="Q1165" s="42"/>
      <c r="R1165" s="42" t="s">
        <v>7975</v>
      </c>
      <c r="S1165" s="42" t="s">
        <v>494</v>
      </c>
      <c r="T1165" s="42" t="s">
        <v>5268</v>
      </c>
      <c r="U1165" s="42" t="s">
        <v>7325</v>
      </c>
      <c r="V1165" s="44" t="s">
        <v>3892</v>
      </c>
      <c r="W1165" s="42" t="s">
        <v>7345</v>
      </c>
    </row>
    <row r="1166" spans="1:23">
      <c r="A1166" s="40">
        <v>656</v>
      </c>
      <c r="B1166" s="41">
        <v>1754031612</v>
      </c>
      <c r="C1166" s="42" t="s">
        <v>7994</v>
      </c>
      <c r="D1166" s="42" t="s">
        <v>765</v>
      </c>
      <c r="E1166" s="43" t="s">
        <v>8719</v>
      </c>
      <c r="F1166" s="42"/>
      <c r="G1166" s="42"/>
      <c r="H1166" s="43"/>
      <c r="I1166" s="42"/>
      <c r="J1166" s="42"/>
      <c r="K1166" s="42"/>
      <c r="L1166" s="42"/>
      <c r="M1166" s="42"/>
      <c r="N1166" s="42"/>
      <c r="O1166" s="42"/>
      <c r="P1166" s="42"/>
      <c r="Q1166" s="42"/>
      <c r="R1166" s="42" t="s">
        <v>7975</v>
      </c>
      <c r="S1166" s="42" t="s">
        <v>494</v>
      </c>
      <c r="T1166" s="42" t="s">
        <v>5268</v>
      </c>
      <c r="U1166" s="42" t="s">
        <v>7325</v>
      </c>
      <c r="V1166" s="44" t="s">
        <v>3892</v>
      </c>
      <c r="W1166" s="42" t="s">
        <v>3892</v>
      </c>
    </row>
    <row r="1167" spans="1:23">
      <c r="A1167" s="40">
        <v>657</v>
      </c>
      <c r="B1167" s="41">
        <v>1754030206</v>
      </c>
      <c r="C1167" s="42" t="s">
        <v>7995</v>
      </c>
      <c r="D1167" s="42" t="s">
        <v>3892</v>
      </c>
      <c r="E1167" s="43" t="s">
        <v>7273</v>
      </c>
      <c r="F1167" s="42"/>
      <c r="G1167" s="42"/>
      <c r="H1167" s="43"/>
      <c r="I1167" s="42"/>
      <c r="J1167" s="42"/>
      <c r="K1167" s="42"/>
      <c r="L1167" s="42"/>
      <c r="M1167" s="42"/>
      <c r="N1167" s="42"/>
      <c r="O1167" s="42"/>
      <c r="P1167" s="42"/>
      <c r="Q1167" s="42"/>
      <c r="R1167" s="42" t="s">
        <v>7975</v>
      </c>
      <c r="S1167" s="42" t="s">
        <v>494</v>
      </c>
      <c r="T1167" s="42" t="s">
        <v>5268</v>
      </c>
      <c r="U1167" s="42" t="s">
        <v>7325</v>
      </c>
      <c r="V1167" s="44" t="s">
        <v>3892</v>
      </c>
      <c r="W1167" s="42" t="s">
        <v>7345</v>
      </c>
    </row>
    <row r="1168" spans="1:23">
      <c r="A1168" s="40">
        <v>658</v>
      </c>
      <c r="B1168" s="41">
        <v>1754032291</v>
      </c>
      <c r="C1168" s="42" t="s">
        <v>7996</v>
      </c>
      <c r="D1168" s="42" t="s">
        <v>765</v>
      </c>
      <c r="E1168" s="43" t="s">
        <v>8720</v>
      </c>
      <c r="F1168" s="42"/>
      <c r="G1168" s="42"/>
      <c r="H1168" s="43"/>
      <c r="I1168" s="42"/>
      <c r="J1168" s="42"/>
      <c r="K1168" s="42"/>
      <c r="L1168" s="42"/>
      <c r="M1168" s="42"/>
      <c r="N1168" s="42"/>
      <c r="O1168" s="42"/>
      <c r="P1168" s="42"/>
      <c r="Q1168" s="42"/>
      <c r="R1168" s="42" t="s">
        <v>7975</v>
      </c>
      <c r="S1168" s="42" t="s">
        <v>494</v>
      </c>
      <c r="T1168" s="42" t="s">
        <v>5268</v>
      </c>
      <c r="U1168" s="42" t="s">
        <v>7325</v>
      </c>
      <c r="V1168" s="44" t="s">
        <v>3892</v>
      </c>
      <c r="W1168" s="42" t="s">
        <v>3892</v>
      </c>
    </row>
    <row r="1169" spans="1:23">
      <c r="A1169" s="40">
        <v>659</v>
      </c>
      <c r="B1169" s="41">
        <v>1754032239</v>
      </c>
      <c r="C1169" s="42" t="s">
        <v>7997</v>
      </c>
      <c r="D1169" s="42" t="s">
        <v>765</v>
      </c>
      <c r="E1169" s="43" t="s">
        <v>8721</v>
      </c>
      <c r="F1169" s="42"/>
      <c r="G1169" s="42"/>
      <c r="H1169" s="43"/>
      <c r="I1169" s="42"/>
      <c r="J1169" s="42"/>
      <c r="K1169" s="42"/>
      <c r="L1169" s="42"/>
      <c r="M1169" s="42"/>
      <c r="N1169" s="42"/>
      <c r="O1169" s="42"/>
      <c r="P1169" s="42"/>
      <c r="Q1169" s="42"/>
      <c r="R1169" s="42" t="s">
        <v>7975</v>
      </c>
      <c r="S1169" s="42" t="s">
        <v>494</v>
      </c>
      <c r="T1169" s="42" t="s">
        <v>5268</v>
      </c>
      <c r="U1169" s="42" t="s">
        <v>7325</v>
      </c>
      <c r="V1169" s="44" t="s">
        <v>3892</v>
      </c>
      <c r="W1169" s="42" t="s">
        <v>3892</v>
      </c>
    </row>
    <row r="1170" spans="1:23">
      <c r="A1170" s="40">
        <v>660</v>
      </c>
      <c r="B1170" s="41">
        <v>1754031476</v>
      </c>
      <c r="C1170" s="42" t="s">
        <v>7998</v>
      </c>
      <c r="D1170" s="42" t="s">
        <v>760</v>
      </c>
      <c r="E1170" s="43" t="s">
        <v>8722</v>
      </c>
      <c r="F1170" s="42"/>
      <c r="G1170" s="42"/>
      <c r="H1170" s="43"/>
      <c r="I1170" s="42"/>
      <c r="J1170" s="42"/>
      <c r="K1170" s="42"/>
      <c r="L1170" s="42"/>
      <c r="M1170" s="42"/>
      <c r="N1170" s="42"/>
      <c r="O1170" s="42"/>
      <c r="P1170" s="42"/>
      <c r="Q1170" s="42"/>
      <c r="R1170" s="42" t="s">
        <v>7975</v>
      </c>
      <c r="S1170" s="42" t="s">
        <v>494</v>
      </c>
      <c r="T1170" s="42" t="s">
        <v>5268</v>
      </c>
      <c r="U1170" s="42" t="s">
        <v>7325</v>
      </c>
      <c r="V1170" s="44" t="s">
        <v>3892</v>
      </c>
      <c r="W1170" s="42" t="s">
        <v>3892</v>
      </c>
    </row>
    <row r="1171" spans="1:23">
      <c r="A1171" s="40">
        <v>661</v>
      </c>
      <c r="B1171" s="41">
        <v>1854032956</v>
      </c>
      <c r="C1171" s="42" t="s">
        <v>7999</v>
      </c>
      <c r="D1171" s="42" t="s">
        <v>765</v>
      </c>
      <c r="E1171" s="43" t="s">
        <v>8467</v>
      </c>
      <c r="F1171" s="42"/>
      <c r="G1171" s="42"/>
      <c r="H1171" s="43"/>
      <c r="I1171" s="42"/>
      <c r="J1171" s="42"/>
      <c r="K1171" s="42"/>
      <c r="L1171" s="42"/>
      <c r="M1171" s="42"/>
      <c r="N1171" s="42"/>
      <c r="O1171" s="42"/>
      <c r="P1171" s="42"/>
      <c r="Q1171" s="42"/>
      <c r="R1171" s="42" t="s">
        <v>7975</v>
      </c>
      <c r="S1171" s="42" t="s">
        <v>494</v>
      </c>
      <c r="T1171" s="42" t="s">
        <v>5268</v>
      </c>
      <c r="U1171" s="42" t="s">
        <v>7325</v>
      </c>
      <c r="V1171" s="44" t="s">
        <v>3892</v>
      </c>
      <c r="W1171" s="42" t="s">
        <v>3892</v>
      </c>
    </row>
    <row r="1172" spans="1:23">
      <c r="A1172" s="40">
        <v>662</v>
      </c>
      <c r="B1172" s="41">
        <v>1854032977</v>
      </c>
      <c r="C1172" s="42" t="s">
        <v>8000</v>
      </c>
      <c r="D1172" s="42" t="s">
        <v>765</v>
      </c>
      <c r="E1172" s="43" t="s">
        <v>8723</v>
      </c>
      <c r="F1172" s="42"/>
      <c r="G1172" s="42"/>
      <c r="H1172" s="43"/>
      <c r="I1172" s="42"/>
      <c r="J1172" s="42"/>
      <c r="K1172" s="42"/>
      <c r="L1172" s="42"/>
      <c r="M1172" s="42"/>
      <c r="N1172" s="42"/>
      <c r="O1172" s="42"/>
      <c r="P1172" s="42"/>
      <c r="Q1172" s="42"/>
      <c r="R1172" s="42" t="s">
        <v>7975</v>
      </c>
      <c r="S1172" s="42" t="s">
        <v>494</v>
      </c>
      <c r="T1172" s="42" t="s">
        <v>5268</v>
      </c>
      <c r="U1172" s="42" t="s">
        <v>7325</v>
      </c>
      <c r="V1172" s="44" t="s">
        <v>3892</v>
      </c>
      <c r="W1172" s="42" t="s">
        <v>3892</v>
      </c>
    </row>
    <row r="1173" spans="1:23">
      <c r="A1173" s="40">
        <v>663</v>
      </c>
      <c r="B1173" s="41">
        <v>1854032782</v>
      </c>
      <c r="C1173" s="42" t="s">
        <v>8001</v>
      </c>
      <c r="D1173" s="42" t="s">
        <v>765</v>
      </c>
      <c r="E1173" s="43" t="s">
        <v>8724</v>
      </c>
      <c r="F1173" s="42"/>
      <c r="G1173" s="42"/>
      <c r="H1173" s="43"/>
      <c r="I1173" s="42"/>
      <c r="J1173" s="42"/>
      <c r="K1173" s="42"/>
      <c r="L1173" s="42"/>
      <c r="M1173" s="42"/>
      <c r="N1173" s="42"/>
      <c r="O1173" s="42"/>
      <c r="P1173" s="42"/>
      <c r="Q1173" s="42"/>
      <c r="R1173" s="42" t="s">
        <v>7975</v>
      </c>
      <c r="S1173" s="42" t="s">
        <v>494</v>
      </c>
      <c r="T1173" s="42" t="s">
        <v>5268</v>
      </c>
      <c r="U1173" s="42" t="s">
        <v>7325</v>
      </c>
      <c r="V1173" s="44" t="s">
        <v>3892</v>
      </c>
      <c r="W1173" s="42" t="s">
        <v>3892</v>
      </c>
    </row>
    <row r="1174" spans="1:23">
      <c r="A1174" s="40">
        <v>664</v>
      </c>
      <c r="B1174" s="41">
        <v>1754032215</v>
      </c>
      <c r="C1174" s="42" t="s">
        <v>8002</v>
      </c>
      <c r="D1174" s="42" t="s">
        <v>765</v>
      </c>
      <c r="E1174" s="43" t="s">
        <v>8725</v>
      </c>
      <c r="F1174" s="42"/>
      <c r="G1174" s="42"/>
      <c r="H1174" s="43"/>
      <c r="I1174" s="42"/>
      <c r="J1174" s="42"/>
      <c r="K1174" s="42"/>
      <c r="L1174" s="42"/>
      <c r="M1174" s="42"/>
      <c r="N1174" s="42"/>
      <c r="O1174" s="42"/>
      <c r="P1174" s="42"/>
      <c r="Q1174" s="42"/>
      <c r="R1174" s="42" t="s">
        <v>7975</v>
      </c>
      <c r="S1174" s="42" t="s">
        <v>494</v>
      </c>
      <c r="T1174" s="42" t="s">
        <v>5268</v>
      </c>
      <c r="U1174" s="42" t="s">
        <v>7325</v>
      </c>
      <c r="V1174" s="44" t="s">
        <v>3892</v>
      </c>
      <c r="W1174" s="42" t="s">
        <v>3892</v>
      </c>
    </row>
    <row r="1175" spans="1:23">
      <c r="A1175" s="40">
        <v>665</v>
      </c>
      <c r="B1175" s="41">
        <v>1754032217</v>
      </c>
      <c r="C1175" s="42" t="s">
        <v>8003</v>
      </c>
      <c r="D1175" s="42" t="s">
        <v>765</v>
      </c>
      <c r="E1175" s="43" t="s">
        <v>8439</v>
      </c>
      <c r="F1175" s="42"/>
      <c r="G1175" s="42"/>
      <c r="H1175" s="43"/>
      <c r="I1175" s="42"/>
      <c r="J1175" s="42"/>
      <c r="K1175" s="42"/>
      <c r="L1175" s="42"/>
      <c r="M1175" s="42"/>
      <c r="N1175" s="42"/>
      <c r="O1175" s="42"/>
      <c r="P1175" s="42"/>
      <c r="Q1175" s="42"/>
      <c r="R1175" s="42" t="s">
        <v>7975</v>
      </c>
      <c r="S1175" s="42" t="s">
        <v>494</v>
      </c>
      <c r="T1175" s="42" t="s">
        <v>5268</v>
      </c>
      <c r="U1175" s="42" t="s">
        <v>7325</v>
      </c>
      <c r="V1175" s="44" t="s">
        <v>3892</v>
      </c>
      <c r="W1175" s="42" t="s">
        <v>3892</v>
      </c>
    </row>
    <row r="1176" spans="1:23">
      <c r="A1176" s="40">
        <v>666</v>
      </c>
      <c r="B1176" s="41">
        <v>1754030098</v>
      </c>
      <c r="C1176" s="42" t="s">
        <v>8004</v>
      </c>
      <c r="D1176" s="42" t="s">
        <v>765</v>
      </c>
      <c r="E1176" s="43" t="s">
        <v>8714</v>
      </c>
      <c r="F1176" s="42"/>
      <c r="G1176" s="42"/>
      <c r="H1176" s="43"/>
      <c r="I1176" s="42"/>
      <c r="J1176" s="42"/>
      <c r="K1176" s="42"/>
      <c r="L1176" s="42"/>
      <c r="M1176" s="42"/>
      <c r="N1176" s="42"/>
      <c r="O1176" s="42"/>
      <c r="P1176" s="42"/>
      <c r="Q1176" s="42"/>
      <c r="R1176" s="42" t="s">
        <v>7975</v>
      </c>
      <c r="S1176" s="42" t="s">
        <v>494</v>
      </c>
      <c r="T1176" s="42" t="s">
        <v>5268</v>
      </c>
      <c r="U1176" s="42" t="s">
        <v>7325</v>
      </c>
      <c r="V1176" s="44" t="s">
        <v>3892</v>
      </c>
      <c r="W1176" s="42" t="s">
        <v>3892</v>
      </c>
    </row>
    <row r="1177" spans="1:23">
      <c r="A1177" s="40">
        <v>667</v>
      </c>
      <c r="B1177" s="41">
        <v>1754032237</v>
      </c>
      <c r="C1177" s="42" t="s">
        <v>8005</v>
      </c>
      <c r="D1177" s="42" t="s">
        <v>765</v>
      </c>
      <c r="E1177" s="43" t="s">
        <v>8726</v>
      </c>
      <c r="F1177" s="42"/>
      <c r="G1177" s="42"/>
      <c r="H1177" s="43"/>
      <c r="I1177" s="42"/>
      <c r="J1177" s="42"/>
      <c r="K1177" s="42"/>
      <c r="L1177" s="42"/>
      <c r="M1177" s="42"/>
      <c r="N1177" s="42"/>
      <c r="O1177" s="42"/>
      <c r="P1177" s="42"/>
      <c r="Q1177" s="42"/>
      <c r="R1177" s="42" t="s">
        <v>7975</v>
      </c>
      <c r="S1177" s="42" t="s">
        <v>494</v>
      </c>
      <c r="T1177" s="42" t="s">
        <v>5268</v>
      </c>
      <c r="U1177" s="42" t="s">
        <v>7325</v>
      </c>
      <c r="V1177" s="44" t="s">
        <v>3892</v>
      </c>
      <c r="W1177" s="42" t="s">
        <v>3892</v>
      </c>
    </row>
    <row r="1178" spans="1:23">
      <c r="A1178" s="40">
        <v>668</v>
      </c>
      <c r="B1178" s="41">
        <v>1854032820</v>
      </c>
      <c r="C1178" s="42" t="s">
        <v>8006</v>
      </c>
      <c r="D1178" s="42" t="s">
        <v>765</v>
      </c>
      <c r="E1178" s="43" t="s">
        <v>8339</v>
      </c>
      <c r="F1178" s="42"/>
      <c r="G1178" s="42"/>
      <c r="H1178" s="43"/>
      <c r="I1178" s="42"/>
      <c r="J1178" s="42"/>
      <c r="K1178" s="42"/>
      <c r="L1178" s="42"/>
      <c r="M1178" s="42"/>
      <c r="N1178" s="42"/>
      <c r="O1178" s="42"/>
      <c r="P1178" s="42"/>
      <c r="Q1178" s="42"/>
      <c r="R1178" s="42" t="s">
        <v>7975</v>
      </c>
      <c r="S1178" s="42" t="s">
        <v>494</v>
      </c>
      <c r="T1178" s="42" t="s">
        <v>5268</v>
      </c>
      <c r="U1178" s="42" t="s">
        <v>7325</v>
      </c>
      <c r="V1178" s="44" t="s">
        <v>3892</v>
      </c>
      <c r="W1178" s="42" t="s">
        <v>3892</v>
      </c>
    </row>
    <row r="1179" spans="1:23">
      <c r="A1179" s="40">
        <v>669</v>
      </c>
      <c r="B1179" s="41">
        <v>1754030574</v>
      </c>
      <c r="C1179" s="42" t="s">
        <v>8007</v>
      </c>
      <c r="D1179" s="42" t="s">
        <v>765</v>
      </c>
      <c r="E1179" s="43" t="s">
        <v>8727</v>
      </c>
      <c r="F1179" s="42"/>
      <c r="G1179" s="42"/>
      <c r="H1179" s="43"/>
      <c r="I1179" s="42"/>
      <c r="J1179" s="42"/>
      <c r="K1179" s="42"/>
      <c r="L1179" s="42"/>
      <c r="M1179" s="42"/>
      <c r="N1179" s="42"/>
      <c r="O1179" s="42"/>
      <c r="P1179" s="42"/>
      <c r="Q1179" s="42"/>
      <c r="R1179" s="42" t="s">
        <v>7975</v>
      </c>
      <c r="S1179" s="42" t="s">
        <v>494</v>
      </c>
      <c r="T1179" s="42" t="s">
        <v>5268</v>
      </c>
      <c r="U1179" s="42" t="s">
        <v>7325</v>
      </c>
      <c r="V1179" s="44" t="s">
        <v>3892</v>
      </c>
      <c r="W1179" s="42" t="s">
        <v>3892</v>
      </c>
    </row>
    <row r="1180" spans="1:23">
      <c r="A1180" s="40">
        <v>670</v>
      </c>
      <c r="B1180" s="41">
        <v>1854033113</v>
      </c>
      <c r="C1180" s="42" t="s">
        <v>2543</v>
      </c>
      <c r="D1180" s="42" t="s">
        <v>760</v>
      </c>
      <c r="E1180" s="43" t="s">
        <v>8728</v>
      </c>
      <c r="F1180" s="42"/>
      <c r="G1180" s="42"/>
      <c r="H1180" s="43"/>
      <c r="I1180" s="42"/>
      <c r="J1180" s="42"/>
      <c r="K1180" s="42"/>
      <c r="L1180" s="42"/>
      <c r="M1180" s="42"/>
      <c r="N1180" s="42"/>
      <c r="O1180" s="42"/>
      <c r="P1180" s="42"/>
      <c r="Q1180" s="42"/>
      <c r="R1180" s="42" t="s">
        <v>7975</v>
      </c>
      <c r="S1180" s="42" t="s">
        <v>494</v>
      </c>
      <c r="T1180" s="42" t="s">
        <v>5268</v>
      </c>
      <c r="U1180" s="42" t="s">
        <v>7325</v>
      </c>
      <c r="V1180" s="44" t="s">
        <v>3892</v>
      </c>
      <c r="W1180" s="42" t="s">
        <v>3892</v>
      </c>
    </row>
    <row r="1181" spans="1:23">
      <c r="A1181" s="40">
        <v>671</v>
      </c>
      <c r="B1181" s="41">
        <v>1754030348</v>
      </c>
      <c r="C1181" s="42" t="s">
        <v>8008</v>
      </c>
      <c r="D1181" s="42" t="s">
        <v>765</v>
      </c>
      <c r="E1181" s="43" t="s">
        <v>8729</v>
      </c>
      <c r="F1181" s="42"/>
      <c r="G1181" s="42"/>
      <c r="H1181" s="43"/>
      <c r="I1181" s="42"/>
      <c r="J1181" s="42"/>
      <c r="K1181" s="42"/>
      <c r="L1181" s="42"/>
      <c r="M1181" s="42"/>
      <c r="N1181" s="42"/>
      <c r="O1181" s="42"/>
      <c r="P1181" s="42"/>
      <c r="Q1181" s="42"/>
      <c r="R1181" s="42" t="s">
        <v>7975</v>
      </c>
      <c r="S1181" s="42" t="s">
        <v>494</v>
      </c>
      <c r="T1181" s="42" t="s">
        <v>5268</v>
      </c>
      <c r="U1181" s="42" t="s">
        <v>7325</v>
      </c>
      <c r="V1181" s="44" t="s">
        <v>3892</v>
      </c>
      <c r="W1181" s="42" t="s">
        <v>3892</v>
      </c>
    </row>
    <row r="1182" spans="1:23">
      <c r="A1182" s="40">
        <v>672</v>
      </c>
      <c r="B1182" s="41">
        <v>1754030425</v>
      </c>
      <c r="C1182" s="42" t="s">
        <v>8009</v>
      </c>
      <c r="D1182" s="42" t="s">
        <v>765</v>
      </c>
      <c r="E1182" s="43" t="s">
        <v>8730</v>
      </c>
      <c r="F1182" s="42"/>
      <c r="G1182" s="42"/>
      <c r="H1182" s="43"/>
      <c r="I1182" s="42"/>
      <c r="J1182" s="42"/>
      <c r="K1182" s="42"/>
      <c r="L1182" s="42"/>
      <c r="M1182" s="42"/>
      <c r="N1182" s="42"/>
      <c r="O1182" s="42"/>
      <c r="P1182" s="42"/>
      <c r="Q1182" s="42"/>
      <c r="R1182" s="42" t="s">
        <v>7975</v>
      </c>
      <c r="S1182" s="42" t="s">
        <v>494</v>
      </c>
      <c r="T1182" s="42" t="s">
        <v>5268</v>
      </c>
      <c r="U1182" s="42" t="s">
        <v>7325</v>
      </c>
      <c r="V1182" s="44" t="s">
        <v>3892</v>
      </c>
      <c r="W1182" s="42" t="s">
        <v>3892</v>
      </c>
    </row>
    <row r="1183" spans="1:23">
      <c r="A1183" s="40">
        <v>673</v>
      </c>
      <c r="B1183" s="41">
        <v>1854032791</v>
      </c>
      <c r="C1183" s="42" t="s">
        <v>8010</v>
      </c>
      <c r="D1183" s="42" t="s">
        <v>765</v>
      </c>
      <c r="E1183" s="43" t="s">
        <v>8731</v>
      </c>
      <c r="F1183" s="42"/>
      <c r="G1183" s="42"/>
      <c r="H1183" s="43"/>
      <c r="I1183" s="42"/>
      <c r="J1183" s="42"/>
      <c r="K1183" s="42"/>
      <c r="L1183" s="42"/>
      <c r="M1183" s="42"/>
      <c r="N1183" s="42"/>
      <c r="O1183" s="42"/>
      <c r="P1183" s="42"/>
      <c r="Q1183" s="42"/>
      <c r="R1183" s="42" t="s">
        <v>7975</v>
      </c>
      <c r="S1183" s="42" t="s">
        <v>494</v>
      </c>
      <c r="T1183" s="42" t="s">
        <v>5268</v>
      </c>
      <c r="U1183" s="42" t="s">
        <v>7325</v>
      </c>
      <c r="V1183" s="44" t="s">
        <v>3892</v>
      </c>
      <c r="W1183" s="42" t="s">
        <v>3892</v>
      </c>
    </row>
    <row r="1184" spans="1:23">
      <c r="A1184" s="40">
        <v>674</v>
      </c>
      <c r="B1184" s="41">
        <v>1854033142</v>
      </c>
      <c r="C1184" s="42" t="s">
        <v>8011</v>
      </c>
      <c r="D1184" s="42" t="s">
        <v>765</v>
      </c>
      <c r="E1184" s="43" t="s">
        <v>8732</v>
      </c>
      <c r="F1184" s="42"/>
      <c r="G1184" s="42"/>
      <c r="H1184" s="43"/>
      <c r="I1184" s="42"/>
      <c r="J1184" s="42"/>
      <c r="K1184" s="42"/>
      <c r="L1184" s="42"/>
      <c r="M1184" s="42"/>
      <c r="N1184" s="42"/>
      <c r="O1184" s="42"/>
      <c r="P1184" s="42"/>
      <c r="Q1184" s="42"/>
      <c r="R1184" s="42" t="s">
        <v>7975</v>
      </c>
      <c r="S1184" s="42" t="s">
        <v>494</v>
      </c>
      <c r="T1184" s="42" t="s">
        <v>5268</v>
      </c>
      <c r="U1184" s="42" t="s">
        <v>7325</v>
      </c>
      <c r="V1184" s="44" t="s">
        <v>3892</v>
      </c>
      <c r="W1184" s="42" t="s">
        <v>3892</v>
      </c>
    </row>
    <row r="1185" spans="1:23">
      <c r="A1185" s="40">
        <v>675</v>
      </c>
      <c r="B1185" s="41">
        <v>1854033048</v>
      </c>
      <c r="C1185" s="42" t="s">
        <v>8012</v>
      </c>
      <c r="D1185" s="42" t="s">
        <v>765</v>
      </c>
      <c r="E1185" s="43" t="s">
        <v>8704</v>
      </c>
      <c r="F1185" s="42"/>
      <c r="G1185" s="42"/>
      <c r="H1185" s="43"/>
      <c r="I1185" s="42"/>
      <c r="J1185" s="42"/>
      <c r="K1185" s="42"/>
      <c r="L1185" s="42"/>
      <c r="M1185" s="42"/>
      <c r="N1185" s="42"/>
      <c r="O1185" s="42"/>
      <c r="P1185" s="42"/>
      <c r="Q1185" s="42"/>
      <c r="R1185" s="42" t="s">
        <v>7975</v>
      </c>
      <c r="S1185" s="42" t="s">
        <v>494</v>
      </c>
      <c r="T1185" s="42" t="s">
        <v>5268</v>
      </c>
      <c r="U1185" s="42" t="s">
        <v>7325</v>
      </c>
      <c r="V1185" s="44" t="s">
        <v>3892</v>
      </c>
      <c r="W1185" s="42" t="s">
        <v>3892</v>
      </c>
    </row>
    <row r="1186" spans="1:23">
      <c r="A1186" s="40">
        <v>676</v>
      </c>
      <c r="B1186" s="41">
        <v>1754031740</v>
      </c>
      <c r="C1186" s="42" t="s">
        <v>8013</v>
      </c>
      <c r="D1186" s="42" t="s">
        <v>765</v>
      </c>
      <c r="E1186" s="43" t="s">
        <v>8733</v>
      </c>
      <c r="F1186" s="42"/>
      <c r="G1186" s="42"/>
      <c r="H1186" s="43"/>
      <c r="I1186" s="42"/>
      <c r="J1186" s="42"/>
      <c r="K1186" s="42"/>
      <c r="L1186" s="42"/>
      <c r="M1186" s="42"/>
      <c r="N1186" s="42"/>
      <c r="O1186" s="42"/>
      <c r="P1186" s="42"/>
      <c r="Q1186" s="42"/>
      <c r="R1186" s="42" t="s">
        <v>7975</v>
      </c>
      <c r="S1186" s="42" t="s">
        <v>494</v>
      </c>
      <c r="T1186" s="42" t="s">
        <v>5268</v>
      </c>
      <c r="U1186" s="42" t="s">
        <v>7325</v>
      </c>
      <c r="V1186" s="44" t="s">
        <v>3892</v>
      </c>
      <c r="W1186" s="42" t="s">
        <v>3892</v>
      </c>
    </row>
    <row r="1187" spans="1:23">
      <c r="A1187" s="40">
        <v>677</v>
      </c>
      <c r="B1187" s="41">
        <v>1854033172</v>
      </c>
      <c r="C1187" s="42" t="s">
        <v>8014</v>
      </c>
      <c r="D1187" s="42" t="s">
        <v>765</v>
      </c>
      <c r="E1187" s="43" t="s">
        <v>8734</v>
      </c>
      <c r="F1187" s="42"/>
      <c r="G1187" s="42"/>
      <c r="H1187" s="43"/>
      <c r="I1187" s="42"/>
      <c r="J1187" s="42"/>
      <c r="K1187" s="42"/>
      <c r="L1187" s="42"/>
      <c r="M1187" s="42"/>
      <c r="N1187" s="42"/>
      <c r="O1187" s="42"/>
      <c r="P1187" s="42"/>
      <c r="Q1187" s="42"/>
      <c r="R1187" s="42" t="s">
        <v>7975</v>
      </c>
      <c r="S1187" s="42" t="s">
        <v>494</v>
      </c>
      <c r="T1187" s="42" t="s">
        <v>5268</v>
      </c>
      <c r="U1187" s="42" t="s">
        <v>7325</v>
      </c>
      <c r="V1187" s="44" t="s">
        <v>3892</v>
      </c>
      <c r="W1187" s="42" t="s">
        <v>3892</v>
      </c>
    </row>
    <row r="1188" spans="1:23" ht="60">
      <c r="A1188" s="40">
        <v>678</v>
      </c>
      <c r="B1188" s="41">
        <v>1854033064</v>
      </c>
      <c r="C1188" s="42" t="s">
        <v>8015</v>
      </c>
      <c r="D1188" s="42" t="s">
        <v>765</v>
      </c>
      <c r="E1188" s="43" t="s">
        <v>8735</v>
      </c>
      <c r="F1188" s="42"/>
      <c r="G1188" s="42"/>
      <c r="H1188" s="43"/>
      <c r="I1188" s="42"/>
      <c r="J1188" s="42"/>
      <c r="K1188" s="42"/>
      <c r="L1188" s="42"/>
      <c r="M1188" s="42"/>
      <c r="N1188" s="42"/>
      <c r="O1188" s="42"/>
      <c r="P1188" s="42"/>
      <c r="Q1188" s="42"/>
      <c r="R1188" s="42" t="s">
        <v>7975</v>
      </c>
      <c r="S1188" s="42" t="s">
        <v>494</v>
      </c>
      <c r="T1188" s="42" t="s">
        <v>5268</v>
      </c>
      <c r="U1188" s="42" t="s">
        <v>7325</v>
      </c>
      <c r="V1188" s="44" t="s">
        <v>8016</v>
      </c>
      <c r="W1188" s="42" t="s">
        <v>3905</v>
      </c>
    </row>
    <row r="1189" spans="1:23">
      <c r="A1189" s="40">
        <v>679</v>
      </c>
      <c r="B1189" s="41">
        <v>1854032713</v>
      </c>
      <c r="C1189" s="42" t="s">
        <v>8017</v>
      </c>
      <c r="D1189" s="42" t="s">
        <v>765</v>
      </c>
      <c r="E1189" s="43" t="s">
        <v>8736</v>
      </c>
      <c r="F1189" s="42"/>
      <c r="G1189" s="42"/>
      <c r="H1189" s="43"/>
      <c r="I1189" s="42"/>
      <c r="J1189" s="42"/>
      <c r="K1189" s="42"/>
      <c r="L1189" s="42"/>
      <c r="M1189" s="42"/>
      <c r="N1189" s="42"/>
      <c r="O1189" s="42"/>
      <c r="P1189" s="42"/>
      <c r="Q1189" s="42"/>
      <c r="R1189" s="42" t="s">
        <v>7975</v>
      </c>
      <c r="S1189" s="42" t="s">
        <v>494</v>
      </c>
      <c r="T1189" s="42" t="s">
        <v>5268</v>
      </c>
      <c r="U1189" s="42" t="s">
        <v>7325</v>
      </c>
      <c r="V1189" s="44" t="s">
        <v>3892</v>
      </c>
      <c r="W1189" s="42" t="s">
        <v>3892</v>
      </c>
    </row>
    <row r="1190" spans="1:23">
      <c r="A1190" s="40">
        <v>680</v>
      </c>
      <c r="B1190" s="41">
        <v>1754030296</v>
      </c>
      <c r="C1190" s="42" t="s">
        <v>8018</v>
      </c>
      <c r="D1190" s="42" t="s">
        <v>765</v>
      </c>
      <c r="E1190" s="43" t="s">
        <v>8737</v>
      </c>
      <c r="F1190" s="42"/>
      <c r="G1190" s="42"/>
      <c r="H1190" s="43"/>
      <c r="I1190" s="42"/>
      <c r="J1190" s="42"/>
      <c r="K1190" s="42"/>
      <c r="L1190" s="42"/>
      <c r="M1190" s="42"/>
      <c r="N1190" s="42"/>
      <c r="O1190" s="42"/>
      <c r="P1190" s="42"/>
      <c r="Q1190" s="42"/>
      <c r="R1190" s="42" t="s">
        <v>7975</v>
      </c>
      <c r="S1190" s="42" t="s">
        <v>494</v>
      </c>
      <c r="T1190" s="42" t="s">
        <v>5268</v>
      </c>
      <c r="U1190" s="42" t="s">
        <v>7325</v>
      </c>
      <c r="V1190" s="44" t="s">
        <v>3892</v>
      </c>
      <c r="W1190" s="42" t="s">
        <v>3892</v>
      </c>
    </row>
    <row r="1191" spans="1:23">
      <c r="A1191" s="40">
        <v>681</v>
      </c>
      <c r="B1191" s="41">
        <v>1854033179</v>
      </c>
      <c r="C1191" s="42" t="s">
        <v>8019</v>
      </c>
      <c r="D1191" s="42" t="s">
        <v>765</v>
      </c>
      <c r="E1191" s="43" t="s">
        <v>8738</v>
      </c>
      <c r="F1191" s="42"/>
      <c r="G1191" s="42"/>
      <c r="H1191" s="43"/>
      <c r="I1191" s="42"/>
      <c r="J1191" s="42"/>
      <c r="K1191" s="42"/>
      <c r="L1191" s="42"/>
      <c r="M1191" s="42"/>
      <c r="N1191" s="42"/>
      <c r="O1191" s="42"/>
      <c r="P1191" s="42"/>
      <c r="Q1191" s="42"/>
      <c r="R1191" s="42" t="s">
        <v>7975</v>
      </c>
      <c r="S1191" s="42" t="s">
        <v>494</v>
      </c>
      <c r="T1191" s="42" t="s">
        <v>5268</v>
      </c>
      <c r="U1191" s="42" t="s">
        <v>7325</v>
      </c>
      <c r="V1191" s="44" t="s">
        <v>3892</v>
      </c>
      <c r="W1191" s="42" t="s">
        <v>3892</v>
      </c>
    </row>
    <row r="1192" spans="1:23">
      <c r="A1192" s="40">
        <v>682</v>
      </c>
      <c r="B1192" s="41">
        <v>1854032661</v>
      </c>
      <c r="C1192" s="42" t="s">
        <v>8020</v>
      </c>
      <c r="D1192" s="42" t="s">
        <v>765</v>
      </c>
      <c r="E1192" s="43" t="s">
        <v>8739</v>
      </c>
      <c r="F1192" s="42"/>
      <c r="G1192" s="42"/>
      <c r="H1192" s="43"/>
      <c r="I1192" s="42"/>
      <c r="J1192" s="42"/>
      <c r="K1192" s="42"/>
      <c r="L1192" s="42"/>
      <c r="M1192" s="42"/>
      <c r="N1192" s="42"/>
      <c r="O1192" s="42"/>
      <c r="P1192" s="42"/>
      <c r="Q1192" s="42"/>
      <c r="R1192" s="42" t="s">
        <v>7975</v>
      </c>
      <c r="S1192" s="42" t="s">
        <v>494</v>
      </c>
      <c r="T1192" s="42" t="s">
        <v>5268</v>
      </c>
      <c r="U1192" s="42" t="s">
        <v>7325</v>
      </c>
      <c r="V1192" s="44" t="s">
        <v>3892</v>
      </c>
      <c r="W1192" s="42" t="s">
        <v>3892</v>
      </c>
    </row>
    <row r="1193" spans="1:23">
      <c r="A1193" s="40">
        <v>683</v>
      </c>
      <c r="B1193" s="41">
        <v>1854033067</v>
      </c>
      <c r="C1193" s="42" t="s">
        <v>8021</v>
      </c>
      <c r="D1193" s="42" t="s">
        <v>765</v>
      </c>
      <c r="E1193" s="43" t="s">
        <v>8740</v>
      </c>
      <c r="F1193" s="42"/>
      <c r="G1193" s="42"/>
      <c r="H1193" s="43"/>
      <c r="I1193" s="42"/>
      <c r="J1193" s="42"/>
      <c r="K1193" s="42"/>
      <c r="L1193" s="42"/>
      <c r="M1193" s="42"/>
      <c r="N1193" s="42"/>
      <c r="O1193" s="42"/>
      <c r="P1193" s="42"/>
      <c r="Q1193" s="42"/>
      <c r="R1193" s="42" t="s">
        <v>7975</v>
      </c>
      <c r="S1193" s="42" t="s">
        <v>494</v>
      </c>
      <c r="T1193" s="42" t="s">
        <v>5268</v>
      </c>
      <c r="U1193" s="42" t="s">
        <v>7325</v>
      </c>
      <c r="V1193" s="44" t="s">
        <v>3892</v>
      </c>
      <c r="W1193" s="42" t="s">
        <v>3892</v>
      </c>
    </row>
    <row r="1194" spans="1:23">
      <c r="A1194" s="40">
        <v>684</v>
      </c>
      <c r="B1194" s="41">
        <v>1854032968</v>
      </c>
      <c r="C1194" s="42" t="s">
        <v>8022</v>
      </c>
      <c r="D1194" s="42" t="s">
        <v>765</v>
      </c>
      <c r="E1194" s="43" t="s">
        <v>1852</v>
      </c>
      <c r="F1194" s="42"/>
      <c r="G1194" s="42"/>
      <c r="H1194" s="43"/>
      <c r="I1194" s="42"/>
      <c r="J1194" s="42"/>
      <c r="K1194" s="42"/>
      <c r="L1194" s="42"/>
      <c r="M1194" s="42"/>
      <c r="N1194" s="42"/>
      <c r="O1194" s="42"/>
      <c r="P1194" s="42"/>
      <c r="Q1194" s="42"/>
      <c r="R1194" s="42" t="s">
        <v>7975</v>
      </c>
      <c r="S1194" s="42" t="s">
        <v>494</v>
      </c>
      <c r="T1194" s="42" t="s">
        <v>5268</v>
      </c>
      <c r="U1194" s="42" t="s">
        <v>7325</v>
      </c>
      <c r="V1194" s="44" t="s">
        <v>3892</v>
      </c>
      <c r="W1194" s="42" t="s">
        <v>3892</v>
      </c>
    </row>
    <row r="1195" spans="1:23">
      <c r="A1195" s="40">
        <v>685</v>
      </c>
      <c r="B1195" s="41">
        <v>1754030067</v>
      </c>
      <c r="C1195" s="42" t="s">
        <v>8023</v>
      </c>
      <c r="D1195" s="42" t="s">
        <v>765</v>
      </c>
      <c r="E1195" s="43" t="s">
        <v>8713</v>
      </c>
      <c r="F1195" s="42"/>
      <c r="G1195" s="42"/>
      <c r="H1195" s="43"/>
      <c r="I1195" s="42"/>
      <c r="J1195" s="42"/>
      <c r="K1195" s="42"/>
      <c r="L1195" s="42"/>
      <c r="M1195" s="42"/>
      <c r="N1195" s="42"/>
      <c r="O1195" s="42"/>
      <c r="P1195" s="42"/>
      <c r="Q1195" s="42"/>
      <c r="R1195" s="42" t="s">
        <v>7975</v>
      </c>
      <c r="S1195" s="42" t="s">
        <v>494</v>
      </c>
      <c r="T1195" s="42" t="s">
        <v>5268</v>
      </c>
      <c r="U1195" s="42" t="s">
        <v>7325</v>
      </c>
      <c r="V1195" s="44" t="s">
        <v>3892</v>
      </c>
      <c r="W1195" s="42" t="s">
        <v>3892</v>
      </c>
    </row>
    <row r="1196" spans="1:23">
      <c r="A1196" s="40">
        <v>686</v>
      </c>
      <c r="B1196" s="41">
        <v>1854032785</v>
      </c>
      <c r="C1196" s="42" t="s">
        <v>8024</v>
      </c>
      <c r="D1196" s="42" t="s">
        <v>765</v>
      </c>
      <c r="E1196" s="43" t="s">
        <v>8741</v>
      </c>
      <c r="F1196" s="42"/>
      <c r="G1196" s="42"/>
      <c r="H1196" s="43"/>
      <c r="I1196" s="42"/>
      <c r="J1196" s="42"/>
      <c r="K1196" s="42"/>
      <c r="L1196" s="42"/>
      <c r="M1196" s="42"/>
      <c r="N1196" s="42"/>
      <c r="O1196" s="42"/>
      <c r="P1196" s="42"/>
      <c r="Q1196" s="42"/>
      <c r="R1196" s="42" t="s">
        <v>7975</v>
      </c>
      <c r="S1196" s="42" t="s">
        <v>494</v>
      </c>
      <c r="T1196" s="42" t="s">
        <v>5268</v>
      </c>
      <c r="U1196" s="42" t="s">
        <v>7325</v>
      </c>
      <c r="V1196" s="44" t="s">
        <v>3892</v>
      </c>
      <c r="W1196" s="42" t="s">
        <v>3892</v>
      </c>
    </row>
    <row r="1197" spans="1:23">
      <c r="A1197" s="40">
        <v>687</v>
      </c>
      <c r="B1197" s="41">
        <v>1854032913</v>
      </c>
      <c r="C1197" s="42" t="s">
        <v>8025</v>
      </c>
      <c r="D1197" s="42" t="s">
        <v>765</v>
      </c>
      <c r="E1197" s="43" t="s">
        <v>8742</v>
      </c>
      <c r="F1197" s="42"/>
      <c r="G1197" s="42"/>
      <c r="H1197" s="43"/>
      <c r="I1197" s="42"/>
      <c r="J1197" s="42"/>
      <c r="K1197" s="42"/>
      <c r="L1197" s="42"/>
      <c r="M1197" s="42"/>
      <c r="N1197" s="42"/>
      <c r="O1197" s="42"/>
      <c r="P1197" s="42"/>
      <c r="Q1197" s="42"/>
      <c r="R1197" s="42" t="s">
        <v>7975</v>
      </c>
      <c r="S1197" s="42" t="s">
        <v>494</v>
      </c>
      <c r="T1197" s="42" t="s">
        <v>5268</v>
      </c>
      <c r="U1197" s="42" t="s">
        <v>7325</v>
      </c>
      <c r="V1197" s="44" t="s">
        <v>3892</v>
      </c>
      <c r="W1197" s="42" t="s">
        <v>3892</v>
      </c>
    </row>
    <row r="1198" spans="1:23">
      <c r="A1198" s="40">
        <v>688</v>
      </c>
      <c r="B1198" s="41">
        <v>1854033272</v>
      </c>
      <c r="C1198" s="42" t="s">
        <v>8026</v>
      </c>
      <c r="D1198" s="42" t="s">
        <v>765</v>
      </c>
      <c r="E1198" s="43" t="s">
        <v>8743</v>
      </c>
      <c r="F1198" s="42"/>
      <c r="G1198" s="42"/>
      <c r="H1198" s="43"/>
      <c r="I1198" s="42"/>
      <c r="J1198" s="42"/>
      <c r="K1198" s="42"/>
      <c r="L1198" s="42"/>
      <c r="M1198" s="42"/>
      <c r="N1198" s="42"/>
      <c r="O1198" s="42"/>
      <c r="P1198" s="42"/>
      <c r="Q1198" s="42"/>
      <c r="R1198" s="42" t="s">
        <v>7975</v>
      </c>
      <c r="S1198" s="42" t="s">
        <v>494</v>
      </c>
      <c r="T1198" s="42" t="s">
        <v>5268</v>
      </c>
      <c r="U1198" s="42" t="s">
        <v>7325</v>
      </c>
      <c r="V1198" s="44" t="s">
        <v>3892</v>
      </c>
      <c r="W1198" s="42" t="s">
        <v>3892</v>
      </c>
    </row>
    <row r="1199" spans="1:23">
      <c r="A1199" s="40">
        <v>689</v>
      </c>
      <c r="B1199" s="41">
        <v>1754030468</v>
      </c>
      <c r="C1199" s="42" t="s">
        <v>8027</v>
      </c>
      <c r="D1199" s="42" t="s">
        <v>765</v>
      </c>
      <c r="E1199" s="43" t="s">
        <v>8289</v>
      </c>
      <c r="F1199" s="42"/>
      <c r="G1199" s="42"/>
      <c r="H1199" s="43"/>
      <c r="I1199" s="42"/>
      <c r="J1199" s="42"/>
      <c r="K1199" s="42"/>
      <c r="L1199" s="42"/>
      <c r="M1199" s="42"/>
      <c r="N1199" s="42"/>
      <c r="O1199" s="42"/>
      <c r="P1199" s="42"/>
      <c r="Q1199" s="42"/>
      <c r="R1199" s="42" t="s">
        <v>7975</v>
      </c>
      <c r="S1199" s="42" t="s">
        <v>494</v>
      </c>
      <c r="T1199" s="42" t="s">
        <v>5268</v>
      </c>
      <c r="U1199" s="42" t="s">
        <v>7325</v>
      </c>
      <c r="V1199" s="44" t="s">
        <v>3892</v>
      </c>
      <c r="W1199" s="42" t="s">
        <v>3892</v>
      </c>
    </row>
    <row r="1200" spans="1:23">
      <c r="A1200" s="40">
        <v>690</v>
      </c>
      <c r="B1200" s="41">
        <v>1754032282</v>
      </c>
      <c r="C1200" s="42" t="s">
        <v>8028</v>
      </c>
      <c r="D1200" s="42" t="s">
        <v>765</v>
      </c>
      <c r="E1200" s="43" t="s">
        <v>8334</v>
      </c>
      <c r="F1200" s="42"/>
      <c r="G1200" s="42"/>
      <c r="H1200" s="43"/>
      <c r="I1200" s="42"/>
      <c r="J1200" s="42"/>
      <c r="K1200" s="42"/>
      <c r="L1200" s="42"/>
      <c r="M1200" s="42"/>
      <c r="N1200" s="42"/>
      <c r="O1200" s="42"/>
      <c r="P1200" s="42"/>
      <c r="Q1200" s="42"/>
      <c r="R1200" s="42" t="s">
        <v>7975</v>
      </c>
      <c r="S1200" s="42" t="s">
        <v>494</v>
      </c>
      <c r="T1200" s="42" t="s">
        <v>5268</v>
      </c>
      <c r="U1200" s="42" t="s">
        <v>7325</v>
      </c>
      <c r="V1200" s="44" t="s">
        <v>3892</v>
      </c>
      <c r="W1200" s="42" t="s">
        <v>3892</v>
      </c>
    </row>
    <row r="1201" spans="1:23">
      <c r="A1201" s="40">
        <v>691</v>
      </c>
      <c r="B1201" s="41">
        <v>1754030241</v>
      </c>
      <c r="C1201" s="42" t="s">
        <v>8029</v>
      </c>
      <c r="D1201" s="42" t="s">
        <v>765</v>
      </c>
      <c r="E1201" s="43" t="s">
        <v>8744</v>
      </c>
      <c r="F1201" s="42"/>
      <c r="G1201" s="42"/>
      <c r="H1201" s="43"/>
      <c r="I1201" s="42"/>
      <c r="J1201" s="42"/>
      <c r="K1201" s="42"/>
      <c r="L1201" s="42"/>
      <c r="M1201" s="42"/>
      <c r="N1201" s="42"/>
      <c r="O1201" s="42"/>
      <c r="P1201" s="42"/>
      <c r="Q1201" s="42"/>
      <c r="R1201" s="42" t="s">
        <v>7975</v>
      </c>
      <c r="S1201" s="42" t="s">
        <v>494</v>
      </c>
      <c r="T1201" s="42" t="s">
        <v>5268</v>
      </c>
      <c r="U1201" s="42" t="s">
        <v>7325</v>
      </c>
      <c r="V1201" s="44" t="s">
        <v>3892</v>
      </c>
      <c r="W1201" s="42" t="s">
        <v>3892</v>
      </c>
    </row>
    <row r="1202" spans="1:23">
      <c r="A1202" s="40">
        <v>692</v>
      </c>
      <c r="B1202" s="41">
        <v>1754031890</v>
      </c>
      <c r="C1202" s="42" t="s">
        <v>8030</v>
      </c>
      <c r="D1202" s="42" t="s">
        <v>765</v>
      </c>
      <c r="E1202" s="43" t="s">
        <v>8745</v>
      </c>
      <c r="F1202" s="42"/>
      <c r="G1202" s="42"/>
      <c r="H1202" s="43"/>
      <c r="I1202" s="42"/>
      <c r="J1202" s="42"/>
      <c r="K1202" s="42"/>
      <c r="L1202" s="42"/>
      <c r="M1202" s="42"/>
      <c r="N1202" s="42"/>
      <c r="O1202" s="42"/>
      <c r="P1202" s="42"/>
      <c r="Q1202" s="42"/>
      <c r="R1202" s="42" t="s">
        <v>7975</v>
      </c>
      <c r="S1202" s="42" t="s">
        <v>494</v>
      </c>
      <c r="T1202" s="42" t="s">
        <v>5268</v>
      </c>
      <c r="U1202" s="42" t="s">
        <v>7325</v>
      </c>
      <c r="V1202" s="44" t="s">
        <v>3892</v>
      </c>
      <c r="W1202" s="42" t="s">
        <v>3892</v>
      </c>
    </row>
    <row r="1203" spans="1:23">
      <c r="A1203" s="40">
        <v>693</v>
      </c>
      <c r="B1203" s="41">
        <v>1754032221</v>
      </c>
      <c r="C1203" s="42" t="s">
        <v>8031</v>
      </c>
      <c r="D1203" s="42" t="s">
        <v>765</v>
      </c>
      <c r="E1203" s="43" t="s">
        <v>8593</v>
      </c>
      <c r="F1203" s="42"/>
      <c r="G1203" s="42"/>
      <c r="H1203" s="43"/>
      <c r="I1203" s="42"/>
      <c r="J1203" s="42"/>
      <c r="K1203" s="42"/>
      <c r="L1203" s="42"/>
      <c r="M1203" s="42"/>
      <c r="N1203" s="42"/>
      <c r="O1203" s="42"/>
      <c r="P1203" s="42"/>
      <c r="Q1203" s="42"/>
      <c r="R1203" s="42" t="s">
        <v>7975</v>
      </c>
      <c r="S1203" s="42" t="s">
        <v>494</v>
      </c>
      <c r="T1203" s="42" t="s">
        <v>5268</v>
      </c>
      <c r="U1203" s="42" t="s">
        <v>7325</v>
      </c>
      <c r="V1203" s="44" t="s">
        <v>3892</v>
      </c>
      <c r="W1203" s="42" t="s">
        <v>3892</v>
      </c>
    </row>
    <row r="1204" spans="1:23">
      <c r="A1204" s="40">
        <v>694</v>
      </c>
      <c r="B1204" s="41">
        <v>1754032302</v>
      </c>
      <c r="C1204" s="42" t="s">
        <v>8032</v>
      </c>
      <c r="D1204" s="42" t="s">
        <v>760</v>
      </c>
      <c r="E1204" s="43" t="s">
        <v>8746</v>
      </c>
      <c r="F1204" s="42"/>
      <c r="G1204" s="42"/>
      <c r="H1204" s="43"/>
      <c r="I1204" s="42"/>
      <c r="J1204" s="42"/>
      <c r="K1204" s="42"/>
      <c r="L1204" s="42"/>
      <c r="M1204" s="42"/>
      <c r="N1204" s="42"/>
      <c r="O1204" s="42"/>
      <c r="P1204" s="42"/>
      <c r="Q1204" s="42"/>
      <c r="R1204" s="42" t="s">
        <v>7975</v>
      </c>
      <c r="S1204" s="42" t="s">
        <v>494</v>
      </c>
      <c r="T1204" s="42" t="s">
        <v>5268</v>
      </c>
      <c r="U1204" s="42" t="s">
        <v>7325</v>
      </c>
      <c r="V1204" s="44" t="s">
        <v>3892</v>
      </c>
      <c r="W1204" s="42" t="s">
        <v>3892</v>
      </c>
    </row>
    <row r="1205" spans="1:23">
      <c r="A1205" s="40">
        <v>695</v>
      </c>
      <c r="B1205" s="41">
        <v>1854033091</v>
      </c>
      <c r="C1205" s="42" t="s">
        <v>8033</v>
      </c>
      <c r="D1205" s="42" t="s">
        <v>765</v>
      </c>
      <c r="E1205" s="43" t="s">
        <v>8494</v>
      </c>
      <c r="F1205" s="42"/>
      <c r="G1205" s="42"/>
      <c r="H1205" s="43"/>
      <c r="I1205" s="42"/>
      <c r="J1205" s="42"/>
      <c r="K1205" s="42"/>
      <c r="L1205" s="42"/>
      <c r="M1205" s="42"/>
      <c r="N1205" s="42"/>
      <c r="O1205" s="42"/>
      <c r="P1205" s="42"/>
      <c r="Q1205" s="42"/>
      <c r="R1205" s="42" t="s">
        <v>7975</v>
      </c>
      <c r="S1205" s="42" t="s">
        <v>494</v>
      </c>
      <c r="T1205" s="42" t="s">
        <v>5268</v>
      </c>
      <c r="U1205" s="42" t="s">
        <v>7325</v>
      </c>
      <c r="V1205" s="44" t="s">
        <v>3892</v>
      </c>
      <c r="W1205" s="42" t="s">
        <v>3892</v>
      </c>
    </row>
    <row r="1206" spans="1:23">
      <c r="A1206" s="40">
        <v>696</v>
      </c>
      <c r="B1206" s="41">
        <v>1754031376</v>
      </c>
      <c r="C1206" s="42" t="s">
        <v>8034</v>
      </c>
      <c r="D1206" s="42" t="s">
        <v>760</v>
      </c>
      <c r="E1206" s="43" t="s">
        <v>8747</v>
      </c>
      <c r="F1206" s="42"/>
      <c r="G1206" s="42"/>
      <c r="H1206" s="43"/>
      <c r="I1206" s="42"/>
      <c r="J1206" s="42"/>
      <c r="K1206" s="42"/>
      <c r="L1206" s="42"/>
      <c r="M1206" s="42"/>
      <c r="N1206" s="42"/>
      <c r="O1206" s="42"/>
      <c r="P1206" s="42"/>
      <c r="Q1206" s="42"/>
      <c r="R1206" s="42" t="s">
        <v>7975</v>
      </c>
      <c r="S1206" s="42" t="s">
        <v>494</v>
      </c>
      <c r="T1206" s="42" t="s">
        <v>5268</v>
      </c>
      <c r="U1206" s="42" t="s">
        <v>7325</v>
      </c>
      <c r="V1206" s="44" t="s">
        <v>3892</v>
      </c>
      <c r="W1206" s="42" t="s">
        <v>3892</v>
      </c>
    </row>
    <row r="1207" spans="1:23">
      <c r="A1207" s="40">
        <v>697</v>
      </c>
      <c r="B1207" s="41">
        <v>1854032718</v>
      </c>
      <c r="C1207" s="42" t="s">
        <v>8035</v>
      </c>
      <c r="D1207" s="42" t="s">
        <v>765</v>
      </c>
      <c r="E1207" s="43" t="s">
        <v>8748</v>
      </c>
      <c r="F1207" s="42"/>
      <c r="G1207" s="42"/>
      <c r="H1207" s="43"/>
      <c r="I1207" s="42"/>
      <c r="J1207" s="42"/>
      <c r="K1207" s="42"/>
      <c r="L1207" s="42"/>
      <c r="M1207" s="42"/>
      <c r="N1207" s="42"/>
      <c r="O1207" s="42"/>
      <c r="P1207" s="42"/>
      <c r="Q1207" s="42"/>
      <c r="R1207" s="42" t="s">
        <v>7975</v>
      </c>
      <c r="S1207" s="42" t="s">
        <v>494</v>
      </c>
      <c r="T1207" s="42" t="s">
        <v>5268</v>
      </c>
      <c r="U1207" s="42" t="s">
        <v>7325</v>
      </c>
      <c r="V1207" s="44" t="s">
        <v>3892</v>
      </c>
      <c r="W1207" s="42" t="s">
        <v>3892</v>
      </c>
    </row>
    <row r="1208" spans="1:23">
      <c r="A1208" s="40">
        <v>698</v>
      </c>
      <c r="B1208" s="41">
        <v>1854033205</v>
      </c>
      <c r="C1208" s="42" t="s">
        <v>8036</v>
      </c>
      <c r="D1208" s="42" t="s">
        <v>765</v>
      </c>
      <c r="E1208" s="43" t="s">
        <v>8749</v>
      </c>
      <c r="F1208" s="42"/>
      <c r="G1208" s="42"/>
      <c r="H1208" s="43"/>
      <c r="I1208" s="42"/>
      <c r="J1208" s="42"/>
      <c r="K1208" s="42"/>
      <c r="L1208" s="42"/>
      <c r="M1208" s="42"/>
      <c r="N1208" s="42"/>
      <c r="O1208" s="42"/>
      <c r="P1208" s="42"/>
      <c r="Q1208" s="42"/>
      <c r="R1208" s="42" t="s">
        <v>7975</v>
      </c>
      <c r="S1208" s="42" t="s">
        <v>494</v>
      </c>
      <c r="T1208" s="42" t="s">
        <v>5268</v>
      </c>
      <c r="U1208" s="42" t="s">
        <v>7325</v>
      </c>
      <c r="V1208" s="44" t="s">
        <v>3892</v>
      </c>
      <c r="W1208" s="42" t="s">
        <v>3892</v>
      </c>
    </row>
    <row r="1209" spans="1:23">
      <c r="A1209" s="40">
        <v>699</v>
      </c>
      <c r="B1209" s="41">
        <v>1854032836</v>
      </c>
      <c r="C1209" s="42" t="s">
        <v>8037</v>
      </c>
      <c r="D1209" s="42" t="s">
        <v>765</v>
      </c>
      <c r="E1209" s="43" t="s">
        <v>8750</v>
      </c>
      <c r="F1209" s="42"/>
      <c r="G1209" s="42"/>
      <c r="H1209" s="43"/>
      <c r="I1209" s="42"/>
      <c r="J1209" s="42"/>
      <c r="K1209" s="42"/>
      <c r="L1209" s="42"/>
      <c r="M1209" s="42"/>
      <c r="N1209" s="42"/>
      <c r="O1209" s="42"/>
      <c r="P1209" s="42"/>
      <c r="Q1209" s="42"/>
      <c r="R1209" s="42" t="s">
        <v>7975</v>
      </c>
      <c r="S1209" s="42" t="s">
        <v>494</v>
      </c>
      <c r="T1209" s="42" t="s">
        <v>5268</v>
      </c>
      <c r="U1209" s="42" t="s">
        <v>7325</v>
      </c>
      <c r="V1209" s="44" t="s">
        <v>3892</v>
      </c>
      <c r="W1209" s="42" t="s">
        <v>3892</v>
      </c>
    </row>
    <row r="1210" spans="1:23">
      <c r="A1210" s="40">
        <v>700</v>
      </c>
      <c r="B1210" s="41">
        <v>1854032857</v>
      </c>
      <c r="C1210" s="42" t="s">
        <v>8038</v>
      </c>
      <c r="D1210" s="42" t="s">
        <v>765</v>
      </c>
      <c r="E1210" s="43" t="s">
        <v>8751</v>
      </c>
      <c r="F1210" s="42"/>
      <c r="G1210" s="42"/>
      <c r="H1210" s="43"/>
      <c r="I1210" s="42"/>
      <c r="J1210" s="42"/>
      <c r="K1210" s="42"/>
      <c r="L1210" s="42"/>
      <c r="M1210" s="42"/>
      <c r="N1210" s="42"/>
      <c r="O1210" s="42"/>
      <c r="P1210" s="42"/>
      <c r="Q1210" s="42"/>
      <c r="R1210" s="42" t="s">
        <v>7975</v>
      </c>
      <c r="S1210" s="42" t="s">
        <v>494</v>
      </c>
      <c r="T1210" s="42" t="s">
        <v>5268</v>
      </c>
      <c r="U1210" s="42" t="s">
        <v>7325</v>
      </c>
      <c r="V1210" s="44" t="s">
        <v>3892</v>
      </c>
      <c r="W1210" s="42" t="s">
        <v>3892</v>
      </c>
    </row>
    <row r="1211" spans="1:23">
      <c r="A1211" s="40">
        <v>701</v>
      </c>
      <c r="B1211" s="41">
        <v>1854033095</v>
      </c>
      <c r="C1211" s="42" t="s">
        <v>8039</v>
      </c>
      <c r="D1211" s="42" t="s">
        <v>765</v>
      </c>
      <c r="E1211" s="43" t="s">
        <v>8752</v>
      </c>
      <c r="F1211" s="42"/>
      <c r="G1211" s="42"/>
      <c r="H1211" s="43"/>
      <c r="I1211" s="42"/>
      <c r="J1211" s="42"/>
      <c r="K1211" s="42"/>
      <c r="L1211" s="42"/>
      <c r="M1211" s="42"/>
      <c r="N1211" s="42"/>
      <c r="O1211" s="42"/>
      <c r="P1211" s="42"/>
      <c r="Q1211" s="42"/>
      <c r="R1211" s="42" t="s">
        <v>7975</v>
      </c>
      <c r="S1211" s="42" t="s">
        <v>494</v>
      </c>
      <c r="T1211" s="42" t="s">
        <v>5268</v>
      </c>
      <c r="U1211" s="42" t="s">
        <v>7325</v>
      </c>
      <c r="V1211" s="44" t="s">
        <v>3892</v>
      </c>
      <c r="W1211" s="42" t="s">
        <v>3892</v>
      </c>
    </row>
    <row r="1212" spans="1:23">
      <c r="A1212" s="40">
        <v>702</v>
      </c>
      <c r="B1212" s="41">
        <v>1754032314</v>
      </c>
      <c r="C1212" s="42" t="s">
        <v>8040</v>
      </c>
      <c r="D1212" s="42" t="s">
        <v>765</v>
      </c>
      <c r="E1212" s="43" t="s">
        <v>8753</v>
      </c>
      <c r="F1212" s="42"/>
      <c r="G1212" s="42"/>
      <c r="H1212" s="43"/>
      <c r="I1212" s="42"/>
      <c r="J1212" s="42"/>
      <c r="K1212" s="42"/>
      <c r="L1212" s="42"/>
      <c r="M1212" s="42"/>
      <c r="N1212" s="42"/>
      <c r="O1212" s="42"/>
      <c r="P1212" s="42"/>
      <c r="Q1212" s="42"/>
      <c r="R1212" s="42" t="s">
        <v>7975</v>
      </c>
      <c r="S1212" s="42" t="s">
        <v>494</v>
      </c>
      <c r="T1212" s="42" t="s">
        <v>5268</v>
      </c>
      <c r="U1212" s="42" t="s">
        <v>7325</v>
      </c>
      <c r="V1212" s="44" t="s">
        <v>3892</v>
      </c>
      <c r="W1212" s="42" t="s">
        <v>3892</v>
      </c>
    </row>
    <row r="1213" spans="1:23">
      <c r="A1213" s="40">
        <v>703</v>
      </c>
      <c r="B1213" s="41">
        <v>1754032271</v>
      </c>
      <c r="C1213" s="42" t="s">
        <v>8041</v>
      </c>
      <c r="D1213" s="42" t="s">
        <v>765</v>
      </c>
      <c r="E1213" s="43" t="s">
        <v>8239</v>
      </c>
      <c r="F1213" s="42"/>
      <c r="G1213" s="42"/>
      <c r="H1213" s="43"/>
      <c r="I1213" s="42"/>
      <c r="J1213" s="42"/>
      <c r="K1213" s="42"/>
      <c r="L1213" s="42"/>
      <c r="M1213" s="42"/>
      <c r="N1213" s="42"/>
      <c r="O1213" s="42"/>
      <c r="P1213" s="42"/>
      <c r="Q1213" s="42"/>
      <c r="R1213" s="42" t="s">
        <v>7975</v>
      </c>
      <c r="S1213" s="42" t="s">
        <v>494</v>
      </c>
      <c r="T1213" s="42" t="s">
        <v>5268</v>
      </c>
      <c r="U1213" s="42" t="s">
        <v>7325</v>
      </c>
      <c r="V1213" s="44" t="s">
        <v>3892</v>
      </c>
      <c r="W1213" s="42" t="s">
        <v>3892</v>
      </c>
    </row>
    <row r="1214" spans="1:23">
      <c r="A1214" s="40">
        <v>704</v>
      </c>
      <c r="B1214" s="41">
        <v>1854032781</v>
      </c>
      <c r="C1214" s="42" t="s">
        <v>8042</v>
      </c>
      <c r="D1214" s="42" t="s">
        <v>765</v>
      </c>
      <c r="E1214" s="43" t="s">
        <v>8754</v>
      </c>
      <c r="F1214" s="42"/>
      <c r="G1214" s="42"/>
      <c r="H1214" s="43"/>
      <c r="I1214" s="42"/>
      <c r="J1214" s="42"/>
      <c r="K1214" s="42"/>
      <c r="L1214" s="42"/>
      <c r="M1214" s="42"/>
      <c r="N1214" s="42"/>
      <c r="O1214" s="42"/>
      <c r="P1214" s="42"/>
      <c r="Q1214" s="42"/>
      <c r="R1214" s="42" t="s">
        <v>7975</v>
      </c>
      <c r="S1214" s="42" t="s">
        <v>494</v>
      </c>
      <c r="T1214" s="42" t="s">
        <v>5268</v>
      </c>
      <c r="U1214" s="42" t="s">
        <v>7325</v>
      </c>
      <c r="V1214" s="44" t="s">
        <v>3892</v>
      </c>
      <c r="W1214" s="42" t="s">
        <v>3892</v>
      </c>
    </row>
    <row r="1215" spans="1:23">
      <c r="A1215" s="40">
        <v>705</v>
      </c>
      <c r="B1215" s="41">
        <v>1854032841</v>
      </c>
      <c r="C1215" s="42" t="s">
        <v>8043</v>
      </c>
      <c r="D1215" s="42" t="s">
        <v>765</v>
      </c>
      <c r="E1215" s="43" t="s">
        <v>8755</v>
      </c>
      <c r="F1215" s="42"/>
      <c r="G1215" s="42"/>
      <c r="H1215" s="43"/>
      <c r="I1215" s="42"/>
      <c r="J1215" s="42"/>
      <c r="K1215" s="42"/>
      <c r="L1215" s="42"/>
      <c r="M1215" s="42"/>
      <c r="N1215" s="42"/>
      <c r="O1215" s="42"/>
      <c r="P1215" s="42"/>
      <c r="Q1215" s="42"/>
      <c r="R1215" s="42" t="s">
        <v>7975</v>
      </c>
      <c r="S1215" s="42" t="s">
        <v>494</v>
      </c>
      <c r="T1215" s="42" t="s">
        <v>5268</v>
      </c>
      <c r="U1215" s="42" t="s">
        <v>7325</v>
      </c>
      <c r="V1215" s="44" t="s">
        <v>3892</v>
      </c>
      <c r="W1215" s="42" t="s">
        <v>3892</v>
      </c>
    </row>
    <row r="1216" spans="1:23">
      <c r="A1216" s="40">
        <v>706</v>
      </c>
      <c r="B1216" s="41">
        <v>1854032776</v>
      </c>
      <c r="C1216" s="42" t="s">
        <v>8044</v>
      </c>
      <c r="D1216" s="42" t="s">
        <v>765</v>
      </c>
      <c r="E1216" s="43" t="s">
        <v>8756</v>
      </c>
      <c r="F1216" s="42"/>
      <c r="G1216" s="42"/>
      <c r="H1216" s="43"/>
      <c r="I1216" s="42"/>
      <c r="J1216" s="42"/>
      <c r="K1216" s="42"/>
      <c r="L1216" s="42"/>
      <c r="M1216" s="42"/>
      <c r="N1216" s="42"/>
      <c r="O1216" s="42"/>
      <c r="P1216" s="42"/>
      <c r="Q1216" s="42"/>
      <c r="R1216" s="42" t="s">
        <v>7975</v>
      </c>
      <c r="S1216" s="42" t="s">
        <v>494</v>
      </c>
      <c r="T1216" s="42" t="s">
        <v>5268</v>
      </c>
      <c r="U1216" s="42" t="s">
        <v>7325</v>
      </c>
      <c r="V1216" s="44" t="s">
        <v>3892</v>
      </c>
      <c r="W1216" s="42" t="s">
        <v>3892</v>
      </c>
    </row>
    <row r="1217" spans="1:23">
      <c r="A1217" s="40">
        <v>707</v>
      </c>
      <c r="B1217" s="41">
        <v>1754032094</v>
      </c>
      <c r="C1217" s="42" t="s">
        <v>8045</v>
      </c>
      <c r="D1217" s="42" t="s">
        <v>765</v>
      </c>
      <c r="E1217" s="43" t="s">
        <v>8757</v>
      </c>
      <c r="F1217" s="42"/>
      <c r="G1217" s="42"/>
      <c r="H1217" s="43"/>
      <c r="I1217" s="42"/>
      <c r="J1217" s="42"/>
      <c r="K1217" s="42"/>
      <c r="L1217" s="42"/>
      <c r="M1217" s="42"/>
      <c r="N1217" s="42"/>
      <c r="O1217" s="42"/>
      <c r="P1217" s="42"/>
      <c r="Q1217" s="42"/>
      <c r="R1217" s="42" t="s">
        <v>7975</v>
      </c>
      <c r="S1217" s="42" t="s">
        <v>494</v>
      </c>
      <c r="T1217" s="42" t="s">
        <v>5268</v>
      </c>
      <c r="U1217" s="42" t="s">
        <v>7325</v>
      </c>
      <c r="V1217" s="44" t="s">
        <v>3892</v>
      </c>
      <c r="W1217" s="42" t="s">
        <v>3892</v>
      </c>
    </row>
    <row r="1218" spans="1:23">
      <c r="A1218" s="40">
        <v>708</v>
      </c>
      <c r="B1218" s="41">
        <v>1754030307</v>
      </c>
      <c r="C1218" s="42" t="s">
        <v>8046</v>
      </c>
      <c r="D1218" s="42" t="s">
        <v>765</v>
      </c>
      <c r="E1218" s="43" t="s">
        <v>8758</v>
      </c>
      <c r="F1218" s="42"/>
      <c r="G1218" s="42"/>
      <c r="H1218" s="43"/>
      <c r="I1218" s="42"/>
      <c r="J1218" s="42"/>
      <c r="K1218" s="42"/>
      <c r="L1218" s="42"/>
      <c r="M1218" s="42"/>
      <c r="N1218" s="42"/>
      <c r="O1218" s="42"/>
      <c r="P1218" s="42"/>
      <c r="Q1218" s="42"/>
      <c r="R1218" s="42" t="s">
        <v>7975</v>
      </c>
      <c r="S1218" s="42" t="s">
        <v>494</v>
      </c>
      <c r="T1218" s="42" t="s">
        <v>5268</v>
      </c>
      <c r="U1218" s="42" t="s">
        <v>7325</v>
      </c>
      <c r="V1218" s="44" t="s">
        <v>3892</v>
      </c>
      <c r="W1218" s="42" t="s">
        <v>3892</v>
      </c>
    </row>
    <row r="1219" spans="1:23">
      <c r="A1219" s="40">
        <v>709</v>
      </c>
      <c r="B1219" s="41">
        <v>1854032891</v>
      </c>
      <c r="C1219" s="42" t="s">
        <v>8047</v>
      </c>
      <c r="D1219" s="42" t="s">
        <v>765</v>
      </c>
      <c r="E1219" s="43" t="s">
        <v>8759</v>
      </c>
      <c r="F1219" s="42"/>
      <c r="G1219" s="42"/>
      <c r="H1219" s="43"/>
      <c r="I1219" s="42"/>
      <c r="J1219" s="42"/>
      <c r="K1219" s="42"/>
      <c r="L1219" s="42"/>
      <c r="M1219" s="42"/>
      <c r="N1219" s="42"/>
      <c r="O1219" s="42"/>
      <c r="P1219" s="42"/>
      <c r="Q1219" s="42"/>
      <c r="R1219" s="42" t="s">
        <v>7975</v>
      </c>
      <c r="S1219" s="42" t="s">
        <v>494</v>
      </c>
      <c r="T1219" s="42" t="s">
        <v>5268</v>
      </c>
      <c r="U1219" s="42" t="s">
        <v>7325</v>
      </c>
      <c r="V1219" s="44" t="s">
        <v>3892</v>
      </c>
      <c r="W1219" s="42" t="s">
        <v>3892</v>
      </c>
    </row>
    <row r="1220" spans="1:23">
      <c r="A1220" s="40">
        <v>710</v>
      </c>
      <c r="B1220" s="41">
        <v>1854032939</v>
      </c>
      <c r="C1220" s="42" t="s">
        <v>8048</v>
      </c>
      <c r="D1220" s="42" t="s">
        <v>765</v>
      </c>
      <c r="E1220" s="43" t="s">
        <v>8760</v>
      </c>
      <c r="F1220" s="42"/>
      <c r="G1220" s="42"/>
      <c r="H1220" s="43"/>
      <c r="I1220" s="42"/>
      <c r="J1220" s="42"/>
      <c r="K1220" s="42"/>
      <c r="L1220" s="42"/>
      <c r="M1220" s="42"/>
      <c r="N1220" s="42"/>
      <c r="O1220" s="42"/>
      <c r="P1220" s="42"/>
      <c r="Q1220" s="42"/>
      <c r="R1220" s="42" t="s">
        <v>7975</v>
      </c>
      <c r="S1220" s="42" t="s">
        <v>494</v>
      </c>
      <c r="T1220" s="42" t="s">
        <v>5268</v>
      </c>
      <c r="U1220" s="42" t="s">
        <v>7325</v>
      </c>
      <c r="V1220" s="44" t="s">
        <v>3892</v>
      </c>
      <c r="W1220" s="42" t="s">
        <v>3892</v>
      </c>
    </row>
    <row r="1221" spans="1:23">
      <c r="A1221" s="40">
        <v>711</v>
      </c>
      <c r="B1221" s="41">
        <v>1754031302</v>
      </c>
      <c r="C1221" s="42" t="s">
        <v>8049</v>
      </c>
      <c r="D1221" s="42" t="s">
        <v>760</v>
      </c>
      <c r="E1221" s="43" t="s">
        <v>8761</v>
      </c>
      <c r="F1221" s="42"/>
      <c r="G1221" s="42"/>
      <c r="H1221" s="43"/>
      <c r="I1221" s="42"/>
      <c r="J1221" s="42"/>
      <c r="K1221" s="42"/>
      <c r="L1221" s="42"/>
      <c r="M1221" s="42"/>
      <c r="N1221" s="42"/>
      <c r="O1221" s="42"/>
      <c r="P1221" s="42"/>
      <c r="Q1221" s="42"/>
      <c r="R1221" s="42" t="s">
        <v>7975</v>
      </c>
      <c r="S1221" s="42" t="s">
        <v>494</v>
      </c>
      <c r="T1221" s="42" t="s">
        <v>5268</v>
      </c>
      <c r="U1221" s="42" t="s">
        <v>7325</v>
      </c>
      <c r="V1221" s="44" t="s">
        <v>3892</v>
      </c>
      <c r="W1221" s="42" t="s">
        <v>3892</v>
      </c>
    </row>
    <row r="1222" spans="1:23">
      <c r="A1222" s="40">
        <v>712</v>
      </c>
      <c r="B1222" s="41">
        <v>1754030477</v>
      </c>
      <c r="C1222" s="42" t="s">
        <v>8050</v>
      </c>
      <c r="D1222" s="42" t="s">
        <v>765</v>
      </c>
      <c r="E1222" s="43" t="s">
        <v>8762</v>
      </c>
      <c r="F1222" s="42"/>
      <c r="G1222" s="42"/>
      <c r="H1222" s="43"/>
      <c r="I1222" s="42"/>
      <c r="J1222" s="42"/>
      <c r="K1222" s="42"/>
      <c r="L1222" s="42"/>
      <c r="M1222" s="42"/>
      <c r="N1222" s="42"/>
      <c r="O1222" s="42"/>
      <c r="P1222" s="42"/>
      <c r="Q1222" s="42"/>
      <c r="R1222" s="42" t="s">
        <v>7975</v>
      </c>
      <c r="S1222" s="42" t="s">
        <v>494</v>
      </c>
      <c r="T1222" s="42" t="s">
        <v>5268</v>
      </c>
      <c r="U1222" s="42" t="s">
        <v>7325</v>
      </c>
      <c r="V1222" s="44" t="s">
        <v>3892</v>
      </c>
      <c r="W1222" s="42" t="s">
        <v>3892</v>
      </c>
    </row>
    <row r="1223" spans="1:23">
      <c r="A1223" s="40">
        <v>713</v>
      </c>
      <c r="B1223" s="41">
        <v>1854032675</v>
      </c>
      <c r="C1223" s="42" t="s">
        <v>8051</v>
      </c>
      <c r="D1223" s="42" t="s">
        <v>765</v>
      </c>
      <c r="E1223" s="43" t="s">
        <v>8763</v>
      </c>
      <c r="F1223" s="42"/>
      <c r="G1223" s="42"/>
      <c r="H1223" s="43"/>
      <c r="I1223" s="42"/>
      <c r="J1223" s="42"/>
      <c r="K1223" s="42"/>
      <c r="L1223" s="42"/>
      <c r="M1223" s="42"/>
      <c r="N1223" s="42"/>
      <c r="O1223" s="42"/>
      <c r="P1223" s="42"/>
      <c r="Q1223" s="42"/>
      <c r="R1223" s="42" t="s">
        <v>7975</v>
      </c>
      <c r="S1223" s="42" t="s">
        <v>494</v>
      </c>
      <c r="T1223" s="42" t="s">
        <v>5268</v>
      </c>
      <c r="U1223" s="42" t="s">
        <v>7325</v>
      </c>
      <c r="V1223" s="44" t="s">
        <v>3892</v>
      </c>
      <c r="W1223" s="42" t="s">
        <v>3892</v>
      </c>
    </row>
    <row r="1224" spans="1:23">
      <c r="A1224" s="40">
        <v>714</v>
      </c>
      <c r="B1224" s="41">
        <v>1854032716</v>
      </c>
      <c r="C1224" s="42" t="s">
        <v>8052</v>
      </c>
      <c r="D1224" s="42" t="s">
        <v>765</v>
      </c>
      <c r="E1224" s="43" t="s">
        <v>8764</v>
      </c>
      <c r="F1224" s="42"/>
      <c r="G1224" s="42"/>
      <c r="H1224" s="43"/>
      <c r="I1224" s="42"/>
      <c r="J1224" s="42"/>
      <c r="K1224" s="42"/>
      <c r="L1224" s="42"/>
      <c r="M1224" s="42"/>
      <c r="N1224" s="42"/>
      <c r="O1224" s="42"/>
      <c r="P1224" s="42"/>
      <c r="Q1224" s="42"/>
      <c r="R1224" s="42" t="s">
        <v>7975</v>
      </c>
      <c r="S1224" s="42" t="s">
        <v>494</v>
      </c>
      <c r="T1224" s="42" t="s">
        <v>5268</v>
      </c>
      <c r="U1224" s="42" t="s">
        <v>7325</v>
      </c>
      <c r="V1224" s="44" t="s">
        <v>3892</v>
      </c>
      <c r="W1224" s="42" t="s">
        <v>3892</v>
      </c>
    </row>
    <row r="1225" spans="1:23">
      <c r="A1225" s="40">
        <v>715</v>
      </c>
      <c r="B1225" s="41">
        <v>1754030594</v>
      </c>
      <c r="C1225" s="42" t="s">
        <v>8053</v>
      </c>
      <c r="D1225" s="42" t="s">
        <v>765</v>
      </c>
      <c r="E1225" s="43" t="s">
        <v>8327</v>
      </c>
      <c r="F1225" s="42"/>
      <c r="G1225" s="42"/>
      <c r="H1225" s="43"/>
      <c r="I1225" s="42"/>
      <c r="J1225" s="42"/>
      <c r="K1225" s="42"/>
      <c r="L1225" s="42"/>
      <c r="M1225" s="42"/>
      <c r="N1225" s="42"/>
      <c r="O1225" s="42"/>
      <c r="P1225" s="42"/>
      <c r="Q1225" s="42"/>
      <c r="R1225" s="42" t="s">
        <v>7975</v>
      </c>
      <c r="S1225" s="42" t="s">
        <v>494</v>
      </c>
      <c r="T1225" s="42" t="s">
        <v>5268</v>
      </c>
      <c r="U1225" s="42" t="s">
        <v>7325</v>
      </c>
      <c r="V1225" s="44" t="s">
        <v>3892</v>
      </c>
      <c r="W1225" s="42" t="s">
        <v>3892</v>
      </c>
    </row>
    <row r="1226" spans="1:23">
      <c r="A1226" s="40">
        <v>716</v>
      </c>
      <c r="B1226" s="41">
        <v>1754032242</v>
      </c>
      <c r="C1226" s="42" t="s">
        <v>8054</v>
      </c>
      <c r="D1226" s="42" t="s">
        <v>765</v>
      </c>
      <c r="E1226" s="43" t="s">
        <v>8765</v>
      </c>
      <c r="F1226" s="42"/>
      <c r="G1226" s="42"/>
      <c r="H1226" s="43"/>
      <c r="I1226" s="42"/>
      <c r="J1226" s="42"/>
      <c r="K1226" s="42"/>
      <c r="L1226" s="42"/>
      <c r="M1226" s="42"/>
      <c r="N1226" s="42"/>
      <c r="O1226" s="42"/>
      <c r="P1226" s="42"/>
      <c r="Q1226" s="42"/>
      <c r="R1226" s="42" t="s">
        <v>7975</v>
      </c>
      <c r="S1226" s="42" t="s">
        <v>494</v>
      </c>
      <c r="T1226" s="42" t="s">
        <v>5268</v>
      </c>
      <c r="U1226" s="42" t="s">
        <v>7325</v>
      </c>
      <c r="V1226" s="44" t="s">
        <v>3892</v>
      </c>
      <c r="W1226" s="42" t="s">
        <v>3892</v>
      </c>
    </row>
    <row r="1227" spans="1:23">
      <c r="A1227" s="40">
        <v>717</v>
      </c>
      <c r="B1227" s="41">
        <v>1754031544</v>
      </c>
      <c r="C1227" s="42" t="s">
        <v>8055</v>
      </c>
      <c r="D1227" s="42" t="s">
        <v>765</v>
      </c>
      <c r="E1227" s="43" t="s">
        <v>8766</v>
      </c>
      <c r="F1227" s="42"/>
      <c r="G1227" s="42"/>
      <c r="H1227" s="43"/>
      <c r="I1227" s="42"/>
      <c r="J1227" s="42"/>
      <c r="K1227" s="42"/>
      <c r="L1227" s="42"/>
      <c r="M1227" s="42"/>
      <c r="N1227" s="42"/>
      <c r="O1227" s="42"/>
      <c r="P1227" s="42"/>
      <c r="Q1227" s="42"/>
      <c r="R1227" s="42" t="s">
        <v>7975</v>
      </c>
      <c r="S1227" s="42" t="s">
        <v>494</v>
      </c>
      <c r="T1227" s="42" t="s">
        <v>5268</v>
      </c>
      <c r="U1227" s="42" t="s">
        <v>7325</v>
      </c>
      <c r="V1227" s="44" t="s">
        <v>3892</v>
      </c>
      <c r="W1227" s="42" t="s">
        <v>3892</v>
      </c>
    </row>
    <row r="1228" spans="1:23">
      <c r="A1228" s="40">
        <v>718</v>
      </c>
      <c r="B1228" s="41">
        <v>1754030540</v>
      </c>
      <c r="C1228" s="42" t="s">
        <v>8056</v>
      </c>
      <c r="D1228" s="42" t="s">
        <v>765</v>
      </c>
      <c r="E1228" s="43" t="s">
        <v>8767</v>
      </c>
      <c r="F1228" s="42"/>
      <c r="G1228" s="42"/>
      <c r="H1228" s="43"/>
      <c r="I1228" s="42"/>
      <c r="J1228" s="42"/>
      <c r="K1228" s="42"/>
      <c r="L1228" s="42"/>
      <c r="M1228" s="42"/>
      <c r="N1228" s="42"/>
      <c r="O1228" s="42"/>
      <c r="P1228" s="42"/>
      <c r="Q1228" s="42"/>
      <c r="R1228" s="42" t="s">
        <v>7975</v>
      </c>
      <c r="S1228" s="42" t="s">
        <v>494</v>
      </c>
      <c r="T1228" s="42" t="s">
        <v>5268</v>
      </c>
      <c r="U1228" s="42" t="s">
        <v>7325</v>
      </c>
      <c r="V1228" s="44" t="s">
        <v>3892</v>
      </c>
      <c r="W1228" s="42" t="s">
        <v>3892</v>
      </c>
    </row>
    <row r="1229" spans="1:23">
      <c r="A1229" s="40">
        <v>719</v>
      </c>
      <c r="B1229" s="41">
        <v>1854032982</v>
      </c>
      <c r="C1229" s="42" t="s">
        <v>8057</v>
      </c>
      <c r="D1229" s="42" t="s">
        <v>765</v>
      </c>
      <c r="E1229" s="43" t="s">
        <v>8768</v>
      </c>
      <c r="F1229" s="42"/>
      <c r="G1229" s="42"/>
      <c r="H1229" s="43"/>
      <c r="I1229" s="42"/>
      <c r="J1229" s="42"/>
      <c r="K1229" s="42"/>
      <c r="L1229" s="42"/>
      <c r="M1229" s="42"/>
      <c r="N1229" s="42"/>
      <c r="O1229" s="42"/>
      <c r="P1229" s="42"/>
      <c r="Q1229" s="42"/>
      <c r="R1229" s="42" t="s">
        <v>7975</v>
      </c>
      <c r="S1229" s="42" t="s">
        <v>494</v>
      </c>
      <c r="T1229" s="42" t="s">
        <v>5268</v>
      </c>
      <c r="U1229" s="42" t="s">
        <v>7325</v>
      </c>
      <c r="V1229" s="44" t="s">
        <v>3892</v>
      </c>
      <c r="W1229" s="42" t="s">
        <v>3892</v>
      </c>
    </row>
    <row r="1230" spans="1:23">
      <c r="A1230" s="40">
        <v>720</v>
      </c>
      <c r="B1230" s="41">
        <v>1854033016</v>
      </c>
      <c r="C1230" s="42" t="s">
        <v>8058</v>
      </c>
      <c r="D1230" s="42" t="s">
        <v>765</v>
      </c>
      <c r="E1230" s="43" t="s">
        <v>8769</v>
      </c>
      <c r="F1230" s="42"/>
      <c r="G1230" s="42"/>
      <c r="H1230" s="43"/>
      <c r="I1230" s="42"/>
      <c r="J1230" s="42"/>
      <c r="K1230" s="42"/>
      <c r="L1230" s="42"/>
      <c r="M1230" s="42"/>
      <c r="N1230" s="42"/>
      <c r="O1230" s="42"/>
      <c r="P1230" s="42"/>
      <c r="Q1230" s="42"/>
      <c r="R1230" s="42" t="s">
        <v>7975</v>
      </c>
      <c r="S1230" s="42" t="s">
        <v>494</v>
      </c>
      <c r="T1230" s="42" t="s">
        <v>5268</v>
      </c>
      <c r="U1230" s="42" t="s">
        <v>7325</v>
      </c>
      <c r="V1230" s="44" t="s">
        <v>3892</v>
      </c>
      <c r="W1230" s="42" t="s">
        <v>3892</v>
      </c>
    </row>
    <row r="1231" spans="1:23">
      <c r="A1231" s="40">
        <v>721</v>
      </c>
      <c r="B1231" s="41">
        <v>1754030676</v>
      </c>
      <c r="C1231" s="42" t="s">
        <v>8059</v>
      </c>
      <c r="D1231" s="42" t="s">
        <v>760</v>
      </c>
      <c r="E1231" s="43" t="s">
        <v>8433</v>
      </c>
      <c r="F1231" s="42"/>
      <c r="G1231" s="42"/>
      <c r="H1231" s="43"/>
      <c r="I1231" s="42"/>
      <c r="J1231" s="42"/>
      <c r="K1231" s="42"/>
      <c r="L1231" s="42"/>
      <c r="M1231" s="42"/>
      <c r="N1231" s="42"/>
      <c r="O1231" s="42"/>
      <c r="P1231" s="42"/>
      <c r="Q1231" s="42"/>
      <c r="R1231" s="42" t="s">
        <v>7975</v>
      </c>
      <c r="S1231" s="42" t="s">
        <v>494</v>
      </c>
      <c r="T1231" s="42" t="s">
        <v>5268</v>
      </c>
      <c r="U1231" s="42" t="s">
        <v>7325</v>
      </c>
      <c r="V1231" s="44" t="s">
        <v>3892</v>
      </c>
      <c r="W1231" s="42" t="s">
        <v>3892</v>
      </c>
    </row>
    <row r="1232" spans="1:23">
      <c r="A1232" s="40">
        <v>722</v>
      </c>
      <c r="B1232" s="41">
        <v>1854033154</v>
      </c>
      <c r="C1232" s="42" t="s">
        <v>8060</v>
      </c>
      <c r="D1232" s="42" t="s">
        <v>760</v>
      </c>
      <c r="E1232" s="43" t="s">
        <v>8770</v>
      </c>
      <c r="F1232" s="42"/>
      <c r="G1232" s="42"/>
      <c r="H1232" s="43"/>
      <c r="I1232" s="42"/>
      <c r="J1232" s="42"/>
      <c r="K1232" s="42"/>
      <c r="L1232" s="42"/>
      <c r="M1232" s="42"/>
      <c r="N1232" s="42"/>
      <c r="O1232" s="42"/>
      <c r="P1232" s="42"/>
      <c r="Q1232" s="42"/>
      <c r="R1232" s="42" t="s">
        <v>7975</v>
      </c>
      <c r="S1232" s="42" t="s">
        <v>494</v>
      </c>
      <c r="T1232" s="42" t="s">
        <v>5268</v>
      </c>
      <c r="U1232" s="42" t="s">
        <v>7325</v>
      </c>
      <c r="V1232" s="44" t="s">
        <v>3892</v>
      </c>
      <c r="W1232" s="42" t="s">
        <v>3892</v>
      </c>
    </row>
    <row r="1233" spans="1:23">
      <c r="A1233" s="40">
        <v>723</v>
      </c>
      <c r="B1233" s="41">
        <v>1754030430</v>
      </c>
      <c r="C1233" s="42" t="s">
        <v>8061</v>
      </c>
      <c r="D1233" s="42" t="s">
        <v>765</v>
      </c>
      <c r="E1233" s="43" t="s">
        <v>8771</v>
      </c>
      <c r="F1233" s="42"/>
      <c r="G1233" s="42"/>
      <c r="H1233" s="43"/>
      <c r="I1233" s="42"/>
      <c r="J1233" s="42"/>
      <c r="K1233" s="42"/>
      <c r="L1233" s="42"/>
      <c r="M1233" s="42"/>
      <c r="N1233" s="42"/>
      <c r="O1233" s="42"/>
      <c r="P1233" s="42"/>
      <c r="Q1233" s="42"/>
      <c r="R1233" s="42" t="s">
        <v>7975</v>
      </c>
      <c r="S1233" s="42" t="s">
        <v>494</v>
      </c>
      <c r="T1233" s="42" t="s">
        <v>5268</v>
      </c>
      <c r="U1233" s="42" t="s">
        <v>7325</v>
      </c>
      <c r="V1233" s="44" t="s">
        <v>3892</v>
      </c>
      <c r="W1233" s="42" t="s">
        <v>3892</v>
      </c>
    </row>
    <row r="1234" spans="1:23">
      <c r="A1234" s="40">
        <v>724</v>
      </c>
      <c r="B1234" s="41">
        <v>1651021925</v>
      </c>
      <c r="C1234" s="42" t="s">
        <v>8062</v>
      </c>
      <c r="D1234" s="42" t="s">
        <v>760</v>
      </c>
      <c r="E1234" s="43" t="s">
        <v>8539</v>
      </c>
      <c r="F1234" s="42"/>
      <c r="G1234" s="42"/>
      <c r="H1234" s="43"/>
      <c r="I1234" s="42"/>
      <c r="J1234" s="42"/>
      <c r="K1234" s="42"/>
      <c r="L1234" s="42"/>
      <c r="M1234" s="42"/>
      <c r="N1234" s="42"/>
      <c r="O1234" s="42"/>
      <c r="P1234" s="42"/>
      <c r="Q1234" s="42"/>
      <c r="R1234" s="42" t="s">
        <v>8063</v>
      </c>
      <c r="S1234" s="42" t="s">
        <v>294</v>
      </c>
      <c r="T1234" s="42" t="s">
        <v>4574</v>
      </c>
      <c r="U1234" s="42" t="s">
        <v>7325</v>
      </c>
      <c r="V1234" s="44" t="s">
        <v>3892</v>
      </c>
      <c r="W1234" s="42" t="s">
        <v>3892</v>
      </c>
    </row>
    <row r="1235" spans="1:23">
      <c r="A1235" s="40">
        <v>725</v>
      </c>
      <c r="B1235" s="41">
        <v>1151022145</v>
      </c>
      <c r="C1235" s="42" t="s">
        <v>8064</v>
      </c>
      <c r="D1235" s="42" t="s">
        <v>760</v>
      </c>
      <c r="E1235" s="43" t="s">
        <v>8772</v>
      </c>
      <c r="F1235" s="42"/>
      <c r="G1235" s="42"/>
      <c r="H1235" s="43"/>
      <c r="I1235" s="42"/>
      <c r="J1235" s="42"/>
      <c r="K1235" s="42"/>
      <c r="L1235" s="42"/>
      <c r="M1235" s="42"/>
      <c r="N1235" s="42"/>
      <c r="O1235" s="42"/>
      <c r="P1235" s="42"/>
      <c r="Q1235" s="42"/>
      <c r="R1235" s="42" t="s">
        <v>8063</v>
      </c>
      <c r="S1235" s="42" t="s">
        <v>294</v>
      </c>
      <c r="T1235" s="42" t="s">
        <v>4574</v>
      </c>
      <c r="U1235" s="42" t="s">
        <v>7325</v>
      </c>
      <c r="V1235" s="44" t="s">
        <v>3892</v>
      </c>
      <c r="W1235" s="42" t="s">
        <v>3892</v>
      </c>
    </row>
    <row r="1236" spans="1:23">
      <c r="A1236" s="40">
        <v>726</v>
      </c>
      <c r="B1236" s="41">
        <v>1651022082</v>
      </c>
      <c r="C1236" s="42" t="s">
        <v>8065</v>
      </c>
      <c r="D1236" s="42" t="s">
        <v>760</v>
      </c>
      <c r="E1236" s="43" t="s">
        <v>8266</v>
      </c>
      <c r="F1236" s="42"/>
      <c r="G1236" s="42"/>
      <c r="H1236" s="43"/>
      <c r="I1236" s="42"/>
      <c r="J1236" s="42"/>
      <c r="K1236" s="42"/>
      <c r="L1236" s="42"/>
      <c r="M1236" s="42"/>
      <c r="N1236" s="42"/>
      <c r="O1236" s="42"/>
      <c r="P1236" s="42"/>
      <c r="Q1236" s="42"/>
      <c r="R1236" s="42" t="s">
        <v>8063</v>
      </c>
      <c r="S1236" s="42" t="s">
        <v>294</v>
      </c>
      <c r="T1236" s="42" t="s">
        <v>4574</v>
      </c>
      <c r="U1236" s="42" t="s">
        <v>7325</v>
      </c>
      <c r="V1236" s="44" t="s">
        <v>3892</v>
      </c>
      <c r="W1236" s="42" t="s">
        <v>3892</v>
      </c>
    </row>
    <row r="1237" spans="1:23">
      <c r="A1237" s="40">
        <v>727</v>
      </c>
      <c r="B1237" s="41">
        <v>1551022856</v>
      </c>
      <c r="C1237" s="42" t="s">
        <v>8066</v>
      </c>
      <c r="D1237" s="42" t="s">
        <v>760</v>
      </c>
      <c r="E1237" s="43" t="s">
        <v>8385</v>
      </c>
      <c r="F1237" s="42"/>
      <c r="G1237" s="42"/>
      <c r="H1237" s="43"/>
      <c r="I1237" s="42"/>
      <c r="J1237" s="42"/>
      <c r="K1237" s="42"/>
      <c r="L1237" s="42"/>
      <c r="M1237" s="42"/>
      <c r="N1237" s="42"/>
      <c r="O1237" s="42"/>
      <c r="P1237" s="42"/>
      <c r="Q1237" s="42"/>
      <c r="R1237" s="42" t="s">
        <v>8063</v>
      </c>
      <c r="S1237" s="42" t="s">
        <v>294</v>
      </c>
      <c r="T1237" s="42" t="s">
        <v>4574</v>
      </c>
      <c r="U1237" s="42" t="s">
        <v>7325</v>
      </c>
      <c r="V1237" s="44" t="s">
        <v>3892</v>
      </c>
      <c r="W1237" s="42" t="s">
        <v>3892</v>
      </c>
    </row>
    <row r="1238" spans="1:23">
      <c r="A1238" s="40">
        <v>728</v>
      </c>
      <c r="B1238" s="41">
        <v>1851022689</v>
      </c>
      <c r="C1238" s="42" t="s">
        <v>302</v>
      </c>
      <c r="D1238" s="42" t="s">
        <v>760</v>
      </c>
      <c r="E1238" s="43" t="s">
        <v>8773</v>
      </c>
      <c r="F1238" s="42"/>
      <c r="G1238" s="42"/>
      <c r="H1238" s="43"/>
      <c r="I1238" s="42"/>
      <c r="J1238" s="42"/>
      <c r="K1238" s="42"/>
      <c r="L1238" s="42"/>
      <c r="M1238" s="42"/>
      <c r="N1238" s="42"/>
      <c r="O1238" s="42"/>
      <c r="P1238" s="42"/>
      <c r="Q1238" s="42"/>
      <c r="R1238" s="42" t="s">
        <v>8063</v>
      </c>
      <c r="S1238" s="42" t="s">
        <v>294</v>
      </c>
      <c r="T1238" s="42" t="s">
        <v>4574</v>
      </c>
      <c r="U1238" s="42" t="s">
        <v>7325</v>
      </c>
      <c r="V1238" s="44" t="s">
        <v>3892</v>
      </c>
      <c r="W1238" s="42" t="s">
        <v>3892</v>
      </c>
    </row>
    <row r="1239" spans="1:23">
      <c r="A1239" s="40">
        <v>729</v>
      </c>
      <c r="B1239" s="41">
        <v>1551022978</v>
      </c>
      <c r="C1239" s="42" t="s">
        <v>7988</v>
      </c>
      <c r="D1239" s="42" t="s">
        <v>765</v>
      </c>
      <c r="E1239" s="43" t="s">
        <v>8774</v>
      </c>
      <c r="F1239" s="42"/>
      <c r="G1239" s="42"/>
      <c r="H1239" s="43"/>
      <c r="I1239" s="42"/>
      <c r="J1239" s="42"/>
      <c r="K1239" s="42"/>
      <c r="L1239" s="42"/>
      <c r="M1239" s="42"/>
      <c r="N1239" s="42"/>
      <c r="O1239" s="42"/>
      <c r="P1239" s="42"/>
      <c r="Q1239" s="42"/>
      <c r="R1239" s="42" t="s">
        <v>8063</v>
      </c>
      <c r="S1239" s="42" t="s">
        <v>294</v>
      </c>
      <c r="T1239" s="42" t="s">
        <v>4574</v>
      </c>
      <c r="U1239" s="42" t="s">
        <v>7325</v>
      </c>
      <c r="V1239" s="44" t="s">
        <v>3892</v>
      </c>
      <c r="W1239" s="42" t="s">
        <v>3892</v>
      </c>
    </row>
    <row r="1240" spans="1:23">
      <c r="A1240" s="40">
        <v>730</v>
      </c>
      <c r="B1240" s="41">
        <v>1551023181</v>
      </c>
      <c r="C1240" s="42" t="s">
        <v>8067</v>
      </c>
      <c r="D1240" s="42" t="s">
        <v>760</v>
      </c>
      <c r="E1240" s="43" t="s">
        <v>8527</v>
      </c>
      <c r="F1240" s="42"/>
      <c r="G1240" s="42"/>
      <c r="H1240" s="43"/>
      <c r="I1240" s="42"/>
      <c r="J1240" s="42"/>
      <c r="K1240" s="42"/>
      <c r="L1240" s="42"/>
      <c r="M1240" s="42"/>
      <c r="N1240" s="42"/>
      <c r="O1240" s="42"/>
      <c r="P1240" s="42"/>
      <c r="Q1240" s="42"/>
      <c r="R1240" s="42" t="s">
        <v>8063</v>
      </c>
      <c r="S1240" s="42" t="s">
        <v>294</v>
      </c>
      <c r="T1240" s="42" t="s">
        <v>4574</v>
      </c>
      <c r="U1240" s="42" t="s">
        <v>7325</v>
      </c>
      <c r="V1240" s="44" t="s">
        <v>3892</v>
      </c>
      <c r="W1240" s="42" t="s">
        <v>3892</v>
      </c>
    </row>
    <row r="1241" spans="1:23">
      <c r="A1241" s="40">
        <v>731</v>
      </c>
      <c r="B1241" s="41">
        <v>1451023399</v>
      </c>
      <c r="C1241" s="42" t="s">
        <v>8068</v>
      </c>
      <c r="D1241" s="42" t="s">
        <v>760</v>
      </c>
      <c r="E1241" s="43" t="s">
        <v>8775</v>
      </c>
      <c r="F1241" s="42"/>
      <c r="G1241" s="42"/>
      <c r="H1241" s="43"/>
      <c r="I1241" s="42"/>
      <c r="J1241" s="42"/>
      <c r="K1241" s="42"/>
      <c r="L1241" s="42"/>
      <c r="M1241" s="42"/>
      <c r="N1241" s="42"/>
      <c r="O1241" s="42"/>
      <c r="P1241" s="42"/>
      <c r="Q1241" s="42"/>
      <c r="R1241" s="42" t="s">
        <v>8063</v>
      </c>
      <c r="S1241" s="42" t="s">
        <v>294</v>
      </c>
      <c r="T1241" s="42" t="s">
        <v>4574</v>
      </c>
      <c r="U1241" s="42" t="s">
        <v>7325</v>
      </c>
      <c r="V1241" s="44" t="s">
        <v>3892</v>
      </c>
      <c r="W1241" s="42" t="s">
        <v>3892</v>
      </c>
    </row>
    <row r="1242" spans="1:23">
      <c r="A1242" s="40">
        <v>732</v>
      </c>
      <c r="B1242" s="41">
        <v>1551023538</v>
      </c>
      <c r="C1242" s="42" t="s">
        <v>8069</v>
      </c>
      <c r="D1242" s="42" t="s">
        <v>760</v>
      </c>
      <c r="E1242" s="43" t="s">
        <v>8555</v>
      </c>
      <c r="F1242" s="42"/>
      <c r="G1242" s="42"/>
      <c r="H1242" s="43"/>
      <c r="I1242" s="42"/>
      <c r="J1242" s="42"/>
      <c r="K1242" s="42"/>
      <c r="L1242" s="42"/>
      <c r="M1242" s="42"/>
      <c r="N1242" s="42"/>
      <c r="O1242" s="42"/>
      <c r="P1242" s="42"/>
      <c r="Q1242" s="42"/>
      <c r="R1242" s="42" t="s">
        <v>8063</v>
      </c>
      <c r="S1242" s="42" t="s">
        <v>294</v>
      </c>
      <c r="T1242" s="42" t="s">
        <v>4574</v>
      </c>
      <c r="U1242" s="42" t="s">
        <v>7325</v>
      </c>
      <c r="V1242" s="44" t="s">
        <v>3892</v>
      </c>
      <c r="W1242" s="42" t="s">
        <v>3892</v>
      </c>
    </row>
    <row r="1243" spans="1:23">
      <c r="A1243" s="40">
        <v>733</v>
      </c>
      <c r="B1243" s="41">
        <v>1551022833</v>
      </c>
      <c r="C1243" s="42" t="s">
        <v>8070</v>
      </c>
      <c r="D1243" s="42" t="s">
        <v>760</v>
      </c>
      <c r="E1243" s="43" t="s">
        <v>8776</v>
      </c>
      <c r="F1243" s="42"/>
      <c r="G1243" s="42"/>
      <c r="H1243" s="43"/>
      <c r="I1243" s="42"/>
      <c r="J1243" s="42"/>
      <c r="K1243" s="42"/>
      <c r="L1243" s="42"/>
      <c r="M1243" s="42"/>
      <c r="N1243" s="42"/>
      <c r="O1243" s="42"/>
      <c r="P1243" s="42"/>
      <c r="Q1243" s="42"/>
      <c r="R1243" s="42" t="s">
        <v>8063</v>
      </c>
      <c r="S1243" s="42" t="s">
        <v>294</v>
      </c>
      <c r="T1243" s="42" t="s">
        <v>4574</v>
      </c>
      <c r="U1243" s="42" t="s">
        <v>7325</v>
      </c>
      <c r="V1243" s="44" t="s">
        <v>3892</v>
      </c>
      <c r="W1243" s="42" t="s">
        <v>3892</v>
      </c>
    </row>
    <row r="1244" spans="1:23">
      <c r="A1244" s="40">
        <v>734</v>
      </c>
      <c r="B1244" s="41">
        <v>1551023045</v>
      </c>
      <c r="C1244" s="42" t="s">
        <v>8071</v>
      </c>
      <c r="D1244" s="42" t="s">
        <v>765</v>
      </c>
      <c r="E1244" s="43" t="s">
        <v>8777</v>
      </c>
      <c r="F1244" s="42"/>
      <c r="G1244" s="42"/>
      <c r="H1244" s="43"/>
      <c r="I1244" s="42"/>
      <c r="J1244" s="42"/>
      <c r="K1244" s="42"/>
      <c r="L1244" s="42"/>
      <c r="M1244" s="42"/>
      <c r="N1244" s="42"/>
      <c r="O1244" s="42"/>
      <c r="P1244" s="42"/>
      <c r="Q1244" s="42"/>
      <c r="R1244" s="42" t="s">
        <v>8063</v>
      </c>
      <c r="S1244" s="42" t="s">
        <v>294</v>
      </c>
      <c r="T1244" s="42" t="s">
        <v>4574</v>
      </c>
      <c r="U1244" s="42" t="s">
        <v>7325</v>
      </c>
      <c r="V1244" s="44" t="s">
        <v>3892</v>
      </c>
      <c r="W1244" s="42" t="s">
        <v>3892</v>
      </c>
    </row>
    <row r="1245" spans="1:23">
      <c r="A1245" s="40">
        <v>735</v>
      </c>
      <c r="B1245" s="41">
        <v>1451023357</v>
      </c>
      <c r="C1245" s="42" t="s">
        <v>8072</v>
      </c>
      <c r="D1245" s="42" t="s">
        <v>760</v>
      </c>
      <c r="E1245" s="43" t="s">
        <v>8778</v>
      </c>
      <c r="F1245" s="42"/>
      <c r="G1245" s="42"/>
      <c r="H1245" s="43"/>
      <c r="I1245" s="42"/>
      <c r="J1245" s="42"/>
      <c r="K1245" s="42"/>
      <c r="L1245" s="42"/>
      <c r="M1245" s="42"/>
      <c r="N1245" s="42"/>
      <c r="O1245" s="42"/>
      <c r="P1245" s="42"/>
      <c r="Q1245" s="42"/>
      <c r="R1245" s="42" t="s">
        <v>8063</v>
      </c>
      <c r="S1245" s="42" t="s">
        <v>294</v>
      </c>
      <c r="T1245" s="42" t="s">
        <v>4574</v>
      </c>
      <c r="U1245" s="42" t="s">
        <v>7325</v>
      </c>
      <c r="V1245" s="44" t="s">
        <v>3892</v>
      </c>
      <c r="W1245" s="42" t="s">
        <v>3892</v>
      </c>
    </row>
    <row r="1246" spans="1:23">
      <c r="A1246" s="40">
        <v>736</v>
      </c>
      <c r="B1246" s="41">
        <v>1651022083</v>
      </c>
      <c r="C1246" s="42" t="s">
        <v>8073</v>
      </c>
      <c r="D1246" s="42" t="s">
        <v>760</v>
      </c>
      <c r="E1246" s="43" t="s">
        <v>8779</v>
      </c>
      <c r="F1246" s="42"/>
      <c r="G1246" s="42"/>
      <c r="H1246" s="43"/>
      <c r="I1246" s="42"/>
      <c r="J1246" s="42"/>
      <c r="K1246" s="42"/>
      <c r="L1246" s="42"/>
      <c r="M1246" s="42"/>
      <c r="N1246" s="42"/>
      <c r="O1246" s="42"/>
      <c r="P1246" s="42"/>
      <c r="Q1246" s="42"/>
      <c r="R1246" s="42" t="s">
        <v>8063</v>
      </c>
      <c r="S1246" s="42" t="s">
        <v>294</v>
      </c>
      <c r="T1246" s="42" t="s">
        <v>4574</v>
      </c>
      <c r="U1246" s="42" t="s">
        <v>7325</v>
      </c>
      <c r="V1246" s="44" t="s">
        <v>3892</v>
      </c>
      <c r="W1246" s="42" t="s">
        <v>3892</v>
      </c>
    </row>
    <row r="1247" spans="1:23">
      <c r="A1247" s="40">
        <v>737</v>
      </c>
      <c r="B1247" s="41">
        <v>1351022766</v>
      </c>
      <c r="C1247" s="42" t="s">
        <v>8074</v>
      </c>
      <c r="D1247" s="42" t="s">
        <v>760</v>
      </c>
      <c r="E1247" s="43" t="s">
        <v>8780</v>
      </c>
      <c r="F1247" s="42"/>
      <c r="G1247" s="42"/>
      <c r="H1247" s="43"/>
      <c r="I1247" s="42"/>
      <c r="J1247" s="42"/>
      <c r="K1247" s="42"/>
      <c r="L1247" s="42"/>
      <c r="M1247" s="42"/>
      <c r="N1247" s="42"/>
      <c r="O1247" s="42"/>
      <c r="P1247" s="42"/>
      <c r="Q1247" s="42"/>
      <c r="R1247" s="42" t="s">
        <v>8063</v>
      </c>
      <c r="S1247" s="42" t="s">
        <v>294</v>
      </c>
      <c r="T1247" s="42" t="s">
        <v>4574</v>
      </c>
      <c r="U1247" s="42" t="s">
        <v>7325</v>
      </c>
      <c r="V1247" s="44" t="s">
        <v>3892</v>
      </c>
      <c r="W1247" s="42" t="s">
        <v>3892</v>
      </c>
    </row>
    <row r="1248" spans="1:23">
      <c r="A1248" s="40">
        <v>738</v>
      </c>
      <c r="B1248" s="41">
        <v>1651022087</v>
      </c>
      <c r="C1248" s="42" t="s">
        <v>8075</v>
      </c>
      <c r="D1248" s="42" t="s">
        <v>760</v>
      </c>
      <c r="E1248" s="43" t="s">
        <v>8781</v>
      </c>
      <c r="F1248" s="42"/>
      <c r="G1248" s="42"/>
      <c r="H1248" s="43"/>
      <c r="I1248" s="42"/>
      <c r="J1248" s="42"/>
      <c r="K1248" s="42"/>
      <c r="L1248" s="42"/>
      <c r="M1248" s="42"/>
      <c r="N1248" s="42"/>
      <c r="O1248" s="42"/>
      <c r="P1248" s="42"/>
      <c r="Q1248" s="42"/>
      <c r="R1248" s="42" t="s">
        <v>8063</v>
      </c>
      <c r="S1248" s="42" t="s">
        <v>294</v>
      </c>
      <c r="T1248" s="42" t="s">
        <v>4574</v>
      </c>
      <c r="U1248" s="42" t="s">
        <v>7325</v>
      </c>
      <c r="V1248" s="44" t="s">
        <v>3892</v>
      </c>
      <c r="W1248" s="42" t="s">
        <v>3892</v>
      </c>
    </row>
    <row r="1249" spans="1:23">
      <c r="A1249" s="40">
        <v>739</v>
      </c>
      <c r="B1249" s="41">
        <v>1651022847</v>
      </c>
      <c r="C1249" s="42" t="s">
        <v>8076</v>
      </c>
      <c r="D1249" s="42" t="s">
        <v>765</v>
      </c>
      <c r="E1249" s="43" t="s">
        <v>8719</v>
      </c>
      <c r="F1249" s="42"/>
      <c r="G1249" s="42"/>
      <c r="H1249" s="43"/>
      <c r="I1249" s="42"/>
      <c r="J1249" s="42"/>
      <c r="K1249" s="42"/>
      <c r="L1249" s="42"/>
      <c r="M1249" s="42"/>
      <c r="N1249" s="42"/>
      <c r="O1249" s="42"/>
      <c r="P1249" s="42"/>
      <c r="Q1249" s="42"/>
      <c r="R1249" s="42" t="s">
        <v>8063</v>
      </c>
      <c r="S1249" s="42" t="s">
        <v>294</v>
      </c>
      <c r="T1249" s="42" t="s">
        <v>4574</v>
      </c>
      <c r="U1249" s="42" t="s">
        <v>7325</v>
      </c>
      <c r="V1249" s="44" t="s">
        <v>3892</v>
      </c>
      <c r="W1249" s="42" t="s">
        <v>3892</v>
      </c>
    </row>
    <row r="1250" spans="1:23">
      <c r="A1250" s="40">
        <v>740</v>
      </c>
      <c r="B1250" s="41">
        <v>1551022845</v>
      </c>
      <c r="C1250" s="42" t="s">
        <v>8077</v>
      </c>
      <c r="D1250" s="42" t="s">
        <v>760</v>
      </c>
      <c r="E1250" s="43" t="s">
        <v>8623</v>
      </c>
      <c r="F1250" s="42"/>
      <c r="G1250" s="42"/>
      <c r="H1250" s="43"/>
      <c r="I1250" s="42"/>
      <c r="J1250" s="42"/>
      <c r="K1250" s="42"/>
      <c r="L1250" s="42"/>
      <c r="M1250" s="42"/>
      <c r="N1250" s="42"/>
      <c r="O1250" s="42"/>
      <c r="P1250" s="42"/>
      <c r="Q1250" s="42"/>
      <c r="R1250" s="42" t="s">
        <v>8063</v>
      </c>
      <c r="S1250" s="42" t="s">
        <v>294</v>
      </c>
      <c r="T1250" s="42" t="s">
        <v>4574</v>
      </c>
      <c r="U1250" s="42" t="s">
        <v>7325</v>
      </c>
      <c r="V1250" s="44" t="s">
        <v>3892</v>
      </c>
      <c r="W1250" s="42" t="s">
        <v>3892</v>
      </c>
    </row>
    <row r="1251" spans="1:23">
      <c r="A1251" s="40">
        <v>741</v>
      </c>
      <c r="B1251" s="41">
        <v>1551023450</v>
      </c>
      <c r="C1251" s="42" t="s">
        <v>8078</v>
      </c>
      <c r="D1251" s="42" t="s">
        <v>760</v>
      </c>
      <c r="E1251" s="43" t="s">
        <v>8328</v>
      </c>
      <c r="F1251" s="42"/>
      <c r="G1251" s="42"/>
      <c r="H1251" s="43"/>
      <c r="I1251" s="42"/>
      <c r="J1251" s="42"/>
      <c r="K1251" s="42"/>
      <c r="L1251" s="42"/>
      <c r="M1251" s="42"/>
      <c r="N1251" s="42"/>
      <c r="O1251" s="42"/>
      <c r="P1251" s="42"/>
      <c r="Q1251" s="42"/>
      <c r="R1251" s="42" t="s">
        <v>8063</v>
      </c>
      <c r="S1251" s="42" t="s">
        <v>294</v>
      </c>
      <c r="T1251" s="42" t="s">
        <v>4574</v>
      </c>
      <c r="U1251" s="42" t="s">
        <v>7325</v>
      </c>
      <c r="V1251" s="44" t="s">
        <v>3892</v>
      </c>
      <c r="W1251" s="42" t="s">
        <v>3892</v>
      </c>
    </row>
    <row r="1252" spans="1:23">
      <c r="A1252" s="40">
        <v>742</v>
      </c>
      <c r="B1252" s="41">
        <v>1551023283</v>
      </c>
      <c r="C1252" s="42" t="s">
        <v>8079</v>
      </c>
      <c r="D1252" s="42" t="s">
        <v>765</v>
      </c>
      <c r="E1252" s="43" t="s">
        <v>8782</v>
      </c>
      <c r="F1252" s="42"/>
      <c r="G1252" s="42"/>
      <c r="H1252" s="43"/>
      <c r="I1252" s="42"/>
      <c r="J1252" s="42"/>
      <c r="K1252" s="42"/>
      <c r="L1252" s="42"/>
      <c r="M1252" s="42"/>
      <c r="N1252" s="42"/>
      <c r="O1252" s="42"/>
      <c r="P1252" s="42"/>
      <c r="Q1252" s="42"/>
      <c r="R1252" s="42" t="s">
        <v>8063</v>
      </c>
      <c r="S1252" s="42" t="s">
        <v>294</v>
      </c>
      <c r="T1252" s="42" t="s">
        <v>4574</v>
      </c>
      <c r="U1252" s="42" t="s">
        <v>7325</v>
      </c>
      <c r="V1252" s="44" t="s">
        <v>3892</v>
      </c>
      <c r="W1252" s="42" t="s">
        <v>3892</v>
      </c>
    </row>
    <row r="1253" spans="1:23">
      <c r="A1253" s="40">
        <v>743</v>
      </c>
      <c r="B1253" s="41">
        <v>1451023347</v>
      </c>
      <c r="C1253" s="42" t="s">
        <v>8080</v>
      </c>
      <c r="D1253" s="42" t="s">
        <v>765</v>
      </c>
      <c r="E1253" s="43" t="s">
        <v>8783</v>
      </c>
      <c r="F1253" s="42"/>
      <c r="G1253" s="42"/>
      <c r="H1253" s="43"/>
      <c r="I1253" s="42"/>
      <c r="J1253" s="42"/>
      <c r="K1253" s="42"/>
      <c r="L1253" s="42"/>
      <c r="M1253" s="42"/>
      <c r="N1253" s="42"/>
      <c r="O1253" s="42"/>
      <c r="P1253" s="42"/>
      <c r="Q1253" s="42"/>
      <c r="R1253" s="42" t="s">
        <v>8063</v>
      </c>
      <c r="S1253" s="42" t="s">
        <v>294</v>
      </c>
      <c r="T1253" s="42" t="s">
        <v>4574</v>
      </c>
      <c r="U1253" s="42" t="s">
        <v>7325</v>
      </c>
      <c r="V1253" s="44" t="s">
        <v>3892</v>
      </c>
      <c r="W1253" s="42" t="s">
        <v>3892</v>
      </c>
    </row>
    <row r="1254" spans="1:23">
      <c r="A1254" s="40">
        <v>744</v>
      </c>
      <c r="B1254" s="41">
        <v>1651022864</v>
      </c>
      <c r="C1254" s="42" t="s">
        <v>8081</v>
      </c>
      <c r="D1254" s="42" t="s">
        <v>760</v>
      </c>
      <c r="E1254" s="43" t="s">
        <v>8784</v>
      </c>
      <c r="F1254" s="42"/>
      <c r="G1254" s="42"/>
      <c r="H1254" s="43"/>
      <c r="I1254" s="42"/>
      <c r="J1254" s="42"/>
      <c r="K1254" s="42"/>
      <c r="L1254" s="42"/>
      <c r="M1254" s="42"/>
      <c r="N1254" s="42"/>
      <c r="O1254" s="42"/>
      <c r="P1254" s="42"/>
      <c r="Q1254" s="42"/>
      <c r="R1254" s="42" t="s">
        <v>8063</v>
      </c>
      <c r="S1254" s="42" t="s">
        <v>294</v>
      </c>
      <c r="T1254" s="42" t="s">
        <v>4574</v>
      </c>
      <c r="U1254" s="42" t="s">
        <v>7325</v>
      </c>
      <c r="V1254" s="44" t="s">
        <v>3892</v>
      </c>
      <c r="W1254" s="42" t="s">
        <v>3892</v>
      </c>
    </row>
    <row r="1255" spans="1:23">
      <c r="A1255" s="40">
        <v>745</v>
      </c>
      <c r="B1255" s="41">
        <v>1551023301</v>
      </c>
      <c r="C1255" s="42" t="s">
        <v>8082</v>
      </c>
      <c r="D1255" s="42" t="s">
        <v>765</v>
      </c>
      <c r="E1255" s="43" t="s">
        <v>8785</v>
      </c>
      <c r="F1255" s="42"/>
      <c r="G1255" s="42"/>
      <c r="H1255" s="43"/>
      <c r="I1255" s="42"/>
      <c r="J1255" s="42"/>
      <c r="K1255" s="42"/>
      <c r="L1255" s="42"/>
      <c r="M1255" s="42"/>
      <c r="N1255" s="42"/>
      <c r="O1255" s="42"/>
      <c r="P1255" s="42"/>
      <c r="Q1255" s="42"/>
      <c r="R1255" s="42" t="s">
        <v>8063</v>
      </c>
      <c r="S1255" s="42" t="s">
        <v>294</v>
      </c>
      <c r="T1255" s="42" t="s">
        <v>4574</v>
      </c>
      <c r="U1255" s="42" t="s">
        <v>7325</v>
      </c>
      <c r="V1255" s="44" t="s">
        <v>3892</v>
      </c>
      <c r="W1255" s="42" t="s">
        <v>3892</v>
      </c>
    </row>
    <row r="1256" spans="1:23">
      <c r="A1256" s="40">
        <v>746</v>
      </c>
      <c r="B1256" s="41">
        <v>1351022630</v>
      </c>
      <c r="C1256" s="42" t="s">
        <v>8083</v>
      </c>
      <c r="D1256" s="42" t="s">
        <v>760</v>
      </c>
      <c r="E1256" s="43" t="s">
        <v>8786</v>
      </c>
      <c r="F1256" s="42"/>
      <c r="G1256" s="42"/>
      <c r="H1256" s="43"/>
      <c r="I1256" s="42"/>
      <c r="J1256" s="42"/>
      <c r="K1256" s="42"/>
      <c r="L1256" s="42"/>
      <c r="M1256" s="42"/>
      <c r="N1256" s="42"/>
      <c r="O1256" s="42"/>
      <c r="P1256" s="42"/>
      <c r="Q1256" s="42"/>
      <c r="R1256" s="42" t="s">
        <v>8063</v>
      </c>
      <c r="S1256" s="42" t="s">
        <v>294</v>
      </c>
      <c r="T1256" s="42" t="s">
        <v>4574</v>
      </c>
      <c r="U1256" s="42" t="s">
        <v>7325</v>
      </c>
      <c r="V1256" s="44" t="s">
        <v>3892</v>
      </c>
      <c r="W1256" s="42" t="s">
        <v>3892</v>
      </c>
    </row>
    <row r="1257" spans="1:23">
      <c r="A1257" s="40">
        <v>747</v>
      </c>
      <c r="B1257" s="41">
        <v>1551023189</v>
      </c>
      <c r="C1257" s="42" t="s">
        <v>8084</v>
      </c>
      <c r="D1257" s="42" t="s">
        <v>765</v>
      </c>
      <c r="E1257" s="43" t="s">
        <v>8787</v>
      </c>
      <c r="F1257" s="42"/>
      <c r="G1257" s="42"/>
      <c r="H1257" s="43"/>
      <c r="I1257" s="42"/>
      <c r="J1257" s="42"/>
      <c r="K1257" s="42"/>
      <c r="L1257" s="42"/>
      <c r="M1257" s="42"/>
      <c r="N1257" s="42"/>
      <c r="O1257" s="42"/>
      <c r="P1257" s="42"/>
      <c r="Q1257" s="42"/>
      <c r="R1257" s="42" t="s">
        <v>8063</v>
      </c>
      <c r="S1257" s="42" t="s">
        <v>294</v>
      </c>
      <c r="T1257" s="42" t="s">
        <v>4574</v>
      </c>
      <c r="U1257" s="42" t="s">
        <v>7325</v>
      </c>
      <c r="V1257" s="44" t="s">
        <v>3892</v>
      </c>
      <c r="W1257" s="42" t="s">
        <v>3892</v>
      </c>
    </row>
    <row r="1258" spans="1:23">
      <c r="A1258" s="40">
        <v>748</v>
      </c>
      <c r="B1258" s="41">
        <v>1551023321</v>
      </c>
      <c r="C1258" s="42" t="s">
        <v>8085</v>
      </c>
      <c r="D1258" s="42" t="s">
        <v>760</v>
      </c>
      <c r="E1258" s="43" t="s">
        <v>8604</v>
      </c>
      <c r="F1258" s="42"/>
      <c r="G1258" s="42"/>
      <c r="H1258" s="43"/>
      <c r="I1258" s="42"/>
      <c r="J1258" s="42"/>
      <c r="K1258" s="42"/>
      <c r="L1258" s="42"/>
      <c r="M1258" s="42"/>
      <c r="N1258" s="42"/>
      <c r="O1258" s="42"/>
      <c r="P1258" s="42"/>
      <c r="Q1258" s="42"/>
      <c r="R1258" s="42" t="s">
        <v>8063</v>
      </c>
      <c r="S1258" s="42" t="s">
        <v>294</v>
      </c>
      <c r="T1258" s="42" t="s">
        <v>4574</v>
      </c>
      <c r="U1258" s="42" t="s">
        <v>7325</v>
      </c>
      <c r="V1258" s="44" t="s">
        <v>3892</v>
      </c>
      <c r="W1258" s="42" t="s">
        <v>3892</v>
      </c>
    </row>
    <row r="1259" spans="1:23">
      <c r="A1259" s="40">
        <v>749</v>
      </c>
      <c r="B1259" s="41">
        <v>1551023156</v>
      </c>
      <c r="C1259" s="42" t="s">
        <v>8086</v>
      </c>
      <c r="D1259" s="42" t="s">
        <v>760</v>
      </c>
      <c r="E1259" s="43" t="s">
        <v>8788</v>
      </c>
      <c r="F1259" s="42"/>
      <c r="G1259" s="42"/>
      <c r="H1259" s="43"/>
      <c r="I1259" s="42"/>
      <c r="J1259" s="42"/>
      <c r="K1259" s="42"/>
      <c r="L1259" s="42"/>
      <c r="M1259" s="42"/>
      <c r="N1259" s="42"/>
      <c r="O1259" s="42"/>
      <c r="P1259" s="42"/>
      <c r="Q1259" s="42"/>
      <c r="R1259" s="42" t="s">
        <v>8063</v>
      </c>
      <c r="S1259" s="42" t="s">
        <v>294</v>
      </c>
      <c r="T1259" s="42" t="s">
        <v>4574</v>
      </c>
      <c r="U1259" s="42" t="s">
        <v>7325</v>
      </c>
      <c r="V1259" s="44" t="s">
        <v>3892</v>
      </c>
      <c r="W1259" s="42" t="s">
        <v>3892</v>
      </c>
    </row>
    <row r="1260" spans="1:23">
      <c r="A1260" s="40">
        <v>750</v>
      </c>
      <c r="B1260" s="41">
        <v>1451022902</v>
      </c>
      <c r="C1260" s="42" t="s">
        <v>8087</v>
      </c>
      <c r="D1260" s="42" t="s">
        <v>760</v>
      </c>
      <c r="E1260" s="43" t="s">
        <v>8504</v>
      </c>
      <c r="F1260" s="42"/>
      <c r="G1260" s="42"/>
      <c r="H1260" s="43"/>
      <c r="I1260" s="42"/>
      <c r="J1260" s="42"/>
      <c r="K1260" s="42"/>
      <c r="L1260" s="42"/>
      <c r="M1260" s="42"/>
      <c r="N1260" s="42"/>
      <c r="O1260" s="42"/>
      <c r="P1260" s="42"/>
      <c r="Q1260" s="42"/>
      <c r="R1260" s="42" t="s">
        <v>8063</v>
      </c>
      <c r="S1260" s="42" t="s">
        <v>294</v>
      </c>
      <c r="T1260" s="42" t="s">
        <v>4574</v>
      </c>
      <c r="U1260" s="42" t="s">
        <v>7325</v>
      </c>
      <c r="V1260" s="44" t="s">
        <v>3892</v>
      </c>
      <c r="W1260" s="42" t="s">
        <v>3892</v>
      </c>
    </row>
    <row r="1261" spans="1:23">
      <c r="A1261" s="40">
        <v>751</v>
      </c>
      <c r="B1261" s="41">
        <v>1651021763</v>
      </c>
      <c r="C1261" s="42" t="s">
        <v>8088</v>
      </c>
      <c r="D1261" s="42" t="s">
        <v>760</v>
      </c>
      <c r="E1261" s="43" t="s">
        <v>8381</v>
      </c>
      <c r="F1261" s="42"/>
      <c r="G1261" s="42"/>
      <c r="H1261" s="43"/>
      <c r="I1261" s="42"/>
      <c r="J1261" s="42"/>
      <c r="K1261" s="42"/>
      <c r="L1261" s="42"/>
      <c r="M1261" s="42"/>
      <c r="N1261" s="42"/>
      <c r="O1261" s="42"/>
      <c r="P1261" s="42"/>
      <c r="Q1261" s="42"/>
      <c r="R1261" s="42" t="s">
        <v>8063</v>
      </c>
      <c r="S1261" s="42" t="s">
        <v>294</v>
      </c>
      <c r="T1261" s="42" t="s">
        <v>4574</v>
      </c>
      <c r="U1261" s="42" t="s">
        <v>7325</v>
      </c>
      <c r="V1261" s="44" t="s">
        <v>3892</v>
      </c>
      <c r="W1261" s="42" t="s">
        <v>3892</v>
      </c>
    </row>
    <row r="1262" spans="1:23">
      <c r="A1262" s="40">
        <v>752</v>
      </c>
      <c r="B1262" s="41">
        <v>1551023220</v>
      </c>
      <c r="C1262" s="42" t="s">
        <v>7942</v>
      </c>
      <c r="D1262" s="42" t="s">
        <v>760</v>
      </c>
      <c r="E1262" s="43" t="s">
        <v>8789</v>
      </c>
      <c r="F1262" s="42"/>
      <c r="G1262" s="42"/>
      <c r="H1262" s="43"/>
      <c r="I1262" s="42"/>
      <c r="J1262" s="42"/>
      <c r="K1262" s="42"/>
      <c r="L1262" s="42"/>
      <c r="M1262" s="42"/>
      <c r="N1262" s="42"/>
      <c r="O1262" s="42"/>
      <c r="P1262" s="42"/>
      <c r="Q1262" s="42"/>
      <c r="R1262" s="42" t="s">
        <v>8063</v>
      </c>
      <c r="S1262" s="42" t="s">
        <v>294</v>
      </c>
      <c r="T1262" s="42" t="s">
        <v>4574</v>
      </c>
      <c r="U1262" s="42" t="s">
        <v>7325</v>
      </c>
      <c r="V1262" s="44" t="s">
        <v>3892</v>
      </c>
      <c r="W1262" s="42" t="s">
        <v>3892</v>
      </c>
    </row>
    <row r="1263" spans="1:23">
      <c r="A1263" s="40">
        <v>753</v>
      </c>
      <c r="B1263" s="41">
        <v>1851023011</v>
      </c>
      <c r="C1263" s="42" t="s">
        <v>8089</v>
      </c>
      <c r="D1263" s="42" t="s">
        <v>760</v>
      </c>
      <c r="E1263" s="43" t="s">
        <v>8758</v>
      </c>
      <c r="F1263" s="42"/>
      <c r="G1263" s="42"/>
      <c r="H1263" s="43"/>
      <c r="I1263" s="42"/>
      <c r="J1263" s="42"/>
      <c r="K1263" s="42"/>
      <c r="L1263" s="42"/>
      <c r="M1263" s="42"/>
      <c r="N1263" s="42"/>
      <c r="O1263" s="42"/>
      <c r="P1263" s="42"/>
      <c r="Q1263" s="42"/>
      <c r="R1263" s="42" t="s">
        <v>8063</v>
      </c>
      <c r="S1263" s="42" t="s">
        <v>294</v>
      </c>
      <c r="T1263" s="42" t="s">
        <v>4574</v>
      </c>
      <c r="U1263" s="42" t="s">
        <v>7325</v>
      </c>
      <c r="V1263" s="44" t="s">
        <v>3892</v>
      </c>
      <c r="W1263" s="42" t="s">
        <v>3892</v>
      </c>
    </row>
    <row r="1264" spans="1:23">
      <c r="A1264" s="40">
        <v>754</v>
      </c>
      <c r="B1264" s="41">
        <v>1451021449</v>
      </c>
      <c r="C1264" s="42" t="s">
        <v>164</v>
      </c>
      <c r="D1264" s="42" t="s">
        <v>3892</v>
      </c>
      <c r="E1264" s="43" t="s">
        <v>7273</v>
      </c>
      <c r="F1264" s="42"/>
      <c r="G1264" s="42"/>
      <c r="H1264" s="43"/>
      <c r="I1264" s="42"/>
      <c r="J1264" s="42"/>
      <c r="K1264" s="42"/>
      <c r="L1264" s="42"/>
      <c r="M1264" s="42"/>
      <c r="N1264" s="42"/>
      <c r="O1264" s="42"/>
      <c r="P1264" s="42"/>
      <c r="Q1264" s="42"/>
      <c r="R1264" s="42" t="s">
        <v>8063</v>
      </c>
      <c r="S1264" s="42" t="s">
        <v>294</v>
      </c>
      <c r="T1264" s="42" t="s">
        <v>4574</v>
      </c>
      <c r="U1264" s="42" t="s">
        <v>7325</v>
      </c>
      <c r="V1264" s="44" t="s">
        <v>3892</v>
      </c>
      <c r="W1264" s="42" t="s">
        <v>7345</v>
      </c>
    </row>
    <row r="1265" spans="1:23">
      <c r="A1265" s="40">
        <v>755</v>
      </c>
      <c r="B1265" s="41">
        <v>1451021745</v>
      </c>
      <c r="C1265" s="42" t="s">
        <v>8090</v>
      </c>
      <c r="D1265" s="42" t="s">
        <v>760</v>
      </c>
      <c r="E1265" s="43" t="s">
        <v>8790</v>
      </c>
      <c r="F1265" s="42"/>
      <c r="G1265" s="42"/>
      <c r="H1265" s="43"/>
      <c r="I1265" s="42"/>
      <c r="J1265" s="42"/>
      <c r="K1265" s="42"/>
      <c r="L1265" s="42"/>
      <c r="M1265" s="42"/>
      <c r="N1265" s="42"/>
      <c r="O1265" s="42"/>
      <c r="P1265" s="42"/>
      <c r="Q1265" s="42"/>
      <c r="R1265" s="42" t="s">
        <v>8063</v>
      </c>
      <c r="S1265" s="42" t="s">
        <v>294</v>
      </c>
      <c r="T1265" s="42" t="s">
        <v>4574</v>
      </c>
      <c r="U1265" s="42" t="s">
        <v>7325</v>
      </c>
      <c r="V1265" s="44" t="s">
        <v>3892</v>
      </c>
      <c r="W1265" s="42" t="s">
        <v>3892</v>
      </c>
    </row>
    <row r="1266" spans="1:23">
      <c r="A1266" s="40">
        <v>756</v>
      </c>
      <c r="B1266" s="41">
        <v>1551023042</v>
      </c>
      <c r="C1266" s="42" t="s">
        <v>8091</v>
      </c>
      <c r="D1266" s="42" t="s">
        <v>760</v>
      </c>
      <c r="E1266" s="43" t="s">
        <v>8791</v>
      </c>
      <c r="F1266" s="42"/>
      <c r="G1266" s="42"/>
      <c r="H1266" s="43"/>
      <c r="I1266" s="42"/>
      <c r="J1266" s="42"/>
      <c r="K1266" s="42"/>
      <c r="L1266" s="42"/>
      <c r="M1266" s="42"/>
      <c r="N1266" s="42"/>
      <c r="O1266" s="42"/>
      <c r="P1266" s="42"/>
      <c r="Q1266" s="42"/>
      <c r="R1266" s="42" t="s">
        <v>8063</v>
      </c>
      <c r="S1266" s="42" t="s">
        <v>294</v>
      </c>
      <c r="T1266" s="42" t="s">
        <v>4574</v>
      </c>
      <c r="U1266" s="42" t="s">
        <v>7325</v>
      </c>
      <c r="V1266" s="44" t="s">
        <v>3892</v>
      </c>
      <c r="W1266" s="42" t="s">
        <v>3892</v>
      </c>
    </row>
    <row r="1267" spans="1:23">
      <c r="A1267" s="40">
        <v>757</v>
      </c>
      <c r="B1267" s="41">
        <v>1451023404</v>
      </c>
      <c r="C1267" s="42" t="s">
        <v>8092</v>
      </c>
      <c r="D1267" s="42" t="s">
        <v>765</v>
      </c>
      <c r="E1267" s="43" t="s">
        <v>8792</v>
      </c>
      <c r="F1267" s="42"/>
      <c r="G1267" s="42"/>
      <c r="H1267" s="43"/>
      <c r="I1267" s="42"/>
      <c r="J1267" s="42"/>
      <c r="K1267" s="42"/>
      <c r="L1267" s="42"/>
      <c r="M1267" s="42"/>
      <c r="N1267" s="42"/>
      <c r="O1267" s="42"/>
      <c r="P1267" s="42"/>
      <c r="Q1267" s="42"/>
      <c r="R1267" s="42" t="s">
        <v>8063</v>
      </c>
      <c r="S1267" s="42" t="s">
        <v>294</v>
      </c>
      <c r="T1267" s="42" t="s">
        <v>4574</v>
      </c>
      <c r="U1267" s="42" t="s">
        <v>7325</v>
      </c>
      <c r="V1267" s="44" t="s">
        <v>3892</v>
      </c>
      <c r="W1267" s="42" t="s">
        <v>3892</v>
      </c>
    </row>
    <row r="1268" spans="1:23">
      <c r="A1268" s="40">
        <v>758</v>
      </c>
      <c r="B1268" s="41">
        <v>1451023465</v>
      </c>
      <c r="C1268" s="42" t="s">
        <v>8093</v>
      </c>
      <c r="D1268" s="42" t="s">
        <v>765</v>
      </c>
      <c r="E1268" s="43" t="s">
        <v>8342</v>
      </c>
      <c r="F1268" s="42"/>
      <c r="G1268" s="42"/>
      <c r="H1268" s="43"/>
      <c r="I1268" s="42"/>
      <c r="J1268" s="42"/>
      <c r="K1268" s="42"/>
      <c r="L1268" s="42"/>
      <c r="M1268" s="42"/>
      <c r="N1268" s="42"/>
      <c r="O1268" s="42"/>
      <c r="P1268" s="42"/>
      <c r="Q1268" s="42"/>
      <c r="R1268" s="42" t="s">
        <v>8063</v>
      </c>
      <c r="S1268" s="42" t="s">
        <v>294</v>
      </c>
      <c r="T1268" s="42" t="s">
        <v>4574</v>
      </c>
      <c r="U1268" s="42" t="s">
        <v>7325</v>
      </c>
      <c r="V1268" s="44" t="s">
        <v>3892</v>
      </c>
      <c r="W1268" s="42" t="s">
        <v>3892</v>
      </c>
    </row>
    <row r="1269" spans="1:23">
      <c r="A1269" s="40">
        <v>759</v>
      </c>
      <c r="B1269" s="41">
        <v>1651022879</v>
      </c>
      <c r="C1269" s="42" t="s">
        <v>8094</v>
      </c>
      <c r="D1269" s="42" t="s">
        <v>760</v>
      </c>
      <c r="E1269" s="43" t="s">
        <v>8793</v>
      </c>
      <c r="F1269" s="42"/>
      <c r="G1269" s="42"/>
      <c r="H1269" s="43"/>
      <c r="I1269" s="42"/>
      <c r="J1269" s="42"/>
      <c r="K1269" s="42"/>
      <c r="L1269" s="42"/>
      <c r="M1269" s="42"/>
      <c r="N1269" s="42"/>
      <c r="O1269" s="42"/>
      <c r="P1269" s="42"/>
      <c r="Q1269" s="42"/>
      <c r="R1269" s="42" t="s">
        <v>8063</v>
      </c>
      <c r="S1269" s="42" t="s">
        <v>294</v>
      </c>
      <c r="T1269" s="42" t="s">
        <v>4574</v>
      </c>
      <c r="U1269" s="42" t="s">
        <v>7325</v>
      </c>
      <c r="V1269" s="44" t="s">
        <v>3892</v>
      </c>
      <c r="W1269" s="42" t="s">
        <v>3892</v>
      </c>
    </row>
    <row r="1270" spans="1:23">
      <c r="A1270" s="40">
        <v>760</v>
      </c>
      <c r="B1270" s="41">
        <v>1551023209</v>
      </c>
      <c r="C1270" s="42" t="s">
        <v>8095</v>
      </c>
      <c r="D1270" s="42" t="s">
        <v>765</v>
      </c>
      <c r="E1270" s="43" t="s">
        <v>8548</v>
      </c>
      <c r="F1270" s="42"/>
      <c r="G1270" s="42"/>
      <c r="H1270" s="43"/>
      <c r="I1270" s="42"/>
      <c r="J1270" s="42"/>
      <c r="K1270" s="42"/>
      <c r="L1270" s="42"/>
      <c r="M1270" s="42"/>
      <c r="N1270" s="42"/>
      <c r="O1270" s="42"/>
      <c r="P1270" s="42"/>
      <c r="Q1270" s="42"/>
      <c r="R1270" s="42" t="s">
        <v>8063</v>
      </c>
      <c r="S1270" s="42" t="s">
        <v>294</v>
      </c>
      <c r="T1270" s="42" t="s">
        <v>4574</v>
      </c>
      <c r="U1270" s="42" t="s">
        <v>7325</v>
      </c>
      <c r="V1270" s="44" t="s">
        <v>3892</v>
      </c>
      <c r="W1270" s="42" t="s">
        <v>3892</v>
      </c>
    </row>
    <row r="1271" spans="1:23">
      <c r="A1271" s="40">
        <v>761</v>
      </c>
      <c r="B1271" s="41">
        <v>1651021920</v>
      </c>
      <c r="C1271" s="42" t="s">
        <v>8096</v>
      </c>
      <c r="D1271" s="42" t="s">
        <v>760</v>
      </c>
      <c r="E1271" s="43" t="s">
        <v>8305</v>
      </c>
      <c r="F1271" s="42"/>
      <c r="G1271" s="42"/>
      <c r="H1271" s="43"/>
      <c r="I1271" s="42"/>
      <c r="J1271" s="42"/>
      <c r="K1271" s="42"/>
      <c r="L1271" s="42"/>
      <c r="M1271" s="42"/>
      <c r="N1271" s="42"/>
      <c r="O1271" s="42"/>
      <c r="P1271" s="42"/>
      <c r="Q1271" s="42"/>
      <c r="R1271" s="42" t="s">
        <v>8063</v>
      </c>
      <c r="S1271" s="42" t="s">
        <v>294</v>
      </c>
      <c r="T1271" s="42" t="s">
        <v>4574</v>
      </c>
      <c r="U1271" s="42" t="s">
        <v>7325</v>
      </c>
      <c r="V1271" s="44" t="s">
        <v>3892</v>
      </c>
      <c r="W1271" s="42" t="s">
        <v>3892</v>
      </c>
    </row>
    <row r="1272" spans="1:23">
      <c r="A1272" s="40">
        <v>762</v>
      </c>
      <c r="B1272" s="41">
        <v>1854022979</v>
      </c>
      <c r="C1272" s="42" t="s">
        <v>8097</v>
      </c>
      <c r="D1272" s="42" t="s">
        <v>3892</v>
      </c>
      <c r="E1272" s="43" t="s">
        <v>7273</v>
      </c>
      <c r="F1272" s="42"/>
      <c r="G1272" s="42"/>
      <c r="H1272" s="43"/>
      <c r="I1272" s="42"/>
      <c r="J1272" s="42"/>
      <c r="K1272" s="42"/>
      <c r="L1272" s="42"/>
      <c r="M1272" s="42"/>
      <c r="N1272" s="42"/>
      <c r="O1272" s="42"/>
      <c r="P1272" s="42"/>
      <c r="Q1272" s="42"/>
      <c r="R1272" s="42" t="s">
        <v>8098</v>
      </c>
      <c r="S1272" s="42" t="s">
        <v>8099</v>
      </c>
      <c r="T1272" s="42" t="s">
        <v>5268</v>
      </c>
      <c r="U1272" s="42" t="s">
        <v>7325</v>
      </c>
      <c r="V1272" s="44" t="s">
        <v>3892</v>
      </c>
      <c r="W1272" s="42" t="s">
        <v>3892</v>
      </c>
    </row>
    <row r="1273" spans="1:23">
      <c r="A1273" s="40">
        <v>763</v>
      </c>
      <c r="B1273" s="41">
        <v>1854022871</v>
      </c>
      <c r="C1273" s="42" t="s">
        <v>8100</v>
      </c>
      <c r="D1273" s="42" t="s">
        <v>765</v>
      </c>
      <c r="E1273" s="43" t="s">
        <v>8794</v>
      </c>
      <c r="F1273" s="42"/>
      <c r="G1273" s="42"/>
      <c r="H1273" s="43"/>
      <c r="I1273" s="42"/>
      <c r="J1273" s="42"/>
      <c r="K1273" s="42"/>
      <c r="L1273" s="42"/>
      <c r="M1273" s="42"/>
      <c r="N1273" s="42"/>
      <c r="O1273" s="42"/>
      <c r="P1273" s="42"/>
      <c r="Q1273" s="42"/>
      <c r="R1273" s="42" t="s">
        <v>8098</v>
      </c>
      <c r="S1273" s="42" t="s">
        <v>8099</v>
      </c>
      <c r="T1273" s="42" t="s">
        <v>5268</v>
      </c>
      <c r="U1273" s="42" t="s">
        <v>7325</v>
      </c>
      <c r="V1273" s="44" t="s">
        <v>3892</v>
      </c>
      <c r="W1273" s="42" t="s">
        <v>3892</v>
      </c>
    </row>
    <row r="1274" spans="1:23">
      <c r="A1274" s="40">
        <v>764</v>
      </c>
      <c r="B1274" s="41">
        <v>1854022875</v>
      </c>
      <c r="C1274" s="42" t="s">
        <v>8101</v>
      </c>
      <c r="D1274" s="42" t="s">
        <v>765</v>
      </c>
      <c r="E1274" s="43" t="s">
        <v>1666</v>
      </c>
      <c r="F1274" s="42"/>
      <c r="G1274" s="42"/>
      <c r="H1274" s="43"/>
      <c r="I1274" s="42"/>
      <c r="J1274" s="42"/>
      <c r="K1274" s="42"/>
      <c r="L1274" s="42"/>
      <c r="M1274" s="42"/>
      <c r="N1274" s="42"/>
      <c r="O1274" s="42"/>
      <c r="P1274" s="42"/>
      <c r="Q1274" s="42"/>
      <c r="R1274" s="42" t="s">
        <v>8098</v>
      </c>
      <c r="S1274" s="42" t="s">
        <v>8099</v>
      </c>
      <c r="T1274" s="42" t="s">
        <v>5268</v>
      </c>
      <c r="U1274" s="42" t="s">
        <v>7325</v>
      </c>
      <c r="V1274" s="44" t="s">
        <v>3892</v>
      </c>
      <c r="W1274" s="42" t="s">
        <v>3892</v>
      </c>
    </row>
    <row r="1275" spans="1:23">
      <c r="A1275" s="40">
        <v>765</v>
      </c>
      <c r="B1275" s="41">
        <v>1854022719</v>
      </c>
      <c r="C1275" s="42" t="s">
        <v>8102</v>
      </c>
      <c r="D1275" s="42" t="s">
        <v>765</v>
      </c>
      <c r="E1275" s="43" t="s">
        <v>8795</v>
      </c>
      <c r="F1275" s="42"/>
      <c r="G1275" s="42"/>
      <c r="H1275" s="43"/>
      <c r="I1275" s="42"/>
      <c r="J1275" s="42"/>
      <c r="K1275" s="42"/>
      <c r="L1275" s="42"/>
      <c r="M1275" s="42"/>
      <c r="N1275" s="42"/>
      <c r="O1275" s="42"/>
      <c r="P1275" s="42"/>
      <c r="Q1275" s="42"/>
      <c r="R1275" s="42" t="s">
        <v>8098</v>
      </c>
      <c r="S1275" s="42" t="s">
        <v>8099</v>
      </c>
      <c r="T1275" s="42" t="s">
        <v>5268</v>
      </c>
      <c r="U1275" s="42" t="s">
        <v>7325</v>
      </c>
      <c r="V1275" s="44" t="s">
        <v>3892</v>
      </c>
      <c r="W1275" s="42" t="s">
        <v>3892</v>
      </c>
    </row>
    <row r="1276" spans="1:23">
      <c r="A1276" s="40">
        <v>766</v>
      </c>
      <c r="B1276" s="41">
        <v>1854022654</v>
      </c>
      <c r="C1276" s="42" t="s">
        <v>8103</v>
      </c>
      <c r="D1276" s="42" t="s">
        <v>765</v>
      </c>
      <c r="E1276" s="43" t="s">
        <v>8796</v>
      </c>
      <c r="F1276" s="42"/>
      <c r="G1276" s="42"/>
      <c r="H1276" s="43"/>
      <c r="I1276" s="42"/>
      <c r="J1276" s="42"/>
      <c r="K1276" s="42"/>
      <c r="L1276" s="42"/>
      <c r="M1276" s="42"/>
      <c r="N1276" s="42"/>
      <c r="O1276" s="42"/>
      <c r="P1276" s="42"/>
      <c r="Q1276" s="42"/>
      <c r="R1276" s="42" t="s">
        <v>8098</v>
      </c>
      <c r="S1276" s="42" t="s">
        <v>8099</v>
      </c>
      <c r="T1276" s="42" t="s">
        <v>5268</v>
      </c>
      <c r="U1276" s="42" t="s">
        <v>7325</v>
      </c>
      <c r="V1276" s="44" t="s">
        <v>3892</v>
      </c>
      <c r="W1276" s="42" t="s">
        <v>3892</v>
      </c>
    </row>
    <row r="1277" spans="1:23">
      <c r="A1277" s="40">
        <v>767</v>
      </c>
      <c r="B1277" s="41">
        <v>1854023265</v>
      </c>
      <c r="C1277" s="42" t="s">
        <v>1383</v>
      </c>
      <c r="D1277" s="42" t="s">
        <v>3892</v>
      </c>
      <c r="E1277" s="43" t="s">
        <v>7273</v>
      </c>
      <c r="F1277" s="42"/>
      <c r="G1277" s="42"/>
      <c r="H1277" s="43"/>
      <c r="I1277" s="42"/>
      <c r="J1277" s="42"/>
      <c r="K1277" s="42"/>
      <c r="L1277" s="42"/>
      <c r="M1277" s="42"/>
      <c r="N1277" s="42"/>
      <c r="O1277" s="42"/>
      <c r="P1277" s="42"/>
      <c r="Q1277" s="42"/>
      <c r="R1277" s="42" t="s">
        <v>8098</v>
      </c>
      <c r="S1277" s="42" t="s">
        <v>8099</v>
      </c>
      <c r="T1277" s="42" t="s">
        <v>5268</v>
      </c>
      <c r="U1277" s="42" t="s">
        <v>7325</v>
      </c>
      <c r="V1277" s="44" t="s">
        <v>3892</v>
      </c>
      <c r="W1277" s="42" t="s">
        <v>3892</v>
      </c>
    </row>
    <row r="1278" spans="1:23">
      <c r="A1278" s="40">
        <v>768</v>
      </c>
      <c r="B1278" s="41">
        <v>1854023195</v>
      </c>
      <c r="C1278" s="42" t="s">
        <v>8104</v>
      </c>
      <c r="D1278" s="42" t="s">
        <v>3892</v>
      </c>
      <c r="E1278" s="43" t="s">
        <v>7273</v>
      </c>
      <c r="F1278" s="42"/>
      <c r="G1278" s="42"/>
      <c r="H1278" s="43"/>
      <c r="I1278" s="42"/>
      <c r="J1278" s="42"/>
      <c r="K1278" s="42"/>
      <c r="L1278" s="42"/>
      <c r="M1278" s="42"/>
      <c r="N1278" s="42"/>
      <c r="O1278" s="42"/>
      <c r="P1278" s="42"/>
      <c r="Q1278" s="42"/>
      <c r="R1278" s="42" t="s">
        <v>8098</v>
      </c>
      <c r="S1278" s="42" t="s">
        <v>8099</v>
      </c>
      <c r="T1278" s="42" t="s">
        <v>5268</v>
      </c>
      <c r="U1278" s="42" t="s">
        <v>7325</v>
      </c>
      <c r="V1278" s="44" t="s">
        <v>3892</v>
      </c>
      <c r="W1278" s="42" t="s">
        <v>7345</v>
      </c>
    </row>
    <row r="1279" spans="1:23">
      <c r="A1279" s="40">
        <v>769</v>
      </c>
      <c r="B1279" s="41">
        <v>1854022883</v>
      </c>
      <c r="C1279" s="42" t="s">
        <v>8105</v>
      </c>
      <c r="D1279" s="42" t="s">
        <v>760</v>
      </c>
      <c r="E1279" s="43" t="s">
        <v>8797</v>
      </c>
      <c r="F1279" s="42"/>
      <c r="G1279" s="42"/>
      <c r="H1279" s="43"/>
      <c r="I1279" s="42"/>
      <c r="J1279" s="42"/>
      <c r="K1279" s="42"/>
      <c r="L1279" s="42"/>
      <c r="M1279" s="42"/>
      <c r="N1279" s="42"/>
      <c r="O1279" s="42"/>
      <c r="P1279" s="42"/>
      <c r="Q1279" s="42"/>
      <c r="R1279" s="42" t="s">
        <v>8098</v>
      </c>
      <c r="S1279" s="42" t="s">
        <v>8099</v>
      </c>
      <c r="T1279" s="42" t="s">
        <v>5268</v>
      </c>
      <c r="U1279" s="42" t="s">
        <v>7325</v>
      </c>
      <c r="V1279" s="44" t="s">
        <v>3892</v>
      </c>
      <c r="W1279" s="42" t="s">
        <v>3892</v>
      </c>
    </row>
    <row r="1280" spans="1:23">
      <c r="A1280" s="40">
        <v>770</v>
      </c>
      <c r="B1280" s="41">
        <v>1854022855</v>
      </c>
      <c r="C1280" s="42" t="s">
        <v>8106</v>
      </c>
      <c r="D1280" s="42" t="s">
        <v>765</v>
      </c>
      <c r="E1280" s="43" t="s">
        <v>8798</v>
      </c>
      <c r="F1280" s="42"/>
      <c r="G1280" s="42"/>
      <c r="H1280" s="43"/>
      <c r="I1280" s="42"/>
      <c r="J1280" s="42"/>
      <c r="K1280" s="42"/>
      <c r="L1280" s="42"/>
      <c r="M1280" s="42"/>
      <c r="N1280" s="42"/>
      <c r="O1280" s="42"/>
      <c r="P1280" s="42"/>
      <c r="Q1280" s="42"/>
      <c r="R1280" s="42" t="s">
        <v>8098</v>
      </c>
      <c r="S1280" s="42" t="s">
        <v>8099</v>
      </c>
      <c r="T1280" s="42" t="s">
        <v>5268</v>
      </c>
      <c r="U1280" s="42" t="s">
        <v>7325</v>
      </c>
      <c r="V1280" s="44" t="s">
        <v>3892</v>
      </c>
      <c r="W1280" s="42" t="s">
        <v>3892</v>
      </c>
    </row>
    <row r="1281" spans="1:23" ht="60">
      <c r="A1281" s="40">
        <v>771</v>
      </c>
      <c r="B1281" s="41">
        <v>1854022797</v>
      </c>
      <c r="C1281" s="42" t="s">
        <v>8107</v>
      </c>
      <c r="D1281" s="42" t="s">
        <v>765</v>
      </c>
      <c r="E1281" s="43" t="s">
        <v>8799</v>
      </c>
      <c r="F1281" s="42"/>
      <c r="G1281" s="42"/>
      <c r="H1281" s="43"/>
      <c r="I1281" s="42"/>
      <c r="J1281" s="42"/>
      <c r="K1281" s="42"/>
      <c r="L1281" s="42"/>
      <c r="M1281" s="42"/>
      <c r="N1281" s="42"/>
      <c r="O1281" s="42"/>
      <c r="P1281" s="42"/>
      <c r="Q1281" s="42"/>
      <c r="R1281" s="42" t="s">
        <v>8098</v>
      </c>
      <c r="S1281" s="42" t="s">
        <v>8099</v>
      </c>
      <c r="T1281" s="42" t="s">
        <v>5268</v>
      </c>
      <c r="U1281" s="42" t="s">
        <v>7325</v>
      </c>
      <c r="V1281" s="44" t="s">
        <v>8108</v>
      </c>
      <c r="W1281" s="42" t="s">
        <v>3905</v>
      </c>
    </row>
    <row r="1282" spans="1:23">
      <c r="A1282" s="40">
        <v>772</v>
      </c>
      <c r="B1282" s="41">
        <v>1854022829</v>
      </c>
      <c r="C1282" s="42" t="s">
        <v>8109</v>
      </c>
      <c r="D1282" s="42" t="s">
        <v>765</v>
      </c>
      <c r="E1282" s="43" t="s">
        <v>8325</v>
      </c>
      <c r="F1282" s="42"/>
      <c r="G1282" s="42"/>
      <c r="H1282" s="43"/>
      <c r="I1282" s="42"/>
      <c r="J1282" s="42"/>
      <c r="K1282" s="42"/>
      <c r="L1282" s="42"/>
      <c r="M1282" s="42"/>
      <c r="N1282" s="42"/>
      <c r="O1282" s="42"/>
      <c r="P1282" s="42"/>
      <c r="Q1282" s="42"/>
      <c r="R1282" s="42" t="s">
        <v>8098</v>
      </c>
      <c r="S1282" s="42" t="s">
        <v>8099</v>
      </c>
      <c r="T1282" s="42" t="s">
        <v>5268</v>
      </c>
      <c r="U1282" s="42" t="s">
        <v>7325</v>
      </c>
      <c r="V1282" s="44" t="s">
        <v>3892</v>
      </c>
      <c r="W1282" s="42" t="s">
        <v>3892</v>
      </c>
    </row>
    <row r="1283" spans="1:23">
      <c r="A1283" s="40">
        <v>773</v>
      </c>
      <c r="B1283" s="41">
        <v>1854022946</v>
      </c>
      <c r="C1283" s="42" t="s">
        <v>8110</v>
      </c>
      <c r="D1283" s="42" t="s">
        <v>765</v>
      </c>
      <c r="E1283" s="43" t="s">
        <v>8412</v>
      </c>
      <c r="F1283" s="42"/>
      <c r="G1283" s="42"/>
      <c r="H1283" s="43"/>
      <c r="I1283" s="42"/>
      <c r="J1283" s="42"/>
      <c r="K1283" s="42"/>
      <c r="L1283" s="42"/>
      <c r="M1283" s="42"/>
      <c r="N1283" s="42"/>
      <c r="O1283" s="42"/>
      <c r="P1283" s="42"/>
      <c r="Q1283" s="42"/>
      <c r="R1283" s="42" t="s">
        <v>8098</v>
      </c>
      <c r="S1283" s="42" t="s">
        <v>8099</v>
      </c>
      <c r="T1283" s="42" t="s">
        <v>5268</v>
      </c>
      <c r="U1283" s="42" t="s">
        <v>7325</v>
      </c>
      <c r="V1283" s="44" t="s">
        <v>3892</v>
      </c>
      <c r="W1283" s="42" t="s">
        <v>3892</v>
      </c>
    </row>
    <row r="1284" spans="1:23">
      <c r="A1284" s="40">
        <v>774</v>
      </c>
      <c r="B1284" s="41">
        <v>1854022915</v>
      </c>
      <c r="C1284" s="42" t="s">
        <v>8111</v>
      </c>
      <c r="D1284" s="42" t="s">
        <v>760</v>
      </c>
      <c r="E1284" s="43" t="s">
        <v>8800</v>
      </c>
      <c r="F1284" s="42"/>
      <c r="G1284" s="42"/>
      <c r="H1284" s="43"/>
      <c r="I1284" s="42"/>
      <c r="J1284" s="42"/>
      <c r="K1284" s="42"/>
      <c r="L1284" s="42"/>
      <c r="M1284" s="42"/>
      <c r="N1284" s="42"/>
      <c r="O1284" s="42"/>
      <c r="P1284" s="42"/>
      <c r="Q1284" s="42"/>
      <c r="R1284" s="42" t="s">
        <v>8098</v>
      </c>
      <c r="S1284" s="42" t="s">
        <v>8099</v>
      </c>
      <c r="T1284" s="42" t="s">
        <v>5268</v>
      </c>
      <c r="U1284" s="42" t="s">
        <v>7325</v>
      </c>
      <c r="V1284" s="44" t="s">
        <v>3892</v>
      </c>
      <c r="W1284" s="42" t="s">
        <v>3892</v>
      </c>
    </row>
    <row r="1285" spans="1:23">
      <c r="A1285" s="40">
        <v>775</v>
      </c>
      <c r="B1285" s="41">
        <v>1854022768</v>
      </c>
      <c r="C1285" s="42" t="s">
        <v>8112</v>
      </c>
      <c r="D1285" s="42" t="s">
        <v>760</v>
      </c>
      <c r="E1285" s="43" t="s">
        <v>8801</v>
      </c>
      <c r="F1285" s="42"/>
      <c r="G1285" s="42"/>
      <c r="H1285" s="43"/>
      <c r="I1285" s="42"/>
      <c r="J1285" s="42"/>
      <c r="K1285" s="42"/>
      <c r="L1285" s="42"/>
      <c r="M1285" s="42"/>
      <c r="N1285" s="42"/>
      <c r="O1285" s="42"/>
      <c r="P1285" s="42"/>
      <c r="Q1285" s="42"/>
      <c r="R1285" s="42" t="s">
        <v>8098</v>
      </c>
      <c r="S1285" s="42" t="s">
        <v>8099</v>
      </c>
      <c r="T1285" s="42" t="s">
        <v>5268</v>
      </c>
      <c r="U1285" s="42" t="s">
        <v>7325</v>
      </c>
      <c r="V1285" s="44" t="s">
        <v>3892</v>
      </c>
      <c r="W1285" s="42" t="s">
        <v>3892</v>
      </c>
    </row>
    <row r="1286" spans="1:23">
      <c r="A1286" s="40">
        <v>776</v>
      </c>
      <c r="B1286" s="41">
        <v>1854022685</v>
      </c>
      <c r="C1286" s="42" t="s">
        <v>8113</v>
      </c>
      <c r="D1286" s="42" t="s">
        <v>765</v>
      </c>
      <c r="E1286" s="43" t="s">
        <v>8408</v>
      </c>
      <c r="F1286" s="42"/>
      <c r="G1286" s="42"/>
      <c r="H1286" s="43"/>
      <c r="I1286" s="42"/>
      <c r="J1286" s="42"/>
      <c r="K1286" s="42"/>
      <c r="L1286" s="42"/>
      <c r="M1286" s="42"/>
      <c r="N1286" s="42"/>
      <c r="O1286" s="42"/>
      <c r="P1286" s="42"/>
      <c r="Q1286" s="42"/>
      <c r="R1286" s="42" t="s">
        <v>8098</v>
      </c>
      <c r="S1286" s="42" t="s">
        <v>8099</v>
      </c>
      <c r="T1286" s="42" t="s">
        <v>5268</v>
      </c>
      <c r="U1286" s="42" t="s">
        <v>7325</v>
      </c>
      <c r="V1286" s="44" t="s">
        <v>3892</v>
      </c>
      <c r="W1286" s="42" t="s">
        <v>3892</v>
      </c>
    </row>
    <row r="1287" spans="1:23">
      <c r="A1287" s="40">
        <v>777</v>
      </c>
      <c r="B1287" s="41">
        <v>1854022999</v>
      </c>
      <c r="C1287" s="42" t="s">
        <v>8114</v>
      </c>
      <c r="D1287" s="42" t="s">
        <v>765</v>
      </c>
      <c r="E1287" s="43" t="s">
        <v>8802</v>
      </c>
      <c r="F1287" s="42"/>
      <c r="G1287" s="42"/>
      <c r="H1287" s="43"/>
      <c r="I1287" s="42"/>
      <c r="J1287" s="42"/>
      <c r="K1287" s="42"/>
      <c r="L1287" s="42"/>
      <c r="M1287" s="42"/>
      <c r="N1287" s="42"/>
      <c r="O1287" s="42"/>
      <c r="P1287" s="42"/>
      <c r="Q1287" s="42"/>
      <c r="R1287" s="42" t="s">
        <v>8098</v>
      </c>
      <c r="S1287" s="42" t="s">
        <v>8099</v>
      </c>
      <c r="T1287" s="42" t="s">
        <v>5268</v>
      </c>
      <c r="U1287" s="42" t="s">
        <v>7325</v>
      </c>
      <c r="V1287" s="44" t="s">
        <v>3892</v>
      </c>
      <c r="W1287" s="42" t="s">
        <v>3892</v>
      </c>
    </row>
    <row r="1288" spans="1:23">
      <c r="A1288" s="40">
        <v>778</v>
      </c>
      <c r="B1288" s="41">
        <v>1854023120</v>
      </c>
      <c r="C1288" s="42" t="s">
        <v>8115</v>
      </c>
      <c r="D1288" s="42" t="s">
        <v>760</v>
      </c>
      <c r="E1288" s="43" t="s">
        <v>8803</v>
      </c>
      <c r="F1288" s="42"/>
      <c r="G1288" s="42"/>
      <c r="H1288" s="43"/>
      <c r="I1288" s="42"/>
      <c r="J1288" s="42"/>
      <c r="K1288" s="42"/>
      <c r="L1288" s="42"/>
      <c r="M1288" s="42"/>
      <c r="N1288" s="42"/>
      <c r="O1288" s="42"/>
      <c r="P1288" s="42"/>
      <c r="Q1288" s="42"/>
      <c r="R1288" s="42" t="s">
        <v>8098</v>
      </c>
      <c r="S1288" s="42" t="s">
        <v>8099</v>
      </c>
      <c r="T1288" s="42" t="s">
        <v>5268</v>
      </c>
      <c r="U1288" s="42" t="s">
        <v>7325</v>
      </c>
      <c r="V1288" s="44" t="s">
        <v>3892</v>
      </c>
      <c r="W1288" s="42" t="s">
        <v>3892</v>
      </c>
    </row>
    <row r="1289" spans="1:23" ht="60">
      <c r="A1289" s="40">
        <v>779</v>
      </c>
      <c r="B1289" s="41">
        <v>1854022843</v>
      </c>
      <c r="C1289" s="42" t="s">
        <v>8116</v>
      </c>
      <c r="D1289" s="42" t="s">
        <v>760</v>
      </c>
      <c r="E1289" s="43" t="s">
        <v>8804</v>
      </c>
      <c r="F1289" s="42"/>
      <c r="G1289" s="42"/>
      <c r="H1289" s="43"/>
      <c r="I1289" s="42"/>
      <c r="J1289" s="42"/>
      <c r="K1289" s="42"/>
      <c r="L1289" s="42"/>
      <c r="M1289" s="42"/>
      <c r="N1289" s="42"/>
      <c r="O1289" s="42"/>
      <c r="P1289" s="42"/>
      <c r="Q1289" s="42"/>
      <c r="R1289" s="42" t="s">
        <v>8098</v>
      </c>
      <c r="S1289" s="42" t="s">
        <v>8099</v>
      </c>
      <c r="T1289" s="42" t="s">
        <v>5268</v>
      </c>
      <c r="U1289" s="42" t="s">
        <v>7325</v>
      </c>
      <c r="V1289" s="44" t="s">
        <v>8117</v>
      </c>
      <c r="W1289" s="42" t="s">
        <v>3905</v>
      </c>
    </row>
    <row r="1290" spans="1:23">
      <c r="A1290" s="40">
        <v>780</v>
      </c>
      <c r="B1290" s="41">
        <v>1854023092</v>
      </c>
      <c r="C1290" s="42" t="s">
        <v>8118</v>
      </c>
      <c r="D1290" s="42" t="s">
        <v>765</v>
      </c>
      <c r="E1290" s="43" t="s">
        <v>8805</v>
      </c>
      <c r="F1290" s="42"/>
      <c r="G1290" s="42"/>
      <c r="H1290" s="43"/>
      <c r="I1290" s="42"/>
      <c r="J1290" s="42"/>
      <c r="K1290" s="42"/>
      <c r="L1290" s="42"/>
      <c r="M1290" s="42"/>
      <c r="N1290" s="42"/>
      <c r="O1290" s="42"/>
      <c r="P1290" s="42"/>
      <c r="Q1290" s="42"/>
      <c r="R1290" s="42" t="s">
        <v>8098</v>
      </c>
      <c r="S1290" s="42" t="s">
        <v>8099</v>
      </c>
      <c r="T1290" s="42" t="s">
        <v>5268</v>
      </c>
      <c r="U1290" s="42" t="s">
        <v>7325</v>
      </c>
      <c r="V1290" s="44" t="s">
        <v>3892</v>
      </c>
      <c r="W1290" s="42" t="s">
        <v>3892</v>
      </c>
    </row>
    <row r="1291" spans="1:23">
      <c r="A1291" s="40">
        <v>781</v>
      </c>
      <c r="B1291" s="41">
        <v>1854022909</v>
      </c>
      <c r="C1291" s="42" t="s">
        <v>8119</v>
      </c>
      <c r="D1291" s="42" t="s">
        <v>760</v>
      </c>
      <c r="E1291" s="43" t="s">
        <v>8806</v>
      </c>
      <c r="F1291" s="42"/>
      <c r="G1291" s="42"/>
      <c r="H1291" s="43"/>
      <c r="I1291" s="42"/>
      <c r="J1291" s="42"/>
      <c r="K1291" s="42"/>
      <c r="L1291" s="42"/>
      <c r="M1291" s="42"/>
      <c r="N1291" s="42"/>
      <c r="O1291" s="42"/>
      <c r="P1291" s="42"/>
      <c r="Q1291" s="42"/>
      <c r="R1291" s="42" t="s">
        <v>8098</v>
      </c>
      <c r="S1291" s="42" t="s">
        <v>8099</v>
      </c>
      <c r="T1291" s="42" t="s">
        <v>5268</v>
      </c>
      <c r="U1291" s="42" t="s">
        <v>7325</v>
      </c>
      <c r="V1291" s="44" t="s">
        <v>3892</v>
      </c>
      <c r="W1291" s="42" t="s">
        <v>3892</v>
      </c>
    </row>
    <row r="1292" spans="1:23">
      <c r="A1292" s="40">
        <v>782</v>
      </c>
      <c r="B1292" s="41">
        <v>1854023221</v>
      </c>
      <c r="C1292" s="42" t="s">
        <v>8120</v>
      </c>
      <c r="D1292" s="42" t="s">
        <v>760</v>
      </c>
      <c r="E1292" s="43" t="s">
        <v>8807</v>
      </c>
      <c r="F1292" s="42"/>
      <c r="G1292" s="42"/>
      <c r="H1292" s="43"/>
      <c r="I1292" s="42"/>
      <c r="J1292" s="42"/>
      <c r="K1292" s="42"/>
      <c r="L1292" s="42"/>
      <c r="M1292" s="42"/>
      <c r="N1292" s="42"/>
      <c r="O1292" s="42"/>
      <c r="P1292" s="42"/>
      <c r="Q1292" s="42"/>
      <c r="R1292" s="42" t="s">
        <v>8098</v>
      </c>
      <c r="S1292" s="42" t="s">
        <v>8099</v>
      </c>
      <c r="T1292" s="42" t="s">
        <v>5268</v>
      </c>
      <c r="U1292" s="42" t="s">
        <v>7325</v>
      </c>
      <c r="V1292" s="44" t="s">
        <v>3892</v>
      </c>
      <c r="W1292" s="42" t="s">
        <v>3892</v>
      </c>
    </row>
    <row r="1293" spans="1:23">
      <c r="A1293" s="40">
        <v>783</v>
      </c>
      <c r="B1293" s="41">
        <v>1854023012</v>
      </c>
      <c r="C1293" s="42" t="s">
        <v>8121</v>
      </c>
      <c r="D1293" s="42" t="s">
        <v>765</v>
      </c>
      <c r="E1293" s="43" t="s">
        <v>8314</v>
      </c>
      <c r="F1293" s="42"/>
      <c r="G1293" s="42"/>
      <c r="H1293" s="43"/>
      <c r="I1293" s="42"/>
      <c r="J1293" s="42"/>
      <c r="K1293" s="42"/>
      <c r="L1293" s="42"/>
      <c r="M1293" s="42"/>
      <c r="N1293" s="42"/>
      <c r="O1293" s="42"/>
      <c r="P1293" s="42"/>
      <c r="Q1293" s="42"/>
      <c r="R1293" s="42" t="s">
        <v>8098</v>
      </c>
      <c r="S1293" s="42" t="s">
        <v>8099</v>
      </c>
      <c r="T1293" s="42" t="s">
        <v>5268</v>
      </c>
      <c r="U1293" s="42" t="s">
        <v>7325</v>
      </c>
      <c r="V1293" s="44" t="s">
        <v>3892</v>
      </c>
      <c r="W1293" s="42" t="s">
        <v>3892</v>
      </c>
    </row>
    <row r="1294" spans="1:23">
      <c r="A1294" s="40">
        <v>784</v>
      </c>
      <c r="B1294" s="41">
        <v>1854023001</v>
      </c>
      <c r="C1294" s="42" t="s">
        <v>8122</v>
      </c>
      <c r="D1294" s="42" t="s">
        <v>760</v>
      </c>
      <c r="E1294" s="43" t="s">
        <v>8808</v>
      </c>
      <c r="F1294" s="42"/>
      <c r="G1294" s="42"/>
      <c r="H1294" s="43"/>
      <c r="I1294" s="42"/>
      <c r="J1294" s="42"/>
      <c r="K1294" s="42"/>
      <c r="L1294" s="42"/>
      <c r="M1294" s="42"/>
      <c r="N1294" s="42"/>
      <c r="O1294" s="42"/>
      <c r="P1294" s="42"/>
      <c r="Q1294" s="42"/>
      <c r="R1294" s="42" t="s">
        <v>8098</v>
      </c>
      <c r="S1294" s="42" t="s">
        <v>8099</v>
      </c>
      <c r="T1294" s="42" t="s">
        <v>5268</v>
      </c>
      <c r="U1294" s="42" t="s">
        <v>7325</v>
      </c>
      <c r="V1294" s="44" t="s">
        <v>3892</v>
      </c>
      <c r="W1294" s="42" t="s">
        <v>3892</v>
      </c>
    </row>
    <row r="1295" spans="1:23">
      <c r="A1295" s="40">
        <v>785</v>
      </c>
      <c r="B1295" s="41">
        <v>1854033135</v>
      </c>
      <c r="C1295" s="42" t="s">
        <v>8123</v>
      </c>
      <c r="D1295" s="42" t="s">
        <v>3892</v>
      </c>
      <c r="E1295" s="43" t="s">
        <v>7273</v>
      </c>
      <c r="F1295" s="42"/>
      <c r="G1295" s="42"/>
      <c r="H1295" s="43"/>
      <c r="I1295" s="42"/>
      <c r="J1295" s="42"/>
      <c r="K1295" s="42"/>
      <c r="L1295" s="42"/>
      <c r="M1295" s="42"/>
      <c r="N1295" s="42"/>
      <c r="O1295" s="42"/>
      <c r="P1295" s="42"/>
      <c r="Q1295" s="42"/>
      <c r="R1295" s="42" t="s">
        <v>8098</v>
      </c>
      <c r="S1295" s="42" t="s">
        <v>8099</v>
      </c>
      <c r="T1295" s="42" t="s">
        <v>5268</v>
      </c>
      <c r="U1295" s="42" t="s">
        <v>7325</v>
      </c>
      <c r="V1295" s="44" t="s">
        <v>3892</v>
      </c>
      <c r="W1295" s="42" t="s">
        <v>3892</v>
      </c>
    </row>
    <row r="1296" spans="1:23">
      <c r="A1296" s="40">
        <v>786</v>
      </c>
      <c r="B1296" s="41">
        <v>1854023108</v>
      </c>
      <c r="C1296" s="42" t="s">
        <v>8124</v>
      </c>
      <c r="D1296" s="42" t="s">
        <v>3892</v>
      </c>
      <c r="E1296" s="43" t="s">
        <v>7273</v>
      </c>
      <c r="F1296" s="42"/>
      <c r="G1296" s="42"/>
      <c r="H1296" s="43"/>
      <c r="I1296" s="42"/>
      <c r="J1296" s="42"/>
      <c r="K1296" s="42"/>
      <c r="L1296" s="42"/>
      <c r="M1296" s="42"/>
      <c r="N1296" s="42"/>
      <c r="O1296" s="42"/>
      <c r="P1296" s="42"/>
      <c r="Q1296" s="42"/>
      <c r="R1296" s="42" t="s">
        <v>8098</v>
      </c>
      <c r="S1296" s="42" t="s">
        <v>8099</v>
      </c>
      <c r="T1296" s="42" t="s">
        <v>5268</v>
      </c>
      <c r="U1296" s="42" t="s">
        <v>7325</v>
      </c>
      <c r="V1296" s="44" t="s">
        <v>3892</v>
      </c>
      <c r="W1296" s="42" t="s">
        <v>3892</v>
      </c>
    </row>
    <row r="1297" spans="1:23">
      <c r="A1297" s="40">
        <v>787</v>
      </c>
      <c r="B1297" s="41">
        <v>1854022739</v>
      </c>
      <c r="C1297" s="42" t="s">
        <v>8125</v>
      </c>
      <c r="D1297" s="42" t="s">
        <v>765</v>
      </c>
      <c r="E1297" s="43" t="s">
        <v>8809</v>
      </c>
      <c r="F1297" s="42"/>
      <c r="G1297" s="42"/>
      <c r="H1297" s="43"/>
      <c r="I1297" s="42"/>
      <c r="J1297" s="42"/>
      <c r="K1297" s="42"/>
      <c r="L1297" s="42"/>
      <c r="M1297" s="42"/>
      <c r="N1297" s="42"/>
      <c r="O1297" s="42"/>
      <c r="P1297" s="42"/>
      <c r="Q1297" s="42"/>
      <c r="R1297" s="42" t="s">
        <v>8098</v>
      </c>
      <c r="S1297" s="42" t="s">
        <v>8099</v>
      </c>
      <c r="T1297" s="42" t="s">
        <v>5268</v>
      </c>
      <c r="U1297" s="42" t="s">
        <v>7325</v>
      </c>
      <c r="V1297" s="44" t="s">
        <v>3892</v>
      </c>
      <c r="W1297" s="42" t="s">
        <v>3892</v>
      </c>
    </row>
    <row r="1298" spans="1:23">
      <c r="A1298" s="40">
        <v>788</v>
      </c>
      <c r="B1298" s="41">
        <v>1854022659</v>
      </c>
      <c r="C1298" s="42" t="s">
        <v>8126</v>
      </c>
      <c r="D1298" s="42" t="s">
        <v>3892</v>
      </c>
      <c r="E1298" s="43" t="s">
        <v>7273</v>
      </c>
      <c r="F1298" s="42"/>
      <c r="G1298" s="42"/>
      <c r="H1298" s="43"/>
      <c r="I1298" s="42"/>
      <c r="J1298" s="42"/>
      <c r="K1298" s="42"/>
      <c r="L1298" s="42"/>
      <c r="M1298" s="42"/>
      <c r="N1298" s="42"/>
      <c r="O1298" s="42"/>
      <c r="P1298" s="42"/>
      <c r="Q1298" s="42"/>
      <c r="R1298" s="42" t="s">
        <v>8098</v>
      </c>
      <c r="S1298" s="42" t="s">
        <v>8099</v>
      </c>
      <c r="T1298" s="42" t="s">
        <v>5268</v>
      </c>
      <c r="U1298" s="42" t="s">
        <v>7325</v>
      </c>
      <c r="V1298" s="44" t="s">
        <v>3892</v>
      </c>
      <c r="W1298" s="42" t="s">
        <v>3892</v>
      </c>
    </row>
    <row r="1299" spans="1:23">
      <c r="A1299" s="40">
        <v>789</v>
      </c>
      <c r="B1299" s="41">
        <v>1854022874</v>
      </c>
      <c r="C1299" s="42" t="s">
        <v>8127</v>
      </c>
      <c r="D1299" s="42" t="s">
        <v>765</v>
      </c>
      <c r="E1299" s="43" t="s">
        <v>8769</v>
      </c>
      <c r="F1299" s="42"/>
      <c r="G1299" s="42"/>
      <c r="H1299" s="43"/>
      <c r="I1299" s="42"/>
      <c r="J1299" s="42"/>
      <c r="K1299" s="42"/>
      <c r="L1299" s="42"/>
      <c r="M1299" s="42"/>
      <c r="N1299" s="42"/>
      <c r="O1299" s="42"/>
      <c r="P1299" s="42"/>
      <c r="Q1299" s="42"/>
      <c r="R1299" s="42" t="s">
        <v>8098</v>
      </c>
      <c r="S1299" s="42" t="s">
        <v>8099</v>
      </c>
      <c r="T1299" s="42" t="s">
        <v>5268</v>
      </c>
      <c r="U1299" s="42" t="s">
        <v>7325</v>
      </c>
      <c r="V1299" s="44" t="s">
        <v>3892</v>
      </c>
      <c r="W1299" s="42" t="s">
        <v>3892</v>
      </c>
    </row>
    <row r="1300" spans="1:23">
      <c r="A1300" s="40">
        <v>790</v>
      </c>
      <c r="B1300" s="41">
        <v>1854022800</v>
      </c>
      <c r="C1300" s="42" t="s">
        <v>8128</v>
      </c>
      <c r="D1300" s="42" t="s">
        <v>765</v>
      </c>
      <c r="E1300" s="43" t="s">
        <v>8810</v>
      </c>
      <c r="F1300" s="42"/>
      <c r="G1300" s="42"/>
      <c r="H1300" s="43"/>
      <c r="I1300" s="42"/>
      <c r="J1300" s="42"/>
      <c r="K1300" s="42"/>
      <c r="L1300" s="42"/>
      <c r="M1300" s="42"/>
      <c r="N1300" s="42"/>
      <c r="O1300" s="42"/>
      <c r="P1300" s="42"/>
      <c r="Q1300" s="42"/>
      <c r="R1300" s="42" t="s">
        <v>8098</v>
      </c>
      <c r="S1300" s="42" t="s">
        <v>8099</v>
      </c>
      <c r="T1300" s="42" t="s">
        <v>5268</v>
      </c>
      <c r="U1300" s="42" t="s">
        <v>7325</v>
      </c>
      <c r="V1300" s="44" t="s">
        <v>3892</v>
      </c>
      <c r="W1300" s="42" t="s">
        <v>3892</v>
      </c>
    </row>
    <row r="1301" spans="1:23">
      <c r="A1301" s="40">
        <v>791</v>
      </c>
      <c r="B1301" s="41">
        <v>1854022840</v>
      </c>
      <c r="C1301" s="42" t="s">
        <v>8129</v>
      </c>
      <c r="D1301" s="42" t="s">
        <v>765</v>
      </c>
      <c r="E1301" s="43" t="s">
        <v>8811</v>
      </c>
      <c r="F1301" s="42"/>
      <c r="G1301" s="42"/>
      <c r="H1301" s="43"/>
      <c r="I1301" s="42"/>
      <c r="J1301" s="42"/>
      <c r="K1301" s="42"/>
      <c r="L1301" s="42"/>
      <c r="M1301" s="42"/>
      <c r="N1301" s="42"/>
      <c r="O1301" s="42"/>
      <c r="P1301" s="42"/>
      <c r="Q1301" s="42"/>
      <c r="R1301" s="42" t="s">
        <v>8098</v>
      </c>
      <c r="S1301" s="42" t="s">
        <v>8099</v>
      </c>
      <c r="T1301" s="42" t="s">
        <v>5268</v>
      </c>
      <c r="U1301" s="42" t="s">
        <v>7325</v>
      </c>
      <c r="V1301" s="44" t="s">
        <v>3892</v>
      </c>
      <c r="W1301" s="42" t="s">
        <v>3892</v>
      </c>
    </row>
    <row r="1302" spans="1:23">
      <c r="A1302" s="40">
        <v>792</v>
      </c>
      <c r="B1302" s="41">
        <v>1854022682</v>
      </c>
      <c r="C1302" s="42" t="s">
        <v>8130</v>
      </c>
      <c r="D1302" s="42" t="s">
        <v>765</v>
      </c>
      <c r="E1302" s="43" t="s">
        <v>8812</v>
      </c>
      <c r="F1302" s="42"/>
      <c r="G1302" s="42"/>
      <c r="H1302" s="43"/>
      <c r="I1302" s="42"/>
      <c r="J1302" s="42"/>
      <c r="K1302" s="42"/>
      <c r="L1302" s="42"/>
      <c r="M1302" s="42"/>
      <c r="N1302" s="42"/>
      <c r="O1302" s="42"/>
      <c r="P1302" s="42"/>
      <c r="Q1302" s="42"/>
      <c r="R1302" s="42" t="s">
        <v>8098</v>
      </c>
      <c r="S1302" s="42" t="s">
        <v>8099</v>
      </c>
      <c r="T1302" s="42" t="s">
        <v>5268</v>
      </c>
      <c r="U1302" s="42" t="s">
        <v>7325</v>
      </c>
      <c r="V1302" s="44" t="s">
        <v>3892</v>
      </c>
      <c r="W1302" s="42" t="s">
        <v>3892</v>
      </c>
    </row>
    <row r="1303" spans="1:23">
      <c r="A1303" s="40">
        <v>793</v>
      </c>
      <c r="B1303" s="41">
        <v>1854022775</v>
      </c>
      <c r="C1303" s="42" t="s">
        <v>8131</v>
      </c>
      <c r="D1303" s="42" t="s">
        <v>765</v>
      </c>
      <c r="E1303" s="43" t="s">
        <v>8813</v>
      </c>
      <c r="F1303" s="42"/>
      <c r="G1303" s="42"/>
      <c r="H1303" s="43"/>
      <c r="I1303" s="42"/>
      <c r="J1303" s="42"/>
      <c r="K1303" s="42"/>
      <c r="L1303" s="42"/>
      <c r="M1303" s="42"/>
      <c r="N1303" s="42"/>
      <c r="O1303" s="42"/>
      <c r="P1303" s="42"/>
      <c r="Q1303" s="42"/>
      <c r="R1303" s="42" t="s">
        <v>8098</v>
      </c>
      <c r="S1303" s="42" t="s">
        <v>8099</v>
      </c>
      <c r="T1303" s="42" t="s">
        <v>5268</v>
      </c>
      <c r="U1303" s="42" t="s">
        <v>7325</v>
      </c>
      <c r="V1303" s="44" t="s">
        <v>3892</v>
      </c>
      <c r="W1303" s="42" t="s">
        <v>3892</v>
      </c>
    </row>
    <row r="1304" spans="1:23">
      <c r="A1304" s="40">
        <v>794</v>
      </c>
      <c r="B1304" s="41">
        <v>1854022711</v>
      </c>
      <c r="C1304" s="42" t="s">
        <v>8132</v>
      </c>
      <c r="D1304" s="42" t="s">
        <v>3892</v>
      </c>
      <c r="E1304" s="43" t="s">
        <v>7273</v>
      </c>
      <c r="F1304" s="42"/>
      <c r="G1304" s="42"/>
      <c r="H1304" s="43"/>
      <c r="I1304" s="42"/>
      <c r="J1304" s="42"/>
      <c r="K1304" s="42"/>
      <c r="L1304" s="42"/>
      <c r="M1304" s="42"/>
      <c r="N1304" s="42"/>
      <c r="O1304" s="42"/>
      <c r="P1304" s="42"/>
      <c r="Q1304" s="42"/>
      <c r="R1304" s="42" t="s">
        <v>8098</v>
      </c>
      <c r="S1304" s="42" t="s">
        <v>8099</v>
      </c>
      <c r="T1304" s="42" t="s">
        <v>5268</v>
      </c>
      <c r="U1304" s="42" t="s">
        <v>7325</v>
      </c>
      <c r="V1304" s="44" t="s">
        <v>3892</v>
      </c>
      <c r="W1304" s="42" t="s">
        <v>3892</v>
      </c>
    </row>
    <row r="1305" spans="1:23">
      <c r="A1305" s="40">
        <v>795</v>
      </c>
      <c r="B1305" s="41">
        <v>1854023268</v>
      </c>
      <c r="C1305" s="42" t="s">
        <v>8133</v>
      </c>
      <c r="D1305" s="42" t="s">
        <v>765</v>
      </c>
      <c r="E1305" s="43" t="s">
        <v>8814</v>
      </c>
      <c r="F1305" s="42"/>
      <c r="G1305" s="42"/>
      <c r="H1305" s="43"/>
      <c r="I1305" s="42"/>
      <c r="J1305" s="42"/>
      <c r="K1305" s="42"/>
      <c r="L1305" s="42"/>
      <c r="M1305" s="42"/>
      <c r="N1305" s="42"/>
      <c r="O1305" s="42"/>
      <c r="P1305" s="42"/>
      <c r="Q1305" s="42"/>
      <c r="R1305" s="42" t="s">
        <v>8098</v>
      </c>
      <c r="S1305" s="42" t="s">
        <v>8099</v>
      </c>
      <c r="T1305" s="42" t="s">
        <v>5268</v>
      </c>
      <c r="U1305" s="42" t="s">
        <v>7325</v>
      </c>
      <c r="V1305" s="44" t="s">
        <v>3892</v>
      </c>
      <c r="W1305" s="42" t="s">
        <v>3892</v>
      </c>
    </row>
    <row r="1306" spans="1:23">
      <c r="A1306" s="40">
        <v>796</v>
      </c>
      <c r="B1306" s="41">
        <v>1854022849</v>
      </c>
      <c r="C1306" s="42" t="s">
        <v>8134</v>
      </c>
      <c r="D1306" s="42" t="s">
        <v>765</v>
      </c>
      <c r="E1306" s="43" t="s">
        <v>8815</v>
      </c>
      <c r="F1306" s="42"/>
      <c r="G1306" s="42"/>
      <c r="H1306" s="43"/>
      <c r="I1306" s="42"/>
      <c r="J1306" s="42"/>
      <c r="K1306" s="42"/>
      <c r="L1306" s="42"/>
      <c r="M1306" s="42"/>
      <c r="N1306" s="42"/>
      <c r="O1306" s="42"/>
      <c r="P1306" s="42"/>
      <c r="Q1306" s="42"/>
      <c r="R1306" s="42" t="s">
        <v>8098</v>
      </c>
      <c r="S1306" s="42" t="s">
        <v>8099</v>
      </c>
      <c r="T1306" s="42" t="s">
        <v>5268</v>
      </c>
      <c r="U1306" s="42" t="s">
        <v>7325</v>
      </c>
      <c r="V1306" s="44" t="s">
        <v>3892</v>
      </c>
      <c r="W1306" s="42" t="s">
        <v>3892</v>
      </c>
    </row>
    <row r="1307" spans="1:23">
      <c r="A1307" s="40">
        <v>797</v>
      </c>
      <c r="B1307" s="41">
        <v>1854022788</v>
      </c>
      <c r="C1307" s="42" t="s">
        <v>8135</v>
      </c>
      <c r="D1307" s="42" t="s">
        <v>765</v>
      </c>
      <c r="E1307" s="43" t="s">
        <v>8816</v>
      </c>
      <c r="F1307" s="42"/>
      <c r="G1307" s="42"/>
      <c r="H1307" s="43"/>
      <c r="I1307" s="42"/>
      <c r="J1307" s="42"/>
      <c r="K1307" s="42"/>
      <c r="L1307" s="42"/>
      <c r="M1307" s="42"/>
      <c r="N1307" s="42"/>
      <c r="O1307" s="42"/>
      <c r="P1307" s="42"/>
      <c r="Q1307" s="42"/>
      <c r="R1307" s="42" t="s">
        <v>8098</v>
      </c>
      <c r="S1307" s="42" t="s">
        <v>8099</v>
      </c>
      <c r="T1307" s="42" t="s">
        <v>5268</v>
      </c>
      <c r="U1307" s="42" t="s">
        <v>7325</v>
      </c>
      <c r="V1307" s="44" t="s">
        <v>3892</v>
      </c>
      <c r="W1307" s="42" t="s">
        <v>3892</v>
      </c>
    </row>
    <row r="1308" spans="1:23">
      <c r="A1308" s="40">
        <v>798</v>
      </c>
      <c r="B1308" s="41">
        <v>1851062747</v>
      </c>
      <c r="C1308" s="42" t="s">
        <v>8136</v>
      </c>
      <c r="D1308" s="42" t="s">
        <v>3892</v>
      </c>
      <c r="E1308" s="43" t="s">
        <v>7273</v>
      </c>
      <c r="F1308" s="42"/>
      <c r="G1308" s="42"/>
      <c r="H1308" s="43"/>
      <c r="I1308" s="42"/>
      <c r="J1308" s="42"/>
      <c r="K1308" s="42"/>
      <c r="L1308" s="42"/>
      <c r="M1308" s="42"/>
      <c r="N1308" s="42"/>
      <c r="O1308" s="42"/>
      <c r="P1308" s="42"/>
      <c r="Q1308" s="42"/>
      <c r="R1308" s="42" t="s">
        <v>8098</v>
      </c>
      <c r="S1308" s="42" t="s">
        <v>8099</v>
      </c>
      <c r="T1308" s="42" t="s">
        <v>5268</v>
      </c>
      <c r="U1308" s="42" t="s">
        <v>7325</v>
      </c>
      <c r="V1308" s="44" t="s">
        <v>3892</v>
      </c>
      <c r="W1308" s="42" t="s">
        <v>3892</v>
      </c>
    </row>
    <row r="1309" spans="1:23">
      <c r="A1309" s="40">
        <v>799</v>
      </c>
      <c r="B1309" s="41">
        <v>1854022681</v>
      </c>
      <c r="C1309" s="42" t="s">
        <v>8137</v>
      </c>
      <c r="D1309" s="42" t="s">
        <v>3892</v>
      </c>
      <c r="E1309" s="43" t="s">
        <v>7273</v>
      </c>
      <c r="F1309" s="42"/>
      <c r="G1309" s="42"/>
      <c r="H1309" s="43"/>
      <c r="I1309" s="42"/>
      <c r="J1309" s="42"/>
      <c r="K1309" s="42"/>
      <c r="L1309" s="42"/>
      <c r="M1309" s="42"/>
      <c r="N1309" s="42"/>
      <c r="O1309" s="42"/>
      <c r="P1309" s="42"/>
      <c r="Q1309" s="42"/>
      <c r="R1309" s="42" t="s">
        <v>8098</v>
      </c>
      <c r="S1309" s="42" t="s">
        <v>8099</v>
      </c>
      <c r="T1309" s="42" t="s">
        <v>5268</v>
      </c>
      <c r="U1309" s="42" t="s">
        <v>7325</v>
      </c>
      <c r="V1309" s="44" t="s">
        <v>3892</v>
      </c>
      <c r="W1309" s="42" t="s">
        <v>3892</v>
      </c>
    </row>
    <row r="1310" spans="1:23">
      <c r="A1310" s="40">
        <v>800</v>
      </c>
      <c r="B1310" s="41">
        <v>1854023097</v>
      </c>
      <c r="C1310" s="42" t="s">
        <v>8138</v>
      </c>
      <c r="D1310" s="42" t="s">
        <v>765</v>
      </c>
      <c r="E1310" s="43" t="s">
        <v>8817</v>
      </c>
      <c r="F1310" s="42"/>
      <c r="G1310" s="42"/>
      <c r="H1310" s="43"/>
      <c r="I1310" s="42"/>
      <c r="J1310" s="42"/>
      <c r="K1310" s="42"/>
      <c r="L1310" s="42"/>
      <c r="M1310" s="42"/>
      <c r="N1310" s="42"/>
      <c r="O1310" s="42"/>
      <c r="P1310" s="42"/>
      <c r="Q1310" s="42"/>
      <c r="R1310" s="42" t="s">
        <v>8098</v>
      </c>
      <c r="S1310" s="42" t="s">
        <v>8099</v>
      </c>
      <c r="T1310" s="42" t="s">
        <v>5268</v>
      </c>
      <c r="U1310" s="42" t="s">
        <v>7325</v>
      </c>
      <c r="V1310" s="44" t="s">
        <v>3892</v>
      </c>
      <c r="W1310" s="42" t="s">
        <v>3892</v>
      </c>
    </row>
    <row r="1311" spans="1:23">
      <c r="A1311" s="40">
        <v>801</v>
      </c>
      <c r="B1311" s="41">
        <v>1854023122</v>
      </c>
      <c r="C1311" s="42" t="s">
        <v>8139</v>
      </c>
      <c r="D1311" s="42" t="s">
        <v>765</v>
      </c>
      <c r="E1311" s="43" t="s">
        <v>8818</v>
      </c>
      <c r="F1311" s="42"/>
      <c r="G1311" s="42"/>
      <c r="H1311" s="43"/>
      <c r="I1311" s="42"/>
      <c r="J1311" s="42"/>
      <c r="K1311" s="42"/>
      <c r="L1311" s="42"/>
      <c r="M1311" s="42"/>
      <c r="N1311" s="42"/>
      <c r="O1311" s="42"/>
      <c r="P1311" s="42"/>
      <c r="Q1311" s="42"/>
      <c r="R1311" s="42" t="s">
        <v>8098</v>
      </c>
      <c r="S1311" s="42" t="s">
        <v>8099</v>
      </c>
      <c r="T1311" s="42" t="s">
        <v>5268</v>
      </c>
      <c r="U1311" s="42" t="s">
        <v>7325</v>
      </c>
      <c r="V1311" s="44" t="s">
        <v>3892</v>
      </c>
      <c r="W1311" s="42" t="s">
        <v>3892</v>
      </c>
    </row>
    <row r="1312" spans="1:23">
      <c r="A1312" s="40">
        <v>802</v>
      </c>
      <c r="B1312" s="41">
        <v>1854022889</v>
      </c>
      <c r="C1312" s="42" t="s">
        <v>8140</v>
      </c>
      <c r="D1312" s="42" t="s">
        <v>3892</v>
      </c>
      <c r="E1312" s="43" t="s">
        <v>7273</v>
      </c>
      <c r="F1312" s="42"/>
      <c r="G1312" s="42"/>
      <c r="H1312" s="43"/>
      <c r="I1312" s="42"/>
      <c r="J1312" s="42"/>
      <c r="K1312" s="42"/>
      <c r="L1312" s="42"/>
      <c r="M1312" s="42"/>
      <c r="N1312" s="42"/>
      <c r="O1312" s="42"/>
      <c r="P1312" s="42"/>
      <c r="Q1312" s="42"/>
      <c r="R1312" s="42" t="s">
        <v>8098</v>
      </c>
      <c r="S1312" s="42" t="s">
        <v>8099</v>
      </c>
      <c r="T1312" s="42" t="s">
        <v>5268</v>
      </c>
      <c r="U1312" s="42" t="s">
        <v>7325</v>
      </c>
      <c r="V1312" s="44" t="s">
        <v>3892</v>
      </c>
      <c r="W1312" s="42" t="s">
        <v>3892</v>
      </c>
    </row>
    <row r="1313" spans="1:23">
      <c r="A1313" s="40">
        <v>803</v>
      </c>
      <c r="B1313" s="41">
        <v>1854022636</v>
      </c>
      <c r="C1313" s="42" t="s">
        <v>8141</v>
      </c>
      <c r="D1313" s="42" t="s">
        <v>765</v>
      </c>
      <c r="E1313" s="43" t="s">
        <v>8716</v>
      </c>
      <c r="F1313" s="42"/>
      <c r="G1313" s="42"/>
      <c r="H1313" s="43"/>
      <c r="I1313" s="42"/>
      <c r="J1313" s="42"/>
      <c r="K1313" s="42"/>
      <c r="L1313" s="42"/>
      <c r="M1313" s="42"/>
      <c r="N1313" s="42"/>
      <c r="O1313" s="42"/>
      <c r="P1313" s="42"/>
      <c r="Q1313" s="42"/>
      <c r="R1313" s="42" t="s">
        <v>8098</v>
      </c>
      <c r="S1313" s="42" t="s">
        <v>8099</v>
      </c>
      <c r="T1313" s="42" t="s">
        <v>5268</v>
      </c>
      <c r="U1313" s="42" t="s">
        <v>7325</v>
      </c>
      <c r="V1313" s="44" t="s">
        <v>3892</v>
      </c>
      <c r="W1313" s="42" t="s">
        <v>3892</v>
      </c>
    </row>
    <row r="1314" spans="1:23">
      <c r="A1314" s="40">
        <v>804</v>
      </c>
      <c r="B1314" s="41">
        <v>1854023153</v>
      </c>
      <c r="C1314" s="42" t="s">
        <v>8142</v>
      </c>
      <c r="D1314" s="42" t="s">
        <v>765</v>
      </c>
      <c r="E1314" s="43" t="s">
        <v>8819</v>
      </c>
      <c r="F1314" s="42"/>
      <c r="G1314" s="42"/>
      <c r="H1314" s="43"/>
      <c r="I1314" s="42"/>
      <c r="J1314" s="42"/>
      <c r="K1314" s="42"/>
      <c r="L1314" s="42"/>
      <c r="M1314" s="42"/>
      <c r="N1314" s="42"/>
      <c r="O1314" s="42"/>
      <c r="P1314" s="42"/>
      <c r="Q1314" s="42"/>
      <c r="R1314" s="42" t="s">
        <v>8098</v>
      </c>
      <c r="S1314" s="42" t="s">
        <v>8099</v>
      </c>
      <c r="T1314" s="42" t="s">
        <v>5268</v>
      </c>
      <c r="U1314" s="42" t="s">
        <v>7325</v>
      </c>
      <c r="V1314" s="44" t="s">
        <v>3892</v>
      </c>
      <c r="W1314" s="42" t="s">
        <v>3892</v>
      </c>
    </row>
    <row r="1315" spans="1:23">
      <c r="A1315" s="40">
        <v>805</v>
      </c>
      <c r="B1315" s="41">
        <v>1854022687</v>
      </c>
      <c r="C1315" s="42" t="s">
        <v>8143</v>
      </c>
      <c r="D1315" s="42" t="s">
        <v>765</v>
      </c>
      <c r="E1315" s="43" t="s">
        <v>8820</v>
      </c>
      <c r="F1315" s="42"/>
      <c r="G1315" s="42"/>
      <c r="H1315" s="43"/>
      <c r="I1315" s="42"/>
      <c r="J1315" s="42"/>
      <c r="K1315" s="42"/>
      <c r="L1315" s="42"/>
      <c r="M1315" s="42"/>
      <c r="N1315" s="42"/>
      <c r="O1315" s="42"/>
      <c r="P1315" s="42"/>
      <c r="Q1315" s="42"/>
      <c r="R1315" s="42" t="s">
        <v>8098</v>
      </c>
      <c r="S1315" s="42" t="s">
        <v>8099</v>
      </c>
      <c r="T1315" s="42" t="s">
        <v>5268</v>
      </c>
      <c r="U1315" s="42" t="s">
        <v>7325</v>
      </c>
      <c r="V1315" s="44" t="s">
        <v>3892</v>
      </c>
      <c r="W1315" s="42" t="s">
        <v>3892</v>
      </c>
    </row>
    <row r="1316" spans="1:23">
      <c r="A1316" s="40">
        <v>806</v>
      </c>
      <c r="B1316" s="41">
        <v>1854023037</v>
      </c>
      <c r="C1316" s="42" t="s">
        <v>8144</v>
      </c>
      <c r="D1316" s="42" t="s">
        <v>765</v>
      </c>
      <c r="E1316" s="43" t="s">
        <v>8821</v>
      </c>
      <c r="F1316" s="42"/>
      <c r="G1316" s="42"/>
      <c r="H1316" s="43"/>
      <c r="I1316" s="42"/>
      <c r="J1316" s="42"/>
      <c r="K1316" s="42"/>
      <c r="L1316" s="42"/>
      <c r="M1316" s="42"/>
      <c r="N1316" s="42"/>
      <c r="O1316" s="42"/>
      <c r="P1316" s="42"/>
      <c r="Q1316" s="42"/>
      <c r="R1316" s="42" t="s">
        <v>8098</v>
      </c>
      <c r="S1316" s="42" t="s">
        <v>8099</v>
      </c>
      <c r="T1316" s="42" t="s">
        <v>5268</v>
      </c>
      <c r="U1316" s="42" t="s">
        <v>7325</v>
      </c>
      <c r="V1316" s="44" t="s">
        <v>3892</v>
      </c>
      <c r="W1316" s="42" t="s">
        <v>3892</v>
      </c>
    </row>
    <row r="1317" spans="1:23">
      <c r="A1317" s="40">
        <v>807</v>
      </c>
      <c r="B1317" s="41">
        <v>1854022673</v>
      </c>
      <c r="C1317" s="42" t="s">
        <v>8145</v>
      </c>
      <c r="D1317" s="42" t="s">
        <v>765</v>
      </c>
      <c r="E1317" s="43" t="s">
        <v>8822</v>
      </c>
      <c r="F1317" s="42"/>
      <c r="G1317" s="42"/>
      <c r="H1317" s="43"/>
      <c r="I1317" s="42"/>
      <c r="J1317" s="42"/>
      <c r="K1317" s="42"/>
      <c r="L1317" s="42"/>
      <c r="M1317" s="42"/>
      <c r="N1317" s="42"/>
      <c r="O1317" s="42"/>
      <c r="P1317" s="42"/>
      <c r="Q1317" s="42"/>
      <c r="R1317" s="42" t="s">
        <v>8098</v>
      </c>
      <c r="S1317" s="42" t="s">
        <v>8099</v>
      </c>
      <c r="T1317" s="42" t="s">
        <v>5268</v>
      </c>
      <c r="U1317" s="42" t="s">
        <v>7325</v>
      </c>
      <c r="V1317" s="44" t="s">
        <v>3892</v>
      </c>
      <c r="W1317" s="42" t="s">
        <v>3892</v>
      </c>
    </row>
    <row r="1318" spans="1:23">
      <c r="A1318" s="40">
        <v>808</v>
      </c>
      <c r="B1318" s="41">
        <v>1854022972</v>
      </c>
      <c r="C1318" s="42" t="s">
        <v>8146</v>
      </c>
      <c r="D1318" s="42" t="s">
        <v>3892</v>
      </c>
      <c r="E1318" s="43" t="s">
        <v>7273</v>
      </c>
      <c r="F1318" s="42"/>
      <c r="G1318" s="42"/>
      <c r="H1318" s="43"/>
      <c r="I1318" s="42"/>
      <c r="J1318" s="42"/>
      <c r="K1318" s="42"/>
      <c r="L1318" s="42"/>
      <c r="M1318" s="42"/>
      <c r="N1318" s="42"/>
      <c r="O1318" s="42"/>
      <c r="P1318" s="42"/>
      <c r="Q1318" s="42"/>
      <c r="R1318" s="42" t="s">
        <v>8098</v>
      </c>
      <c r="S1318" s="42" t="s">
        <v>8099</v>
      </c>
      <c r="T1318" s="42" t="s">
        <v>5268</v>
      </c>
      <c r="U1318" s="42" t="s">
        <v>7325</v>
      </c>
      <c r="V1318" s="44" t="s">
        <v>3892</v>
      </c>
      <c r="W1318" s="42" t="s">
        <v>3892</v>
      </c>
    </row>
    <row r="1319" spans="1:23">
      <c r="A1319" s="40">
        <v>809</v>
      </c>
      <c r="B1319" s="41">
        <v>1854022777</v>
      </c>
      <c r="C1319" s="42" t="s">
        <v>8147</v>
      </c>
      <c r="D1319" s="42" t="s">
        <v>760</v>
      </c>
      <c r="E1319" s="43" t="s">
        <v>8823</v>
      </c>
      <c r="F1319" s="42"/>
      <c r="G1319" s="42"/>
      <c r="H1319" s="43"/>
      <c r="I1319" s="42"/>
      <c r="J1319" s="42"/>
      <c r="K1319" s="42"/>
      <c r="L1319" s="42"/>
      <c r="M1319" s="42"/>
      <c r="N1319" s="42"/>
      <c r="O1319" s="42"/>
      <c r="P1319" s="42"/>
      <c r="Q1319" s="42"/>
      <c r="R1319" s="42" t="s">
        <v>8098</v>
      </c>
      <c r="S1319" s="42" t="s">
        <v>8099</v>
      </c>
      <c r="T1319" s="42" t="s">
        <v>5268</v>
      </c>
      <c r="U1319" s="42" t="s">
        <v>7325</v>
      </c>
      <c r="V1319" s="44" t="s">
        <v>3892</v>
      </c>
      <c r="W1319" s="42" t="s">
        <v>3892</v>
      </c>
    </row>
    <row r="1320" spans="1:23">
      <c r="A1320" s="40">
        <v>810</v>
      </c>
      <c r="B1320" s="41">
        <v>1854023147</v>
      </c>
      <c r="C1320" s="42" t="s">
        <v>8148</v>
      </c>
      <c r="D1320" s="42" t="s">
        <v>765</v>
      </c>
      <c r="E1320" s="43" t="s">
        <v>8716</v>
      </c>
      <c r="F1320" s="42"/>
      <c r="G1320" s="42"/>
      <c r="H1320" s="43"/>
      <c r="I1320" s="42"/>
      <c r="J1320" s="42"/>
      <c r="K1320" s="42"/>
      <c r="L1320" s="42"/>
      <c r="M1320" s="42"/>
      <c r="N1320" s="42"/>
      <c r="O1320" s="42"/>
      <c r="P1320" s="42"/>
      <c r="Q1320" s="42"/>
      <c r="R1320" s="42" t="s">
        <v>8098</v>
      </c>
      <c r="S1320" s="42" t="s">
        <v>8099</v>
      </c>
      <c r="T1320" s="42" t="s">
        <v>5268</v>
      </c>
      <c r="U1320" s="42" t="s">
        <v>7325</v>
      </c>
      <c r="V1320" s="44" t="s">
        <v>3892</v>
      </c>
      <c r="W1320" s="42" t="s">
        <v>3892</v>
      </c>
    </row>
    <row r="1321" spans="1:23">
      <c r="A1321" s="40">
        <v>811</v>
      </c>
      <c r="B1321" s="41">
        <v>1854023148</v>
      </c>
      <c r="C1321" s="42" t="s">
        <v>8149</v>
      </c>
      <c r="D1321" s="42" t="s">
        <v>765</v>
      </c>
      <c r="E1321" s="43" t="s">
        <v>8750</v>
      </c>
      <c r="F1321" s="42"/>
      <c r="G1321" s="42"/>
      <c r="H1321" s="43"/>
      <c r="I1321" s="42"/>
      <c r="J1321" s="42"/>
      <c r="K1321" s="42"/>
      <c r="L1321" s="42"/>
      <c r="M1321" s="42"/>
      <c r="N1321" s="42"/>
      <c r="O1321" s="42"/>
      <c r="P1321" s="42"/>
      <c r="Q1321" s="42"/>
      <c r="R1321" s="42" t="s">
        <v>8098</v>
      </c>
      <c r="S1321" s="42" t="s">
        <v>8099</v>
      </c>
      <c r="T1321" s="42" t="s">
        <v>5268</v>
      </c>
      <c r="U1321" s="42" t="s">
        <v>7325</v>
      </c>
      <c r="V1321" s="44" t="s">
        <v>3892</v>
      </c>
      <c r="W1321" s="42" t="s">
        <v>3892</v>
      </c>
    </row>
    <row r="1322" spans="1:23">
      <c r="A1322" s="40">
        <v>812</v>
      </c>
      <c r="B1322" s="41">
        <v>1854022668</v>
      </c>
      <c r="C1322" s="42" t="s">
        <v>8150</v>
      </c>
      <c r="D1322" s="42" t="s">
        <v>3892</v>
      </c>
      <c r="E1322" s="43" t="s">
        <v>7273</v>
      </c>
      <c r="F1322" s="42"/>
      <c r="G1322" s="42"/>
      <c r="H1322" s="43"/>
      <c r="I1322" s="42"/>
      <c r="J1322" s="42"/>
      <c r="K1322" s="42"/>
      <c r="L1322" s="42"/>
      <c r="M1322" s="42"/>
      <c r="N1322" s="42"/>
      <c r="O1322" s="42"/>
      <c r="P1322" s="42"/>
      <c r="Q1322" s="42"/>
      <c r="R1322" s="42" t="s">
        <v>8098</v>
      </c>
      <c r="S1322" s="42" t="s">
        <v>8099</v>
      </c>
      <c r="T1322" s="42" t="s">
        <v>5268</v>
      </c>
      <c r="U1322" s="42" t="s">
        <v>7325</v>
      </c>
      <c r="V1322" s="44" t="s">
        <v>3892</v>
      </c>
      <c r="W1322" s="42" t="s">
        <v>3892</v>
      </c>
    </row>
    <row r="1323" spans="1:23">
      <c r="A1323" s="40">
        <v>813</v>
      </c>
      <c r="B1323" s="41">
        <v>1854023088</v>
      </c>
      <c r="C1323" s="42" t="s">
        <v>8151</v>
      </c>
      <c r="D1323" s="42" t="s">
        <v>3892</v>
      </c>
      <c r="E1323" s="43" t="s">
        <v>7273</v>
      </c>
      <c r="F1323" s="42"/>
      <c r="G1323" s="42"/>
      <c r="H1323" s="43"/>
      <c r="I1323" s="42"/>
      <c r="J1323" s="42"/>
      <c r="K1323" s="42"/>
      <c r="L1323" s="42"/>
      <c r="M1323" s="42"/>
      <c r="N1323" s="42"/>
      <c r="O1323" s="42"/>
      <c r="P1323" s="42"/>
      <c r="Q1323" s="42"/>
      <c r="R1323" s="42" t="s">
        <v>8098</v>
      </c>
      <c r="S1323" s="42" t="s">
        <v>8099</v>
      </c>
      <c r="T1323" s="42" t="s">
        <v>5268</v>
      </c>
      <c r="U1323" s="42" t="s">
        <v>7325</v>
      </c>
      <c r="V1323" s="44" t="s">
        <v>3892</v>
      </c>
      <c r="W1323" s="42" t="s">
        <v>7345</v>
      </c>
    </row>
    <row r="1324" spans="1:23">
      <c r="A1324" s="40">
        <v>814</v>
      </c>
      <c r="B1324" s="41">
        <v>1854022869</v>
      </c>
      <c r="C1324" s="42" t="s">
        <v>8152</v>
      </c>
      <c r="D1324" s="42" t="s">
        <v>3892</v>
      </c>
      <c r="E1324" s="43" t="s">
        <v>7273</v>
      </c>
      <c r="F1324" s="42"/>
      <c r="G1324" s="42"/>
      <c r="H1324" s="43"/>
      <c r="I1324" s="42"/>
      <c r="J1324" s="42"/>
      <c r="K1324" s="42"/>
      <c r="L1324" s="42"/>
      <c r="M1324" s="42"/>
      <c r="N1324" s="42"/>
      <c r="O1324" s="42"/>
      <c r="P1324" s="42"/>
      <c r="Q1324" s="42"/>
      <c r="R1324" s="42" t="s">
        <v>8098</v>
      </c>
      <c r="S1324" s="42" t="s">
        <v>8099</v>
      </c>
      <c r="T1324" s="42" t="s">
        <v>5268</v>
      </c>
      <c r="U1324" s="42" t="s">
        <v>7325</v>
      </c>
      <c r="V1324" s="44" t="s">
        <v>3892</v>
      </c>
      <c r="W1324" s="42" t="s">
        <v>7345</v>
      </c>
    </row>
    <row r="1325" spans="1:23">
      <c r="A1325" s="40">
        <v>815</v>
      </c>
      <c r="B1325" s="41">
        <v>1854023101</v>
      </c>
      <c r="C1325" s="42" t="s">
        <v>8153</v>
      </c>
      <c r="D1325" s="42" t="s">
        <v>3892</v>
      </c>
      <c r="E1325" s="43" t="s">
        <v>7273</v>
      </c>
      <c r="F1325" s="42"/>
      <c r="G1325" s="42"/>
      <c r="H1325" s="43"/>
      <c r="I1325" s="42"/>
      <c r="J1325" s="42"/>
      <c r="K1325" s="42"/>
      <c r="L1325" s="42"/>
      <c r="M1325" s="42"/>
      <c r="N1325" s="42"/>
      <c r="O1325" s="42"/>
      <c r="P1325" s="42"/>
      <c r="Q1325" s="42"/>
      <c r="R1325" s="42" t="s">
        <v>8098</v>
      </c>
      <c r="S1325" s="42" t="s">
        <v>8099</v>
      </c>
      <c r="T1325" s="42" t="s">
        <v>5268</v>
      </c>
      <c r="U1325" s="42" t="s">
        <v>7325</v>
      </c>
      <c r="V1325" s="44" t="s">
        <v>3892</v>
      </c>
      <c r="W1325" s="42" t="s">
        <v>7345</v>
      </c>
    </row>
    <row r="1326" spans="1:23">
      <c r="A1326" s="40">
        <v>816</v>
      </c>
      <c r="B1326" s="41">
        <v>1854023207</v>
      </c>
      <c r="C1326" s="42" t="s">
        <v>8154</v>
      </c>
      <c r="D1326" s="42" t="s">
        <v>3892</v>
      </c>
      <c r="E1326" s="43" t="s">
        <v>7273</v>
      </c>
      <c r="F1326" s="42"/>
      <c r="G1326" s="42"/>
      <c r="H1326" s="43"/>
      <c r="I1326" s="42"/>
      <c r="J1326" s="42"/>
      <c r="K1326" s="42"/>
      <c r="L1326" s="42"/>
      <c r="M1326" s="42"/>
      <c r="N1326" s="42"/>
      <c r="O1326" s="42"/>
      <c r="P1326" s="42"/>
      <c r="Q1326" s="42"/>
      <c r="R1326" s="42" t="s">
        <v>8098</v>
      </c>
      <c r="S1326" s="42" t="s">
        <v>8099</v>
      </c>
      <c r="T1326" s="42" t="s">
        <v>5268</v>
      </c>
      <c r="U1326" s="42" t="s">
        <v>7325</v>
      </c>
      <c r="V1326" s="44" t="s">
        <v>3892</v>
      </c>
      <c r="W1326" s="42" t="s">
        <v>3892</v>
      </c>
    </row>
    <row r="1327" spans="1:23">
      <c r="A1327" s="40">
        <v>817</v>
      </c>
      <c r="B1327" s="41">
        <v>1854023047</v>
      </c>
      <c r="C1327" s="42" t="s">
        <v>8155</v>
      </c>
      <c r="D1327" s="42" t="s">
        <v>765</v>
      </c>
      <c r="E1327" s="43" t="s">
        <v>8824</v>
      </c>
      <c r="F1327" s="42"/>
      <c r="G1327" s="42"/>
      <c r="H1327" s="43"/>
      <c r="I1327" s="42"/>
      <c r="J1327" s="42"/>
      <c r="K1327" s="42"/>
      <c r="L1327" s="42"/>
      <c r="M1327" s="42"/>
      <c r="N1327" s="42"/>
      <c r="O1327" s="42"/>
      <c r="P1327" s="42"/>
      <c r="Q1327" s="42"/>
      <c r="R1327" s="42" t="s">
        <v>8098</v>
      </c>
      <c r="S1327" s="42" t="s">
        <v>8099</v>
      </c>
      <c r="T1327" s="42" t="s">
        <v>5268</v>
      </c>
      <c r="U1327" s="42" t="s">
        <v>7325</v>
      </c>
      <c r="V1327" s="44" t="s">
        <v>3892</v>
      </c>
      <c r="W1327" s="42" t="s">
        <v>3892</v>
      </c>
    </row>
    <row r="1328" spans="1:23">
      <c r="A1328" s="40">
        <v>818</v>
      </c>
      <c r="B1328" s="41">
        <v>1854022753</v>
      </c>
      <c r="C1328" s="42" t="s">
        <v>8156</v>
      </c>
      <c r="D1328" s="42" t="s">
        <v>765</v>
      </c>
      <c r="E1328" s="43" t="s">
        <v>8825</v>
      </c>
      <c r="F1328" s="42"/>
      <c r="G1328" s="42"/>
      <c r="H1328" s="43"/>
      <c r="I1328" s="42"/>
      <c r="J1328" s="42"/>
      <c r="K1328" s="42"/>
      <c r="L1328" s="42"/>
      <c r="M1328" s="42"/>
      <c r="N1328" s="42"/>
      <c r="O1328" s="42"/>
      <c r="P1328" s="42"/>
      <c r="Q1328" s="42"/>
      <c r="R1328" s="42" t="s">
        <v>8098</v>
      </c>
      <c r="S1328" s="42" t="s">
        <v>8099</v>
      </c>
      <c r="T1328" s="42" t="s">
        <v>5268</v>
      </c>
      <c r="U1328" s="42" t="s">
        <v>7325</v>
      </c>
      <c r="V1328" s="44" t="s">
        <v>3892</v>
      </c>
      <c r="W1328" s="42" t="s">
        <v>3892</v>
      </c>
    </row>
    <row r="1329" spans="1:23">
      <c r="A1329" s="40">
        <v>819</v>
      </c>
      <c r="B1329" s="41">
        <v>1854022989</v>
      </c>
      <c r="C1329" s="42" t="s">
        <v>8157</v>
      </c>
      <c r="D1329" s="42" t="s">
        <v>765</v>
      </c>
      <c r="E1329" s="43" t="s">
        <v>8413</v>
      </c>
      <c r="F1329" s="42"/>
      <c r="G1329" s="42"/>
      <c r="H1329" s="43"/>
      <c r="I1329" s="42"/>
      <c r="J1329" s="42"/>
      <c r="K1329" s="42"/>
      <c r="L1329" s="42"/>
      <c r="M1329" s="42"/>
      <c r="N1329" s="42"/>
      <c r="O1329" s="42"/>
      <c r="P1329" s="42"/>
      <c r="Q1329" s="42"/>
      <c r="R1329" s="42" t="s">
        <v>8098</v>
      </c>
      <c r="S1329" s="42" t="s">
        <v>8099</v>
      </c>
      <c r="T1329" s="42" t="s">
        <v>5268</v>
      </c>
      <c r="U1329" s="42" t="s">
        <v>7325</v>
      </c>
      <c r="V1329" s="44" t="s">
        <v>3892</v>
      </c>
      <c r="W1329" s="42" t="s">
        <v>3892</v>
      </c>
    </row>
    <row r="1330" spans="1:23">
      <c r="A1330" s="40">
        <v>820</v>
      </c>
      <c r="B1330" s="41">
        <v>1854022755</v>
      </c>
      <c r="C1330" s="42" t="s">
        <v>8158</v>
      </c>
      <c r="D1330" s="42" t="s">
        <v>760</v>
      </c>
      <c r="E1330" s="43" t="s">
        <v>8826</v>
      </c>
      <c r="F1330" s="42"/>
      <c r="G1330" s="42"/>
      <c r="H1330" s="43"/>
      <c r="I1330" s="42"/>
      <c r="J1330" s="42"/>
      <c r="K1330" s="42"/>
      <c r="L1330" s="42"/>
      <c r="M1330" s="42"/>
      <c r="N1330" s="42"/>
      <c r="O1330" s="42"/>
      <c r="P1330" s="42"/>
      <c r="Q1330" s="42"/>
      <c r="R1330" s="42" t="s">
        <v>8098</v>
      </c>
      <c r="S1330" s="42" t="s">
        <v>8099</v>
      </c>
      <c r="T1330" s="42" t="s">
        <v>5268</v>
      </c>
      <c r="U1330" s="42" t="s">
        <v>7325</v>
      </c>
      <c r="V1330" s="44" t="s">
        <v>3892</v>
      </c>
      <c r="W1330" s="42" t="s">
        <v>3892</v>
      </c>
    </row>
    <row r="1331" spans="1:23">
      <c r="A1331" s="40">
        <v>821</v>
      </c>
      <c r="B1331" s="41">
        <v>1854022905</v>
      </c>
      <c r="C1331" s="42" t="s">
        <v>8159</v>
      </c>
      <c r="D1331" s="42" t="s">
        <v>3892</v>
      </c>
      <c r="E1331" s="43" t="s">
        <v>7273</v>
      </c>
      <c r="F1331" s="42"/>
      <c r="G1331" s="42"/>
      <c r="H1331" s="43"/>
      <c r="I1331" s="42"/>
      <c r="J1331" s="42"/>
      <c r="K1331" s="42"/>
      <c r="L1331" s="42"/>
      <c r="M1331" s="42"/>
      <c r="N1331" s="42"/>
      <c r="O1331" s="42"/>
      <c r="P1331" s="42"/>
      <c r="Q1331" s="42"/>
      <c r="R1331" s="42" t="s">
        <v>8098</v>
      </c>
      <c r="S1331" s="42" t="s">
        <v>8099</v>
      </c>
      <c r="T1331" s="42" t="s">
        <v>5268</v>
      </c>
      <c r="U1331" s="42" t="s">
        <v>7325</v>
      </c>
      <c r="V1331" s="44" t="s">
        <v>3892</v>
      </c>
      <c r="W1331" s="42" t="s">
        <v>3892</v>
      </c>
    </row>
    <row r="1332" spans="1:23">
      <c r="A1332" s="40">
        <v>822</v>
      </c>
      <c r="B1332" s="41">
        <v>1854022860</v>
      </c>
      <c r="C1332" s="42" t="s">
        <v>8160</v>
      </c>
      <c r="D1332" s="42" t="s">
        <v>765</v>
      </c>
      <c r="E1332" s="43" t="s">
        <v>8827</v>
      </c>
      <c r="F1332" s="42"/>
      <c r="G1332" s="42"/>
      <c r="H1332" s="43"/>
      <c r="I1332" s="42"/>
      <c r="J1332" s="42"/>
      <c r="K1332" s="42"/>
      <c r="L1332" s="42"/>
      <c r="M1332" s="42"/>
      <c r="N1332" s="42"/>
      <c r="O1332" s="42"/>
      <c r="P1332" s="42"/>
      <c r="Q1332" s="42"/>
      <c r="R1332" s="42" t="s">
        <v>8098</v>
      </c>
      <c r="S1332" s="42" t="s">
        <v>8099</v>
      </c>
      <c r="T1332" s="42" t="s">
        <v>5268</v>
      </c>
      <c r="U1332" s="42" t="s">
        <v>7325</v>
      </c>
      <c r="V1332" s="44" t="s">
        <v>3892</v>
      </c>
      <c r="W1332" s="42" t="s">
        <v>3892</v>
      </c>
    </row>
    <row r="1333" spans="1:23">
      <c r="A1333" s="40">
        <v>823</v>
      </c>
      <c r="B1333" s="41">
        <v>1854022745</v>
      </c>
      <c r="C1333" s="42" t="s">
        <v>8161</v>
      </c>
      <c r="D1333" s="42" t="s">
        <v>765</v>
      </c>
      <c r="E1333" s="43" t="s">
        <v>8828</v>
      </c>
      <c r="F1333" s="42"/>
      <c r="G1333" s="42"/>
      <c r="H1333" s="43"/>
      <c r="I1333" s="42"/>
      <c r="J1333" s="42"/>
      <c r="K1333" s="42"/>
      <c r="L1333" s="42"/>
      <c r="M1333" s="42"/>
      <c r="N1333" s="42"/>
      <c r="O1333" s="42"/>
      <c r="P1333" s="42"/>
      <c r="Q1333" s="42"/>
      <c r="R1333" s="42" t="s">
        <v>8098</v>
      </c>
      <c r="S1333" s="42" t="s">
        <v>8099</v>
      </c>
      <c r="T1333" s="42" t="s">
        <v>5268</v>
      </c>
      <c r="U1333" s="42" t="s">
        <v>7325</v>
      </c>
      <c r="V1333" s="44" t="s">
        <v>3892</v>
      </c>
      <c r="W1333" s="42" t="s">
        <v>3892</v>
      </c>
    </row>
    <row r="1334" spans="1:23">
      <c r="A1334" s="40">
        <v>824</v>
      </c>
      <c r="B1334" s="41">
        <v>1854023130</v>
      </c>
      <c r="C1334" s="42" t="s">
        <v>8162</v>
      </c>
      <c r="D1334" s="42" t="s">
        <v>765</v>
      </c>
      <c r="E1334" s="43" t="s">
        <v>8829</v>
      </c>
      <c r="F1334" s="42"/>
      <c r="G1334" s="42"/>
      <c r="H1334" s="43"/>
      <c r="I1334" s="42"/>
      <c r="J1334" s="42"/>
      <c r="K1334" s="42"/>
      <c r="L1334" s="42"/>
      <c r="M1334" s="42"/>
      <c r="N1334" s="42"/>
      <c r="O1334" s="42"/>
      <c r="P1334" s="42"/>
      <c r="Q1334" s="42"/>
      <c r="R1334" s="42" t="s">
        <v>8098</v>
      </c>
      <c r="S1334" s="42" t="s">
        <v>8099</v>
      </c>
      <c r="T1334" s="42" t="s">
        <v>5268</v>
      </c>
      <c r="U1334" s="42" t="s">
        <v>7325</v>
      </c>
      <c r="V1334" s="44" t="s">
        <v>3892</v>
      </c>
      <c r="W1334" s="42" t="s">
        <v>3892</v>
      </c>
    </row>
    <row r="1335" spans="1:23">
      <c r="A1335" s="40">
        <v>825</v>
      </c>
      <c r="B1335" s="41">
        <v>1854022976</v>
      </c>
      <c r="C1335" s="42" t="s">
        <v>3911</v>
      </c>
      <c r="D1335" s="42" t="s">
        <v>3892</v>
      </c>
      <c r="E1335" s="43" t="s">
        <v>7273</v>
      </c>
      <c r="F1335" s="42"/>
      <c r="G1335" s="42"/>
      <c r="H1335" s="43"/>
      <c r="I1335" s="42"/>
      <c r="J1335" s="42"/>
      <c r="K1335" s="42"/>
      <c r="L1335" s="42"/>
      <c r="M1335" s="42"/>
      <c r="N1335" s="42"/>
      <c r="O1335" s="42"/>
      <c r="P1335" s="42"/>
      <c r="Q1335" s="42"/>
      <c r="R1335" s="42" t="s">
        <v>8098</v>
      </c>
      <c r="S1335" s="42" t="s">
        <v>8099</v>
      </c>
      <c r="T1335" s="42" t="s">
        <v>5268</v>
      </c>
      <c r="U1335" s="42" t="s">
        <v>7325</v>
      </c>
      <c r="V1335" s="44" t="s">
        <v>3892</v>
      </c>
      <c r="W1335" s="42" t="s">
        <v>7345</v>
      </c>
    </row>
    <row r="1336" spans="1:23">
      <c r="A1336" s="40">
        <v>826</v>
      </c>
      <c r="B1336" s="41">
        <v>1854022694</v>
      </c>
      <c r="C1336" s="42" t="s">
        <v>8163</v>
      </c>
      <c r="D1336" s="42" t="s">
        <v>760</v>
      </c>
      <c r="E1336" s="43" t="s">
        <v>8367</v>
      </c>
      <c r="F1336" s="42"/>
      <c r="G1336" s="42"/>
      <c r="H1336" s="43"/>
      <c r="I1336" s="42"/>
      <c r="J1336" s="42"/>
      <c r="K1336" s="42"/>
      <c r="L1336" s="42"/>
      <c r="M1336" s="42"/>
      <c r="N1336" s="42"/>
      <c r="O1336" s="42"/>
      <c r="P1336" s="42"/>
      <c r="Q1336" s="42"/>
      <c r="R1336" s="42" t="s">
        <v>8098</v>
      </c>
      <c r="S1336" s="42" t="s">
        <v>8099</v>
      </c>
      <c r="T1336" s="42" t="s">
        <v>5268</v>
      </c>
      <c r="U1336" s="42" t="s">
        <v>7325</v>
      </c>
      <c r="V1336" s="44" t="s">
        <v>3892</v>
      </c>
      <c r="W1336" s="42" t="s">
        <v>3892</v>
      </c>
    </row>
    <row r="1337" spans="1:23">
      <c r="A1337" s="40">
        <v>827</v>
      </c>
      <c r="B1337" s="41">
        <v>1854023168</v>
      </c>
      <c r="C1337" s="42" t="s">
        <v>8164</v>
      </c>
      <c r="D1337" s="42" t="s">
        <v>3892</v>
      </c>
      <c r="E1337" s="43" t="s">
        <v>7273</v>
      </c>
      <c r="F1337" s="42"/>
      <c r="G1337" s="42"/>
      <c r="H1337" s="43"/>
      <c r="I1337" s="42"/>
      <c r="J1337" s="42"/>
      <c r="K1337" s="42"/>
      <c r="L1337" s="42"/>
      <c r="M1337" s="42"/>
      <c r="N1337" s="42"/>
      <c r="O1337" s="42"/>
      <c r="P1337" s="42"/>
      <c r="Q1337" s="42"/>
      <c r="R1337" s="42" t="s">
        <v>8098</v>
      </c>
      <c r="S1337" s="42" t="s">
        <v>8099</v>
      </c>
      <c r="T1337" s="42" t="s">
        <v>5268</v>
      </c>
      <c r="U1337" s="42" t="s">
        <v>7325</v>
      </c>
      <c r="V1337" s="44" t="s">
        <v>3892</v>
      </c>
      <c r="W1337" s="42" t="s">
        <v>7345</v>
      </c>
    </row>
    <row r="1338" spans="1:23">
      <c r="A1338" s="40">
        <v>828</v>
      </c>
      <c r="B1338" s="41">
        <v>1854022947</v>
      </c>
      <c r="C1338" s="42" t="s">
        <v>8165</v>
      </c>
      <c r="D1338" s="42" t="s">
        <v>765</v>
      </c>
      <c r="E1338" s="43" t="s">
        <v>8830</v>
      </c>
      <c r="F1338" s="42"/>
      <c r="G1338" s="42"/>
      <c r="H1338" s="43"/>
      <c r="I1338" s="42"/>
      <c r="J1338" s="42"/>
      <c r="K1338" s="42"/>
      <c r="L1338" s="42"/>
      <c r="M1338" s="42"/>
      <c r="N1338" s="42"/>
      <c r="O1338" s="42"/>
      <c r="P1338" s="42"/>
      <c r="Q1338" s="42"/>
      <c r="R1338" s="42" t="s">
        <v>8098</v>
      </c>
      <c r="S1338" s="42" t="s">
        <v>8099</v>
      </c>
      <c r="T1338" s="42" t="s">
        <v>5268</v>
      </c>
      <c r="U1338" s="42" t="s">
        <v>7325</v>
      </c>
      <c r="V1338" s="44" t="s">
        <v>3892</v>
      </c>
      <c r="W1338" s="42" t="s">
        <v>3892</v>
      </c>
    </row>
    <row r="1339" spans="1:23">
      <c r="A1339" s="40">
        <v>829</v>
      </c>
      <c r="B1339" s="41">
        <v>1854023128</v>
      </c>
      <c r="C1339" s="42" t="s">
        <v>8166</v>
      </c>
      <c r="D1339" s="42" t="s">
        <v>760</v>
      </c>
      <c r="E1339" s="43" t="s">
        <v>8538</v>
      </c>
      <c r="F1339" s="42"/>
      <c r="G1339" s="42"/>
      <c r="H1339" s="43"/>
      <c r="I1339" s="42"/>
      <c r="J1339" s="42"/>
      <c r="K1339" s="42"/>
      <c r="L1339" s="42"/>
      <c r="M1339" s="42"/>
      <c r="N1339" s="42"/>
      <c r="O1339" s="42"/>
      <c r="P1339" s="42"/>
      <c r="Q1339" s="42"/>
      <c r="R1339" s="42" t="s">
        <v>8098</v>
      </c>
      <c r="S1339" s="42" t="s">
        <v>8099</v>
      </c>
      <c r="T1339" s="42" t="s">
        <v>5268</v>
      </c>
      <c r="U1339" s="42" t="s">
        <v>7325</v>
      </c>
      <c r="V1339" s="44" t="s">
        <v>3892</v>
      </c>
      <c r="W1339" s="42" t="s">
        <v>3892</v>
      </c>
    </row>
    <row r="1340" spans="1:23">
      <c r="A1340" s="40">
        <v>830</v>
      </c>
      <c r="B1340" s="41">
        <v>1854023117</v>
      </c>
      <c r="C1340" s="42" t="s">
        <v>8167</v>
      </c>
      <c r="D1340" s="42" t="s">
        <v>765</v>
      </c>
      <c r="E1340" s="43" t="s">
        <v>8831</v>
      </c>
      <c r="F1340" s="42"/>
      <c r="G1340" s="42"/>
      <c r="H1340" s="43"/>
      <c r="I1340" s="42"/>
      <c r="J1340" s="42"/>
      <c r="K1340" s="42"/>
      <c r="L1340" s="42"/>
      <c r="M1340" s="42"/>
      <c r="N1340" s="42"/>
      <c r="O1340" s="42"/>
      <c r="P1340" s="42"/>
      <c r="Q1340" s="42"/>
      <c r="R1340" s="42" t="s">
        <v>8098</v>
      </c>
      <c r="S1340" s="42" t="s">
        <v>8099</v>
      </c>
      <c r="T1340" s="42" t="s">
        <v>5268</v>
      </c>
      <c r="U1340" s="42" t="s">
        <v>7325</v>
      </c>
      <c r="V1340" s="44" t="s">
        <v>3892</v>
      </c>
      <c r="W1340" s="42" t="s">
        <v>3892</v>
      </c>
    </row>
    <row r="1341" spans="1:23">
      <c r="A1341" s="40">
        <v>831</v>
      </c>
      <c r="B1341" s="41">
        <v>1854022934</v>
      </c>
      <c r="C1341" s="42" t="s">
        <v>8168</v>
      </c>
      <c r="D1341" s="42" t="s">
        <v>3892</v>
      </c>
      <c r="E1341" s="43" t="s">
        <v>7273</v>
      </c>
      <c r="F1341" s="42"/>
      <c r="G1341" s="42"/>
      <c r="H1341" s="43"/>
      <c r="I1341" s="42"/>
      <c r="J1341" s="42"/>
      <c r="K1341" s="42"/>
      <c r="L1341" s="42"/>
      <c r="M1341" s="42"/>
      <c r="N1341" s="42"/>
      <c r="O1341" s="42"/>
      <c r="P1341" s="42"/>
      <c r="Q1341" s="42"/>
      <c r="R1341" s="42" t="s">
        <v>8098</v>
      </c>
      <c r="S1341" s="42" t="s">
        <v>8099</v>
      </c>
      <c r="T1341" s="42" t="s">
        <v>5268</v>
      </c>
      <c r="U1341" s="42" t="s">
        <v>7325</v>
      </c>
      <c r="V1341" s="44" t="s">
        <v>3892</v>
      </c>
      <c r="W1341" s="42" t="s">
        <v>3892</v>
      </c>
    </row>
    <row r="1342" spans="1:23">
      <c r="A1342" s="40">
        <v>832</v>
      </c>
      <c r="B1342" s="41">
        <v>1751060228</v>
      </c>
      <c r="C1342" s="42" t="s">
        <v>8169</v>
      </c>
      <c r="D1342" s="42" t="s">
        <v>760</v>
      </c>
      <c r="E1342" s="43" t="s">
        <v>8832</v>
      </c>
      <c r="F1342" s="42"/>
      <c r="G1342" s="42"/>
      <c r="H1342" s="43"/>
      <c r="I1342" s="42"/>
      <c r="J1342" s="42"/>
      <c r="K1342" s="42"/>
      <c r="L1342" s="42"/>
      <c r="M1342" s="42"/>
      <c r="N1342" s="42"/>
      <c r="O1342" s="42"/>
      <c r="P1342" s="42"/>
      <c r="Q1342" s="42"/>
      <c r="R1342" s="42" t="s">
        <v>8170</v>
      </c>
      <c r="S1342" s="42" t="s">
        <v>553</v>
      </c>
      <c r="T1342" s="42" t="s">
        <v>4139</v>
      </c>
      <c r="U1342" s="42" t="s">
        <v>7325</v>
      </c>
      <c r="V1342" s="44" t="s">
        <v>3892</v>
      </c>
      <c r="W1342" s="42" t="s">
        <v>3892</v>
      </c>
    </row>
    <row r="1343" spans="1:23">
      <c r="A1343" s="40">
        <v>833</v>
      </c>
      <c r="B1343" s="41">
        <v>1751060808</v>
      </c>
      <c r="C1343" s="42" t="s">
        <v>8171</v>
      </c>
      <c r="D1343" s="42" t="s">
        <v>765</v>
      </c>
      <c r="E1343" s="43" t="s">
        <v>8833</v>
      </c>
      <c r="F1343" s="42"/>
      <c r="G1343" s="42"/>
      <c r="H1343" s="43"/>
      <c r="I1343" s="42"/>
      <c r="J1343" s="42"/>
      <c r="K1343" s="42"/>
      <c r="L1343" s="42"/>
      <c r="M1343" s="42"/>
      <c r="N1343" s="42"/>
      <c r="O1343" s="42"/>
      <c r="P1343" s="42"/>
      <c r="Q1343" s="42"/>
      <c r="R1343" s="42" t="s">
        <v>8170</v>
      </c>
      <c r="S1343" s="42" t="s">
        <v>553</v>
      </c>
      <c r="T1343" s="42" t="s">
        <v>4139</v>
      </c>
      <c r="U1343" s="42" t="s">
        <v>7325</v>
      </c>
      <c r="V1343" s="44" t="s">
        <v>3892</v>
      </c>
      <c r="W1343" s="42" t="s">
        <v>3892</v>
      </c>
    </row>
    <row r="1344" spans="1:23">
      <c r="A1344" s="40">
        <v>834</v>
      </c>
      <c r="B1344" s="41">
        <v>1751060937</v>
      </c>
      <c r="C1344" s="42" t="s">
        <v>8172</v>
      </c>
      <c r="D1344" s="42" t="s">
        <v>760</v>
      </c>
      <c r="E1344" s="43" t="s">
        <v>8761</v>
      </c>
      <c r="F1344" s="42"/>
      <c r="G1344" s="42"/>
      <c r="H1344" s="43"/>
      <c r="I1344" s="42"/>
      <c r="J1344" s="42"/>
      <c r="K1344" s="42"/>
      <c r="L1344" s="42"/>
      <c r="M1344" s="42"/>
      <c r="N1344" s="42"/>
      <c r="O1344" s="42"/>
      <c r="P1344" s="42"/>
      <c r="Q1344" s="42"/>
      <c r="R1344" s="42" t="s">
        <v>8170</v>
      </c>
      <c r="S1344" s="42" t="s">
        <v>553</v>
      </c>
      <c r="T1344" s="42" t="s">
        <v>4139</v>
      </c>
      <c r="U1344" s="42" t="s">
        <v>7325</v>
      </c>
      <c r="V1344" s="44" t="s">
        <v>3892</v>
      </c>
      <c r="W1344" s="42" t="s">
        <v>3892</v>
      </c>
    </row>
    <row r="1345" spans="1:23">
      <c r="A1345" s="40">
        <v>835</v>
      </c>
      <c r="B1345" s="41">
        <v>1751062223</v>
      </c>
      <c r="C1345" s="42" t="s">
        <v>8173</v>
      </c>
      <c r="D1345" s="42" t="s">
        <v>760</v>
      </c>
      <c r="E1345" s="43" t="s">
        <v>8834</v>
      </c>
      <c r="F1345" s="42"/>
      <c r="G1345" s="42"/>
      <c r="H1345" s="43"/>
      <c r="I1345" s="42"/>
      <c r="J1345" s="42"/>
      <c r="K1345" s="42"/>
      <c r="L1345" s="42"/>
      <c r="M1345" s="42"/>
      <c r="N1345" s="42"/>
      <c r="O1345" s="42"/>
      <c r="P1345" s="42"/>
      <c r="Q1345" s="42"/>
      <c r="R1345" s="42" t="s">
        <v>8170</v>
      </c>
      <c r="S1345" s="42" t="s">
        <v>553</v>
      </c>
      <c r="T1345" s="42" t="s">
        <v>4139</v>
      </c>
      <c r="U1345" s="42" t="s">
        <v>7325</v>
      </c>
      <c r="V1345" s="44" t="s">
        <v>3892</v>
      </c>
      <c r="W1345" s="42" t="s">
        <v>3892</v>
      </c>
    </row>
    <row r="1346" spans="1:23">
      <c r="A1346" s="40">
        <v>836</v>
      </c>
      <c r="B1346" s="41">
        <v>1751062232</v>
      </c>
      <c r="C1346" s="42" t="s">
        <v>8174</v>
      </c>
      <c r="D1346" s="42" t="s">
        <v>760</v>
      </c>
      <c r="E1346" s="43" t="s">
        <v>8654</v>
      </c>
      <c r="F1346" s="42"/>
      <c r="G1346" s="42"/>
      <c r="H1346" s="43"/>
      <c r="I1346" s="42"/>
      <c r="J1346" s="42"/>
      <c r="K1346" s="42"/>
      <c r="L1346" s="42"/>
      <c r="M1346" s="42"/>
      <c r="N1346" s="42"/>
      <c r="O1346" s="42"/>
      <c r="P1346" s="42"/>
      <c r="Q1346" s="42"/>
      <c r="R1346" s="42" t="s">
        <v>8170</v>
      </c>
      <c r="S1346" s="42" t="s">
        <v>553</v>
      </c>
      <c r="T1346" s="42" t="s">
        <v>4139</v>
      </c>
      <c r="U1346" s="42" t="s">
        <v>7325</v>
      </c>
      <c r="V1346" s="44" t="s">
        <v>3892</v>
      </c>
      <c r="W1346" s="42" t="s">
        <v>3892</v>
      </c>
    </row>
    <row r="1347" spans="1:23">
      <c r="A1347" s="40">
        <v>837</v>
      </c>
      <c r="B1347" s="41">
        <v>1751060328</v>
      </c>
      <c r="C1347" s="42" t="s">
        <v>8175</v>
      </c>
      <c r="D1347" s="42" t="s">
        <v>765</v>
      </c>
      <c r="E1347" s="43" t="s">
        <v>8707</v>
      </c>
      <c r="F1347" s="42"/>
      <c r="G1347" s="42"/>
      <c r="H1347" s="43"/>
      <c r="I1347" s="42"/>
      <c r="J1347" s="42"/>
      <c r="K1347" s="42"/>
      <c r="L1347" s="42"/>
      <c r="M1347" s="42"/>
      <c r="N1347" s="42"/>
      <c r="O1347" s="42"/>
      <c r="P1347" s="42"/>
      <c r="Q1347" s="42"/>
      <c r="R1347" s="42" t="s">
        <v>8170</v>
      </c>
      <c r="S1347" s="42" t="s">
        <v>553</v>
      </c>
      <c r="T1347" s="42" t="s">
        <v>4139</v>
      </c>
      <c r="U1347" s="42" t="s">
        <v>7325</v>
      </c>
      <c r="V1347" s="44" t="s">
        <v>3892</v>
      </c>
      <c r="W1347" s="42" t="s">
        <v>3892</v>
      </c>
    </row>
    <row r="1348" spans="1:23">
      <c r="A1348" s="40">
        <v>838</v>
      </c>
      <c r="B1348" s="41">
        <v>1751060534</v>
      </c>
      <c r="C1348" s="42" t="s">
        <v>8176</v>
      </c>
      <c r="D1348" s="42" t="s">
        <v>760</v>
      </c>
      <c r="E1348" s="43" t="s">
        <v>8835</v>
      </c>
      <c r="F1348" s="42"/>
      <c r="G1348" s="42"/>
      <c r="H1348" s="43"/>
      <c r="I1348" s="42"/>
      <c r="J1348" s="42"/>
      <c r="K1348" s="42"/>
      <c r="L1348" s="42"/>
      <c r="M1348" s="42"/>
      <c r="N1348" s="42"/>
      <c r="O1348" s="42"/>
      <c r="P1348" s="42"/>
      <c r="Q1348" s="42"/>
      <c r="R1348" s="42" t="s">
        <v>8170</v>
      </c>
      <c r="S1348" s="42" t="s">
        <v>553</v>
      </c>
      <c r="T1348" s="42" t="s">
        <v>4139</v>
      </c>
      <c r="U1348" s="42" t="s">
        <v>7325</v>
      </c>
      <c r="V1348" s="44" t="s">
        <v>3892</v>
      </c>
      <c r="W1348" s="42" t="s">
        <v>3892</v>
      </c>
    </row>
    <row r="1349" spans="1:23">
      <c r="A1349" s="40">
        <v>839</v>
      </c>
      <c r="B1349" s="41">
        <v>1751061616</v>
      </c>
      <c r="C1349" s="42" t="s">
        <v>8177</v>
      </c>
      <c r="D1349" s="42" t="s">
        <v>760</v>
      </c>
      <c r="E1349" s="43" t="s">
        <v>8570</v>
      </c>
      <c r="F1349" s="42"/>
      <c r="G1349" s="42"/>
      <c r="H1349" s="43"/>
      <c r="I1349" s="42"/>
      <c r="J1349" s="42"/>
      <c r="K1349" s="42"/>
      <c r="L1349" s="42"/>
      <c r="M1349" s="42"/>
      <c r="N1349" s="42"/>
      <c r="O1349" s="42"/>
      <c r="P1349" s="42"/>
      <c r="Q1349" s="42"/>
      <c r="R1349" s="42" t="s">
        <v>8170</v>
      </c>
      <c r="S1349" s="42" t="s">
        <v>553</v>
      </c>
      <c r="T1349" s="42" t="s">
        <v>4139</v>
      </c>
      <c r="U1349" s="42" t="s">
        <v>7325</v>
      </c>
      <c r="V1349" s="44" t="s">
        <v>3892</v>
      </c>
      <c r="W1349" s="42" t="s">
        <v>3892</v>
      </c>
    </row>
    <row r="1350" spans="1:23">
      <c r="A1350" s="40">
        <v>840</v>
      </c>
      <c r="B1350" s="41">
        <v>1851062645</v>
      </c>
      <c r="C1350" s="42" t="s">
        <v>8178</v>
      </c>
      <c r="D1350" s="42" t="s">
        <v>760</v>
      </c>
      <c r="E1350" s="43" t="s">
        <v>8836</v>
      </c>
      <c r="F1350" s="42"/>
      <c r="G1350" s="42"/>
      <c r="H1350" s="43"/>
      <c r="I1350" s="42"/>
      <c r="J1350" s="42"/>
      <c r="K1350" s="42"/>
      <c r="L1350" s="42"/>
      <c r="M1350" s="42"/>
      <c r="N1350" s="42"/>
      <c r="O1350" s="42"/>
      <c r="P1350" s="42"/>
      <c r="Q1350" s="42"/>
      <c r="R1350" s="42" t="s">
        <v>8170</v>
      </c>
      <c r="S1350" s="42" t="s">
        <v>553</v>
      </c>
      <c r="T1350" s="42" t="s">
        <v>4139</v>
      </c>
      <c r="U1350" s="42" t="s">
        <v>7325</v>
      </c>
      <c r="V1350" s="44" t="s">
        <v>3892</v>
      </c>
      <c r="W1350" s="42" t="s">
        <v>3892</v>
      </c>
    </row>
    <row r="1351" spans="1:23">
      <c r="A1351" s="40">
        <v>841</v>
      </c>
      <c r="B1351" s="41">
        <v>1851062907</v>
      </c>
      <c r="C1351" s="42" t="s">
        <v>8179</v>
      </c>
      <c r="D1351" s="42" t="s">
        <v>760</v>
      </c>
      <c r="E1351" s="43" t="s">
        <v>8837</v>
      </c>
      <c r="F1351" s="42"/>
      <c r="G1351" s="42"/>
      <c r="H1351" s="43"/>
      <c r="I1351" s="42"/>
      <c r="J1351" s="42"/>
      <c r="K1351" s="42"/>
      <c r="L1351" s="42"/>
      <c r="M1351" s="42"/>
      <c r="N1351" s="42"/>
      <c r="O1351" s="42"/>
      <c r="P1351" s="42"/>
      <c r="Q1351" s="42"/>
      <c r="R1351" s="42" t="s">
        <v>8170</v>
      </c>
      <c r="S1351" s="42" t="s">
        <v>553</v>
      </c>
      <c r="T1351" s="42" t="s">
        <v>4139</v>
      </c>
      <c r="U1351" s="42" t="s">
        <v>7325</v>
      </c>
      <c r="V1351" s="44" t="s">
        <v>3892</v>
      </c>
      <c r="W1351" s="42" t="s">
        <v>3892</v>
      </c>
    </row>
    <row r="1352" spans="1:23">
      <c r="A1352" s="40">
        <v>842</v>
      </c>
      <c r="B1352" s="41">
        <v>1751060187</v>
      </c>
      <c r="C1352" s="42" t="s">
        <v>8180</v>
      </c>
      <c r="D1352" s="42" t="s">
        <v>760</v>
      </c>
      <c r="E1352" s="43" t="s">
        <v>8744</v>
      </c>
      <c r="F1352" s="42"/>
      <c r="G1352" s="42"/>
      <c r="H1352" s="43"/>
      <c r="I1352" s="42"/>
      <c r="J1352" s="42"/>
      <c r="K1352" s="42"/>
      <c r="L1352" s="42"/>
      <c r="M1352" s="42"/>
      <c r="N1352" s="42"/>
      <c r="O1352" s="42"/>
      <c r="P1352" s="42"/>
      <c r="Q1352" s="42"/>
      <c r="R1352" s="42" t="s">
        <v>8170</v>
      </c>
      <c r="S1352" s="42" t="s">
        <v>553</v>
      </c>
      <c r="T1352" s="42" t="s">
        <v>4139</v>
      </c>
      <c r="U1352" s="42" t="s">
        <v>7325</v>
      </c>
      <c r="V1352" s="44" t="s">
        <v>3892</v>
      </c>
      <c r="W1352" s="42" t="s">
        <v>3892</v>
      </c>
    </row>
    <row r="1353" spans="1:23">
      <c r="A1353" s="40">
        <v>843</v>
      </c>
      <c r="B1353" s="41">
        <v>1851062834</v>
      </c>
      <c r="C1353" s="42" t="s">
        <v>8181</v>
      </c>
      <c r="D1353" s="42" t="s">
        <v>760</v>
      </c>
      <c r="E1353" s="43" t="s">
        <v>8838</v>
      </c>
      <c r="F1353" s="42"/>
      <c r="G1353" s="42"/>
      <c r="H1353" s="43"/>
      <c r="I1353" s="42"/>
      <c r="J1353" s="42"/>
      <c r="K1353" s="42"/>
      <c r="L1353" s="42"/>
      <c r="M1353" s="42"/>
      <c r="N1353" s="42"/>
      <c r="O1353" s="42"/>
      <c r="P1353" s="42"/>
      <c r="Q1353" s="42"/>
      <c r="R1353" s="42" t="s">
        <v>8170</v>
      </c>
      <c r="S1353" s="42" t="s">
        <v>553</v>
      </c>
      <c r="T1353" s="42" t="s">
        <v>4139</v>
      </c>
      <c r="U1353" s="42" t="s">
        <v>7325</v>
      </c>
      <c r="V1353" s="44" t="s">
        <v>3892</v>
      </c>
      <c r="W1353" s="42" t="s">
        <v>3892</v>
      </c>
    </row>
    <row r="1354" spans="1:23">
      <c r="A1354" s="40">
        <v>844</v>
      </c>
      <c r="B1354" s="41">
        <v>1851062964</v>
      </c>
      <c r="C1354" s="42" t="s">
        <v>8182</v>
      </c>
      <c r="D1354" s="42" t="s">
        <v>760</v>
      </c>
      <c r="E1354" s="43" t="s">
        <v>8839</v>
      </c>
      <c r="F1354" s="42"/>
      <c r="G1354" s="42"/>
      <c r="H1354" s="43"/>
      <c r="I1354" s="42"/>
      <c r="J1354" s="42"/>
      <c r="K1354" s="42"/>
      <c r="L1354" s="42"/>
      <c r="M1354" s="42"/>
      <c r="N1354" s="42"/>
      <c r="O1354" s="42"/>
      <c r="P1354" s="42"/>
      <c r="Q1354" s="42"/>
      <c r="R1354" s="42" t="s">
        <v>8170</v>
      </c>
      <c r="S1354" s="42" t="s">
        <v>553</v>
      </c>
      <c r="T1354" s="42" t="s">
        <v>4139</v>
      </c>
      <c r="U1354" s="42" t="s">
        <v>7325</v>
      </c>
      <c r="V1354" s="44" t="s">
        <v>3892</v>
      </c>
      <c r="W1354" s="42" t="s">
        <v>3892</v>
      </c>
    </row>
    <row r="1355" spans="1:23">
      <c r="A1355" s="40">
        <v>845</v>
      </c>
      <c r="B1355" s="41">
        <v>1751062234</v>
      </c>
      <c r="C1355" s="42" t="s">
        <v>7730</v>
      </c>
      <c r="D1355" s="42" t="s">
        <v>760</v>
      </c>
      <c r="E1355" s="43" t="s">
        <v>8840</v>
      </c>
      <c r="F1355" s="42"/>
      <c r="G1355" s="42"/>
      <c r="H1355" s="43"/>
      <c r="I1355" s="42"/>
      <c r="J1355" s="42"/>
      <c r="K1355" s="42"/>
      <c r="L1355" s="42"/>
      <c r="M1355" s="42"/>
      <c r="N1355" s="42"/>
      <c r="O1355" s="42"/>
      <c r="P1355" s="42"/>
      <c r="Q1355" s="42"/>
      <c r="R1355" s="42" t="s">
        <v>8170</v>
      </c>
      <c r="S1355" s="42" t="s">
        <v>553</v>
      </c>
      <c r="T1355" s="42" t="s">
        <v>4139</v>
      </c>
      <c r="U1355" s="42" t="s">
        <v>7325</v>
      </c>
      <c r="V1355" s="44" t="s">
        <v>3892</v>
      </c>
      <c r="W1355" s="42" t="s">
        <v>3892</v>
      </c>
    </row>
    <row r="1356" spans="1:23" ht="60">
      <c r="A1356" s="40">
        <v>846</v>
      </c>
      <c r="B1356" s="41">
        <v>1851063020</v>
      </c>
      <c r="C1356" s="42" t="s">
        <v>8183</v>
      </c>
      <c r="D1356" s="42" t="s">
        <v>760</v>
      </c>
      <c r="E1356" s="43" t="s">
        <v>8841</v>
      </c>
      <c r="F1356" s="42"/>
      <c r="G1356" s="42"/>
      <c r="H1356" s="43"/>
      <c r="I1356" s="42"/>
      <c r="J1356" s="42"/>
      <c r="K1356" s="42"/>
      <c r="L1356" s="42"/>
      <c r="M1356" s="42"/>
      <c r="N1356" s="42"/>
      <c r="O1356" s="42"/>
      <c r="P1356" s="42"/>
      <c r="Q1356" s="42"/>
      <c r="R1356" s="42" t="s">
        <v>8170</v>
      </c>
      <c r="S1356" s="42" t="s">
        <v>553</v>
      </c>
      <c r="T1356" s="42" t="s">
        <v>4139</v>
      </c>
      <c r="U1356" s="42" t="s">
        <v>7325</v>
      </c>
      <c r="V1356" s="44" t="s">
        <v>8184</v>
      </c>
      <c r="W1356" s="42" t="s">
        <v>3905</v>
      </c>
    </row>
    <row r="1357" spans="1:23">
      <c r="A1357" s="40">
        <v>847</v>
      </c>
      <c r="B1357" s="41">
        <v>1751060671</v>
      </c>
      <c r="C1357" s="42" t="s">
        <v>8185</v>
      </c>
      <c r="D1357" s="42" t="s">
        <v>760</v>
      </c>
      <c r="E1357" s="43" t="s">
        <v>8842</v>
      </c>
      <c r="F1357" s="42"/>
      <c r="G1357" s="42"/>
      <c r="H1357" s="43"/>
      <c r="I1357" s="42"/>
      <c r="J1357" s="42"/>
      <c r="K1357" s="42"/>
      <c r="L1357" s="42"/>
      <c r="M1357" s="42"/>
      <c r="N1357" s="42"/>
      <c r="O1357" s="42"/>
      <c r="P1357" s="42"/>
      <c r="Q1357" s="42"/>
      <c r="R1357" s="42" t="s">
        <v>8170</v>
      </c>
      <c r="S1357" s="42" t="s">
        <v>553</v>
      </c>
      <c r="T1357" s="42" t="s">
        <v>4139</v>
      </c>
      <c r="U1357" s="42" t="s">
        <v>7325</v>
      </c>
      <c r="V1357" s="44" t="s">
        <v>3892</v>
      </c>
      <c r="W1357" s="42" t="s">
        <v>3892</v>
      </c>
    </row>
    <row r="1358" spans="1:23">
      <c r="A1358" s="40">
        <v>848</v>
      </c>
      <c r="B1358" s="41">
        <v>1851062985</v>
      </c>
      <c r="C1358" s="42" t="s">
        <v>8186</v>
      </c>
      <c r="D1358" s="42" t="s">
        <v>760</v>
      </c>
      <c r="E1358" s="43" t="s">
        <v>8843</v>
      </c>
      <c r="F1358" s="42"/>
      <c r="G1358" s="42"/>
      <c r="H1358" s="43"/>
      <c r="I1358" s="42"/>
      <c r="J1358" s="42"/>
      <c r="K1358" s="42"/>
      <c r="L1358" s="42"/>
      <c r="M1358" s="42"/>
      <c r="N1358" s="42"/>
      <c r="O1358" s="42"/>
      <c r="P1358" s="42"/>
      <c r="Q1358" s="42"/>
      <c r="R1358" s="42" t="s">
        <v>8170</v>
      </c>
      <c r="S1358" s="42" t="s">
        <v>553</v>
      </c>
      <c r="T1358" s="42" t="s">
        <v>4139</v>
      </c>
      <c r="U1358" s="42" t="s">
        <v>7325</v>
      </c>
      <c r="V1358" s="44" t="s">
        <v>3892</v>
      </c>
      <c r="W1358" s="42" t="s">
        <v>3892</v>
      </c>
    </row>
    <row r="1359" spans="1:23">
      <c r="A1359" s="40">
        <v>849</v>
      </c>
      <c r="B1359" s="41">
        <v>1751060265</v>
      </c>
      <c r="C1359" s="42" t="s">
        <v>8187</v>
      </c>
      <c r="D1359" s="42" t="s">
        <v>760</v>
      </c>
      <c r="E1359" s="43" t="s">
        <v>8844</v>
      </c>
      <c r="F1359" s="42"/>
      <c r="G1359" s="42"/>
      <c r="H1359" s="43"/>
      <c r="I1359" s="42"/>
      <c r="J1359" s="42"/>
      <c r="K1359" s="42"/>
      <c r="L1359" s="42"/>
      <c r="M1359" s="42"/>
      <c r="N1359" s="42"/>
      <c r="O1359" s="42"/>
      <c r="P1359" s="42"/>
      <c r="Q1359" s="42"/>
      <c r="R1359" s="42" t="s">
        <v>8170</v>
      </c>
      <c r="S1359" s="42" t="s">
        <v>553</v>
      </c>
      <c r="T1359" s="42" t="s">
        <v>4139</v>
      </c>
      <c r="U1359" s="42" t="s">
        <v>7325</v>
      </c>
      <c r="V1359" s="44" t="s">
        <v>3892</v>
      </c>
      <c r="W1359" s="42" t="s">
        <v>3892</v>
      </c>
    </row>
    <row r="1360" spans="1:23">
      <c r="A1360" s="40">
        <v>850</v>
      </c>
      <c r="B1360" s="41">
        <v>1751061413</v>
      </c>
      <c r="C1360" s="42" t="s">
        <v>8188</v>
      </c>
      <c r="D1360" s="42" t="s">
        <v>760</v>
      </c>
      <c r="E1360" s="43" t="s">
        <v>8589</v>
      </c>
      <c r="F1360" s="42"/>
      <c r="G1360" s="42"/>
      <c r="H1360" s="43"/>
      <c r="I1360" s="42"/>
      <c r="J1360" s="42"/>
      <c r="K1360" s="42"/>
      <c r="L1360" s="42"/>
      <c r="M1360" s="42"/>
      <c r="N1360" s="42"/>
      <c r="O1360" s="42"/>
      <c r="P1360" s="42"/>
      <c r="Q1360" s="42"/>
      <c r="R1360" s="42" t="s">
        <v>8170</v>
      </c>
      <c r="S1360" s="42" t="s">
        <v>553</v>
      </c>
      <c r="T1360" s="42" t="s">
        <v>4139</v>
      </c>
      <c r="U1360" s="42" t="s">
        <v>7325</v>
      </c>
      <c r="V1360" s="44" t="s">
        <v>3892</v>
      </c>
      <c r="W1360" s="42" t="s">
        <v>3892</v>
      </c>
    </row>
    <row r="1361" spans="1:23">
      <c r="A1361" s="40">
        <v>851</v>
      </c>
      <c r="B1361" s="41">
        <v>1851063187</v>
      </c>
      <c r="C1361" s="42" t="s">
        <v>8189</v>
      </c>
      <c r="D1361" s="42" t="s">
        <v>760</v>
      </c>
      <c r="E1361" s="43" t="s">
        <v>8250</v>
      </c>
      <c r="F1361" s="42"/>
      <c r="G1361" s="42"/>
      <c r="H1361" s="43"/>
      <c r="I1361" s="42"/>
      <c r="J1361" s="42"/>
      <c r="K1361" s="42"/>
      <c r="L1361" s="42"/>
      <c r="M1361" s="42"/>
      <c r="N1361" s="42"/>
      <c r="O1361" s="42"/>
      <c r="P1361" s="42"/>
      <c r="Q1361" s="42"/>
      <c r="R1361" s="42" t="s">
        <v>8170</v>
      </c>
      <c r="S1361" s="42" t="s">
        <v>553</v>
      </c>
      <c r="T1361" s="42" t="s">
        <v>4139</v>
      </c>
      <c r="U1361" s="42" t="s">
        <v>7325</v>
      </c>
      <c r="V1361" s="44" t="s">
        <v>3892</v>
      </c>
      <c r="W1361" s="42" t="s">
        <v>3892</v>
      </c>
    </row>
    <row r="1362" spans="1:23">
      <c r="A1362" s="40">
        <v>852</v>
      </c>
      <c r="B1362" s="41">
        <v>1851063118</v>
      </c>
      <c r="C1362" s="42" t="s">
        <v>8190</v>
      </c>
      <c r="D1362" s="42" t="s">
        <v>760</v>
      </c>
      <c r="E1362" s="43" t="s">
        <v>8845</v>
      </c>
      <c r="F1362" s="42"/>
      <c r="G1362" s="42"/>
      <c r="H1362" s="43"/>
      <c r="I1362" s="42"/>
      <c r="J1362" s="42"/>
      <c r="K1362" s="42"/>
      <c r="L1362" s="42"/>
      <c r="M1362" s="42"/>
      <c r="N1362" s="42"/>
      <c r="O1362" s="42"/>
      <c r="P1362" s="42"/>
      <c r="Q1362" s="42"/>
      <c r="R1362" s="42" t="s">
        <v>8170</v>
      </c>
      <c r="S1362" s="42" t="s">
        <v>553</v>
      </c>
      <c r="T1362" s="42" t="s">
        <v>4139</v>
      </c>
      <c r="U1362" s="42" t="s">
        <v>7325</v>
      </c>
      <c r="V1362" s="44" t="s">
        <v>3892</v>
      </c>
      <c r="W1362" s="42" t="s">
        <v>3892</v>
      </c>
    </row>
    <row r="1363" spans="1:23">
      <c r="A1363" s="40">
        <v>853</v>
      </c>
      <c r="B1363" s="41">
        <v>1851062638</v>
      </c>
      <c r="C1363" s="42" t="s">
        <v>8191</v>
      </c>
      <c r="D1363" s="42" t="s">
        <v>760</v>
      </c>
      <c r="E1363" s="43" t="s">
        <v>8836</v>
      </c>
      <c r="F1363" s="42"/>
      <c r="G1363" s="42"/>
      <c r="H1363" s="43"/>
      <c r="I1363" s="42"/>
      <c r="J1363" s="42"/>
      <c r="K1363" s="42"/>
      <c r="L1363" s="42"/>
      <c r="M1363" s="42"/>
      <c r="N1363" s="42"/>
      <c r="O1363" s="42"/>
      <c r="P1363" s="42"/>
      <c r="Q1363" s="42"/>
      <c r="R1363" s="42" t="s">
        <v>8170</v>
      </c>
      <c r="S1363" s="42" t="s">
        <v>553</v>
      </c>
      <c r="T1363" s="42" t="s">
        <v>4139</v>
      </c>
      <c r="U1363" s="42" t="s">
        <v>7325</v>
      </c>
      <c r="V1363" s="44" t="s">
        <v>3892</v>
      </c>
      <c r="W1363" s="42" t="s">
        <v>3892</v>
      </c>
    </row>
    <row r="1364" spans="1:23">
      <c r="A1364" s="40">
        <v>854</v>
      </c>
      <c r="B1364" s="41">
        <v>1851062949</v>
      </c>
      <c r="C1364" s="42" t="s">
        <v>8192</v>
      </c>
      <c r="D1364" s="42" t="s">
        <v>760</v>
      </c>
      <c r="E1364" s="43" t="s">
        <v>8846</v>
      </c>
      <c r="F1364" s="42"/>
      <c r="G1364" s="42"/>
      <c r="H1364" s="43"/>
      <c r="I1364" s="42"/>
      <c r="J1364" s="42"/>
      <c r="K1364" s="42"/>
      <c r="L1364" s="42"/>
      <c r="M1364" s="42"/>
      <c r="N1364" s="42"/>
      <c r="O1364" s="42"/>
      <c r="P1364" s="42"/>
      <c r="Q1364" s="42"/>
      <c r="R1364" s="42" t="s">
        <v>8170</v>
      </c>
      <c r="S1364" s="42" t="s">
        <v>553</v>
      </c>
      <c r="T1364" s="42" t="s">
        <v>4139</v>
      </c>
      <c r="U1364" s="42" t="s">
        <v>7325</v>
      </c>
      <c r="V1364" s="44" t="s">
        <v>3892</v>
      </c>
      <c r="W1364" s="42" t="s">
        <v>3892</v>
      </c>
    </row>
    <row r="1365" spans="1:23">
      <c r="A1365" s="40">
        <v>855</v>
      </c>
      <c r="B1365" s="41">
        <v>1851062686</v>
      </c>
      <c r="C1365" s="42" t="s">
        <v>8193</v>
      </c>
      <c r="D1365" s="42" t="s">
        <v>760</v>
      </c>
      <c r="E1365" s="43" t="s">
        <v>8847</v>
      </c>
      <c r="F1365" s="42"/>
      <c r="G1365" s="42"/>
      <c r="H1365" s="43"/>
      <c r="I1365" s="42"/>
      <c r="J1365" s="42"/>
      <c r="K1365" s="42"/>
      <c r="L1365" s="42"/>
      <c r="M1365" s="42"/>
      <c r="N1365" s="42"/>
      <c r="O1365" s="42"/>
      <c r="P1365" s="42"/>
      <c r="Q1365" s="42"/>
      <c r="R1365" s="42" t="s">
        <v>8170</v>
      </c>
      <c r="S1365" s="42" t="s">
        <v>553</v>
      </c>
      <c r="T1365" s="42" t="s">
        <v>4139</v>
      </c>
      <c r="U1365" s="42" t="s">
        <v>7325</v>
      </c>
      <c r="V1365" s="44" t="s">
        <v>3892</v>
      </c>
      <c r="W1365" s="42" t="s">
        <v>3892</v>
      </c>
    </row>
    <row r="1366" spans="1:23">
      <c r="A1366" s="40">
        <v>856</v>
      </c>
      <c r="B1366" s="41">
        <v>1751061122</v>
      </c>
      <c r="C1366" s="42" t="s">
        <v>8194</v>
      </c>
      <c r="D1366" s="42" t="s">
        <v>760</v>
      </c>
      <c r="E1366" s="43" t="s">
        <v>8848</v>
      </c>
      <c r="F1366" s="42"/>
      <c r="G1366" s="42"/>
      <c r="H1366" s="43"/>
      <c r="I1366" s="42"/>
      <c r="J1366" s="42"/>
      <c r="K1366" s="42"/>
      <c r="L1366" s="42"/>
      <c r="M1366" s="42"/>
      <c r="N1366" s="42"/>
      <c r="O1366" s="42"/>
      <c r="P1366" s="42"/>
      <c r="Q1366" s="42"/>
      <c r="R1366" s="42" t="s">
        <v>8170</v>
      </c>
      <c r="S1366" s="42" t="s">
        <v>553</v>
      </c>
      <c r="T1366" s="42" t="s">
        <v>4139</v>
      </c>
      <c r="U1366" s="42" t="s">
        <v>7325</v>
      </c>
      <c r="V1366" s="44" t="s">
        <v>3892</v>
      </c>
      <c r="W1366" s="42" t="s">
        <v>3892</v>
      </c>
    </row>
    <row r="1367" spans="1:23">
      <c r="A1367" s="40">
        <v>857</v>
      </c>
      <c r="B1367" s="41">
        <v>1751061321</v>
      </c>
      <c r="C1367" s="42" t="s">
        <v>8195</v>
      </c>
      <c r="D1367" s="42" t="s">
        <v>765</v>
      </c>
      <c r="E1367" s="43" t="s">
        <v>8849</v>
      </c>
      <c r="F1367" s="42"/>
      <c r="G1367" s="42"/>
      <c r="H1367" s="43"/>
      <c r="I1367" s="42"/>
      <c r="J1367" s="42"/>
      <c r="K1367" s="42"/>
      <c r="L1367" s="42"/>
      <c r="M1367" s="42"/>
      <c r="N1367" s="42"/>
      <c r="O1367" s="42"/>
      <c r="P1367" s="42"/>
      <c r="Q1367" s="42"/>
      <c r="R1367" s="42" t="s">
        <v>8170</v>
      </c>
      <c r="S1367" s="42" t="s">
        <v>553</v>
      </c>
      <c r="T1367" s="42" t="s">
        <v>4139</v>
      </c>
      <c r="U1367" s="42" t="s">
        <v>7325</v>
      </c>
      <c r="V1367" s="44" t="s">
        <v>3892</v>
      </c>
      <c r="W1367" s="42" t="s">
        <v>3892</v>
      </c>
    </row>
    <row r="1368" spans="1:23">
      <c r="A1368" s="40">
        <v>858</v>
      </c>
      <c r="B1368" s="41">
        <v>1751060169</v>
      </c>
      <c r="C1368" s="42" t="s">
        <v>8196</v>
      </c>
      <c r="D1368" s="42" t="s">
        <v>760</v>
      </c>
      <c r="E1368" s="43" t="s">
        <v>8850</v>
      </c>
      <c r="F1368" s="42"/>
      <c r="G1368" s="42"/>
      <c r="H1368" s="43"/>
      <c r="I1368" s="42"/>
      <c r="J1368" s="42"/>
      <c r="K1368" s="42"/>
      <c r="L1368" s="42"/>
      <c r="M1368" s="42"/>
      <c r="N1368" s="42"/>
      <c r="O1368" s="42"/>
      <c r="P1368" s="42"/>
      <c r="Q1368" s="42"/>
      <c r="R1368" s="42" t="s">
        <v>8170</v>
      </c>
      <c r="S1368" s="42" t="s">
        <v>553</v>
      </c>
      <c r="T1368" s="42" t="s">
        <v>4139</v>
      </c>
      <c r="U1368" s="42" t="s">
        <v>7325</v>
      </c>
      <c r="V1368" s="44" t="s">
        <v>3892</v>
      </c>
      <c r="W1368" s="42" t="s">
        <v>3892</v>
      </c>
    </row>
    <row r="1369" spans="1:23">
      <c r="A1369" s="40">
        <v>859</v>
      </c>
      <c r="B1369" s="41">
        <v>1751060346</v>
      </c>
      <c r="C1369" s="42" t="s">
        <v>8197</v>
      </c>
      <c r="D1369" s="42" t="s">
        <v>760</v>
      </c>
      <c r="E1369" s="43" t="s">
        <v>8844</v>
      </c>
      <c r="F1369" s="42"/>
      <c r="G1369" s="42"/>
      <c r="H1369" s="43"/>
      <c r="I1369" s="42"/>
      <c r="J1369" s="42"/>
      <c r="K1369" s="42"/>
      <c r="L1369" s="42"/>
      <c r="M1369" s="42"/>
      <c r="N1369" s="42"/>
      <c r="O1369" s="42"/>
      <c r="P1369" s="42"/>
      <c r="Q1369" s="42"/>
      <c r="R1369" s="42" t="s">
        <v>8170</v>
      </c>
      <c r="S1369" s="42" t="s">
        <v>553</v>
      </c>
      <c r="T1369" s="42" t="s">
        <v>4139</v>
      </c>
      <c r="U1369" s="42" t="s">
        <v>7325</v>
      </c>
      <c r="V1369" s="44" t="s">
        <v>3892</v>
      </c>
      <c r="W1369" s="42" t="s">
        <v>3892</v>
      </c>
    </row>
    <row r="1370" spans="1:23">
      <c r="A1370" s="40">
        <v>860</v>
      </c>
      <c r="B1370" s="41">
        <v>1851063137</v>
      </c>
      <c r="C1370" s="42" t="s">
        <v>8198</v>
      </c>
      <c r="D1370" s="42" t="s">
        <v>760</v>
      </c>
      <c r="E1370" s="43" t="s">
        <v>8851</v>
      </c>
      <c r="F1370" s="42"/>
      <c r="G1370" s="42"/>
      <c r="H1370" s="43"/>
      <c r="I1370" s="42"/>
      <c r="J1370" s="42"/>
      <c r="K1370" s="42"/>
      <c r="L1370" s="42"/>
      <c r="M1370" s="42"/>
      <c r="N1370" s="42"/>
      <c r="O1370" s="42"/>
      <c r="P1370" s="42"/>
      <c r="Q1370" s="42"/>
      <c r="R1370" s="42" t="s">
        <v>8170</v>
      </c>
      <c r="S1370" s="42" t="s">
        <v>553</v>
      </c>
      <c r="T1370" s="42" t="s">
        <v>4139</v>
      </c>
      <c r="U1370" s="42" t="s">
        <v>7325</v>
      </c>
      <c r="V1370" s="44" t="s">
        <v>3892</v>
      </c>
      <c r="W1370" s="42" t="s">
        <v>3892</v>
      </c>
    </row>
    <row r="1371" spans="1:23">
      <c r="A1371" s="40">
        <v>861</v>
      </c>
      <c r="B1371" s="41">
        <v>1851063262</v>
      </c>
      <c r="C1371" s="42" t="s">
        <v>8199</v>
      </c>
      <c r="D1371" s="42" t="s">
        <v>760</v>
      </c>
      <c r="E1371" s="43" t="s">
        <v>8852</v>
      </c>
      <c r="F1371" s="42"/>
      <c r="G1371" s="42"/>
      <c r="H1371" s="43"/>
      <c r="I1371" s="42"/>
      <c r="J1371" s="42"/>
      <c r="K1371" s="42"/>
      <c r="L1371" s="42"/>
      <c r="M1371" s="42"/>
      <c r="N1371" s="42"/>
      <c r="O1371" s="42"/>
      <c r="P1371" s="42"/>
      <c r="Q1371" s="42"/>
      <c r="R1371" s="42" t="s">
        <v>8170</v>
      </c>
      <c r="S1371" s="42" t="s">
        <v>553</v>
      </c>
      <c r="T1371" s="42" t="s">
        <v>4139</v>
      </c>
      <c r="U1371" s="42" t="s">
        <v>7325</v>
      </c>
      <c r="V1371" s="44" t="s">
        <v>3892</v>
      </c>
      <c r="W1371" s="42" t="s">
        <v>3892</v>
      </c>
    </row>
    <row r="1372" spans="1:23">
      <c r="A1372" s="40">
        <v>862</v>
      </c>
      <c r="B1372" s="41">
        <v>1851063036</v>
      </c>
      <c r="C1372" s="42" t="s">
        <v>8200</v>
      </c>
      <c r="D1372" s="42" t="s">
        <v>760</v>
      </c>
      <c r="E1372" s="43" t="s">
        <v>8626</v>
      </c>
      <c r="F1372" s="42"/>
      <c r="G1372" s="42"/>
      <c r="H1372" s="43"/>
      <c r="I1372" s="42"/>
      <c r="J1372" s="42"/>
      <c r="K1372" s="42"/>
      <c r="L1372" s="42"/>
      <c r="M1372" s="42"/>
      <c r="N1372" s="42"/>
      <c r="O1372" s="42"/>
      <c r="P1372" s="42"/>
      <c r="Q1372" s="42"/>
      <c r="R1372" s="42" t="s">
        <v>8170</v>
      </c>
      <c r="S1372" s="42" t="s">
        <v>553</v>
      </c>
      <c r="T1372" s="42" t="s">
        <v>4139</v>
      </c>
      <c r="U1372" s="42" t="s">
        <v>7325</v>
      </c>
      <c r="V1372" s="44" t="s">
        <v>3892</v>
      </c>
      <c r="W1372" s="42" t="s">
        <v>3892</v>
      </c>
    </row>
    <row r="1373" spans="1:23">
      <c r="A1373" s="40">
        <v>863</v>
      </c>
      <c r="B1373" s="41">
        <v>1751060793</v>
      </c>
      <c r="C1373" s="42" t="s">
        <v>8201</v>
      </c>
      <c r="D1373" s="42" t="s">
        <v>760</v>
      </c>
      <c r="E1373" s="43" t="s">
        <v>8853</v>
      </c>
      <c r="F1373" s="42"/>
      <c r="G1373" s="42"/>
      <c r="H1373" s="43"/>
      <c r="I1373" s="42"/>
      <c r="J1373" s="42"/>
      <c r="K1373" s="42"/>
      <c r="L1373" s="42"/>
      <c r="M1373" s="42"/>
      <c r="N1373" s="42"/>
      <c r="O1373" s="42"/>
      <c r="P1373" s="42"/>
      <c r="Q1373" s="42"/>
      <c r="R1373" s="42" t="s">
        <v>8170</v>
      </c>
      <c r="S1373" s="42" t="s">
        <v>553</v>
      </c>
      <c r="T1373" s="42" t="s">
        <v>4139</v>
      </c>
      <c r="U1373" s="42" t="s">
        <v>7325</v>
      </c>
      <c r="V1373" s="44" t="s">
        <v>3892</v>
      </c>
      <c r="W1373" s="42" t="s">
        <v>3892</v>
      </c>
    </row>
    <row r="1374" spans="1:23">
      <c r="A1374" s="40">
        <v>864</v>
      </c>
      <c r="B1374" s="41">
        <v>1751060576</v>
      </c>
      <c r="C1374" s="42" t="s">
        <v>8202</v>
      </c>
      <c r="D1374" s="42" t="s">
        <v>760</v>
      </c>
      <c r="E1374" s="43" t="s">
        <v>8767</v>
      </c>
      <c r="F1374" s="42"/>
      <c r="G1374" s="42"/>
      <c r="H1374" s="43"/>
      <c r="I1374" s="42"/>
      <c r="J1374" s="42"/>
      <c r="K1374" s="42"/>
      <c r="L1374" s="42"/>
      <c r="M1374" s="42"/>
      <c r="N1374" s="42"/>
      <c r="O1374" s="42"/>
      <c r="P1374" s="42"/>
      <c r="Q1374" s="42"/>
      <c r="R1374" s="42" t="s">
        <v>8170</v>
      </c>
      <c r="S1374" s="42" t="s">
        <v>553</v>
      </c>
      <c r="T1374" s="42" t="s">
        <v>4139</v>
      </c>
      <c r="U1374" s="42" t="s">
        <v>7325</v>
      </c>
      <c r="V1374" s="44" t="s">
        <v>3892</v>
      </c>
      <c r="W1374" s="42" t="s">
        <v>3892</v>
      </c>
    </row>
    <row r="1375" spans="1:23">
      <c r="A1375" s="40">
        <v>865</v>
      </c>
      <c r="B1375" s="41">
        <v>1751060538</v>
      </c>
      <c r="C1375" s="42" t="s">
        <v>8203</v>
      </c>
      <c r="D1375" s="42" t="s">
        <v>760</v>
      </c>
      <c r="E1375" s="43" t="s">
        <v>8854</v>
      </c>
      <c r="F1375" s="42"/>
      <c r="G1375" s="42"/>
      <c r="H1375" s="43"/>
      <c r="I1375" s="42"/>
      <c r="J1375" s="42"/>
      <c r="K1375" s="42"/>
      <c r="L1375" s="42"/>
      <c r="M1375" s="42"/>
      <c r="N1375" s="42"/>
      <c r="O1375" s="42"/>
      <c r="P1375" s="42"/>
      <c r="Q1375" s="42"/>
      <c r="R1375" s="42" t="s">
        <v>8170</v>
      </c>
      <c r="S1375" s="42" t="s">
        <v>553</v>
      </c>
      <c r="T1375" s="42" t="s">
        <v>4139</v>
      </c>
      <c r="U1375" s="42" t="s">
        <v>7325</v>
      </c>
      <c r="V1375" s="44" t="s">
        <v>3892</v>
      </c>
      <c r="W1375" s="42" t="s">
        <v>3892</v>
      </c>
    </row>
    <row r="1376" spans="1:23">
      <c r="A1376" s="40">
        <v>866</v>
      </c>
      <c r="B1376" s="41">
        <v>1851063033</v>
      </c>
      <c r="C1376" s="42" t="s">
        <v>8204</v>
      </c>
      <c r="D1376" s="42" t="s">
        <v>760</v>
      </c>
      <c r="E1376" s="43" t="s">
        <v>8819</v>
      </c>
      <c r="F1376" s="42"/>
      <c r="G1376" s="42"/>
      <c r="H1376" s="43"/>
      <c r="I1376" s="42"/>
      <c r="J1376" s="42"/>
      <c r="K1376" s="42"/>
      <c r="L1376" s="42"/>
      <c r="M1376" s="42"/>
      <c r="N1376" s="42"/>
      <c r="O1376" s="42"/>
      <c r="P1376" s="42"/>
      <c r="Q1376" s="42"/>
      <c r="R1376" s="42" t="s">
        <v>8170</v>
      </c>
      <c r="S1376" s="42" t="s">
        <v>553</v>
      </c>
      <c r="T1376" s="42" t="s">
        <v>4139</v>
      </c>
      <c r="U1376" s="42" t="s">
        <v>7325</v>
      </c>
      <c r="V1376" s="44" t="s">
        <v>3892</v>
      </c>
      <c r="W1376" s="42" t="s">
        <v>3892</v>
      </c>
    </row>
    <row r="1377" spans="1:23">
      <c r="A1377" s="40">
        <v>867</v>
      </c>
      <c r="B1377" s="41">
        <v>1751060301</v>
      </c>
      <c r="C1377" s="42" t="s">
        <v>8205</v>
      </c>
      <c r="D1377" s="42" t="s">
        <v>3892</v>
      </c>
      <c r="E1377" s="43" t="s">
        <v>7273</v>
      </c>
      <c r="F1377" s="42"/>
      <c r="G1377" s="42"/>
      <c r="H1377" s="43"/>
      <c r="I1377" s="42"/>
      <c r="J1377" s="42"/>
      <c r="K1377" s="42"/>
      <c r="L1377" s="42"/>
      <c r="M1377" s="42"/>
      <c r="N1377" s="42"/>
      <c r="O1377" s="42"/>
      <c r="P1377" s="42"/>
      <c r="Q1377" s="42"/>
      <c r="R1377" s="42" t="s">
        <v>8170</v>
      </c>
      <c r="S1377" s="42" t="s">
        <v>553</v>
      </c>
      <c r="T1377" s="42" t="s">
        <v>4139</v>
      </c>
      <c r="U1377" s="42" t="s">
        <v>7325</v>
      </c>
      <c r="V1377" s="44" t="s">
        <v>3892</v>
      </c>
      <c r="W1377" s="42" t="s">
        <v>3892</v>
      </c>
    </row>
    <row r="1378" spans="1:23">
      <c r="A1378" s="40">
        <v>868</v>
      </c>
      <c r="B1378" s="41">
        <v>1751060581</v>
      </c>
      <c r="C1378" s="42" t="s">
        <v>8206</v>
      </c>
      <c r="D1378" s="42" t="s">
        <v>760</v>
      </c>
      <c r="E1378" s="43" t="s">
        <v>8855</v>
      </c>
      <c r="F1378" s="42"/>
      <c r="G1378" s="42"/>
      <c r="H1378" s="43"/>
      <c r="I1378" s="42"/>
      <c r="J1378" s="42"/>
      <c r="K1378" s="42"/>
      <c r="L1378" s="42"/>
      <c r="M1378" s="42"/>
      <c r="N1378" s="42"/>
      <c r="O1378" s="42"/>
      <c r="P1378" s="42"/>
      <c r="Q1378" s="42"/>
      <c r="R1378" s="42" t="s">
        <v>8170</v>
      </c>
      <c r="S1378" s="42" t="s">
        <v>553</v>
      </c>
      <c r="T1378" s="42" t="s">
        <v>4139</v>
      </c>
      <c r="U1378" s="42" t="s">
        <v>7325</v>
      </c>
      <c r="V1378" s="44" t="s">
        <v>3892</v>
      </c>
      <c r="W1378" s="42" t="s">
        <v>3892</v>
      </c>
    </row>
    <row r="1379" spans="1:23">
      <c r="A1379" s="40">
        <v>869</v>
      </c>
      <c r="B1379" s="41">
        <v>1751060508</v>
      </c>
      <c r="C1379" s="42" t="s">
        <v>8207</v>
      </c>
      <c r="D1379" s="42" t="s">
        <v>760</v>
      </c>
      <c r="E1379" s="43" t="s">
        <v>8530</v>
      </c>
      <c r="F1379" s="42"/>
      <c r="G1379" s="42"/>
      <c r="H1379" s="43"/>
      <c r="I1379" s="42"/>
      <c r="J1379" s="42"/>
      <c r="K1379" s="42"/>
      <c r="L1379" s="42"/>
      <c r="M1379" s="42"/>
      <c r="N1379" s="42"/>
      <c r="O1379" s="42"/>
      <c r="P1379" s="42"/>
      <c r="Q1379" s="42"/>
      <c r="R1379" s="42" t="s">
        <v>8170</v>
      </c>
      <c r="S1379" s="42" t="s">
        <v>553</v>
      </c>
      <c r="T1379" s="42" t="s">
        <v>4139</v>
      </c>
      <c r="U1379" s="42" t="s">
        <v>7325</v>
      </c>
      <c r="V1379" s="44" t="s">
        <v>3892</v>
      </c>
      <c r="W1379" s="42" t="s">
        <v>3892</v>
      </c>
    </row>
    <row r="1380" spans="1:23">
      <c r="A1380" s="40">
        <v>870</v>
      </c>
      <c r="B1380" s="41">
        <v>1851062799</v>
      </c>
      <c r="C1380" s="42" t="s">
        <v>8208</v>
      </c>
      <c r="D1380" s="42" t="s">
        <v>760</v>
      </c>
      <c r="E1380" s="43" t="s">
        <v>8325</v>
      </c>
      <c r="F1380" s="42"/>
      <c r="G1380" s="42"/>
      <c r="H1380" s="43"/>
      <c r="I1380" s="42"/>
      <c r="J1380" s="42"/>
      <c r="K1380" s="42"/>
      <c r="L1380" s="42"/>
      <c r="M1380" s="42"/>
      <c r="N1380" s="42"/>
      <c r="O1380" s="42"/>
      <c r="P1380" s="42"/>
      <c r="Q1380" s="42"/>
      <c r="R1380" s="42" t="s">
        <v>8170</v>
      </c>
      <c r="S1380" s="42" t="s">
        <v>553</v>
      </c>
      <c r="T1380" s="42" t="s">
        <v>4139</v>
      </c>
      <c r="U1380" s="42" t="s">
        <v>7325</v>
      </c>
      <c r="V1380" s="44" t="s">
        <v>3892</v>
      </c>
      <c r="W1380" s="42" t="s">
        <v>3892</v>
      </c>
    </row>
    <row r="1381" spans="1:23">
      <c r="A1381" s="40">
        <v>871</v>
      </c>
      <c r="B1381" s="41">
        <v>1751060480</v>
      </c>
      <c r="C1381" s="42" t="s">
        <v>8209</v>
      </c>
      <c r="D1381" s="42" t="s">
        <v>760</v>
      </c>
      <c r="E1381" s="43" t="s">
        <v>8856</v>
      </c>
      <c r="F1381" s="42"/>
      <c r="G1381" s="42"/>
      <c r="H1381" s="43"/>
      <c r="I1381" s="42"/>
      <c r="J1381" s="42"/>
      <c r="K1381" s="42"/>
      <c r="L1381" s="42"/>
      <c r="M1381" s="42"/>
      <c r="N1381" s="42"/>
      <c r="O1381" s="42"/>
      <c r="P1381" s="42"/>
      <c r="Q1381" s="42"/>
      <c r="R1381" s="42" t="s">
        <v>8170</v>
      </c>
      <c r="S1381" s="42" t="s">
        <v>553</v>
      </c>
      <c r="T1381" s="42" t="s">
        <v>4139</v>
      </c>
      <c r="U1381" s="42" t="s">
        <v>7325</v>
      </c>
      <c r="V1381" s="44" t="s">
        <v>3892</v>
      </c>
      <c r="W1381" s="42" t="s">
        <v>3892</v>
      </c>
    </row>
    <row r="1382" spans="1:23">
      <c r="A1382" s="40">
        <v>872</v>
      </c>
      <c r="B1382" s="41">
        <v>1751060562</v>
      </c>
      <c r="C1382" s="42" t="s">
        <v>8210</v>
      </c>
      <c r="D1382" s="42" t="s">
        <v>760</v>
      </c>
      <c r="E1382" s="43" t="s">
        <v>8857</v>
      </c>
      <c r="F1382" s="42"/>
      <c r="G1382" s="42"/>
      <c r="H1382" s="43"/>
      <c r="I1382" s="42"/>
      <c r="J1382" s="42"/>
      <c r="K1382" s="42"/>
      <c r="L1382" s="42"/>
      <c r="M1382" s="42"/>
      <c r="N1382" s="42"/>
      <c r="O1382" s="42"/>
      <c r="P1382" s="42"/>
      <c r="Q1382" s="42"/>
      <c r="R1382" s="42" t="s">
        <v>8170</v>
      </c>
      <c r="S1382" s="42" t="s">
        <v>553</v>
      </c>
      <c r="T1382" s="42" t="s">
        <v>4139</v>
      </c>
      <c r="U1382" s="42" t="s">
        <v>7325</v>
      </c>
      <c r="V1382" s="44" t="s">
        <v>3892</v>
      </c>
      <c r="W1382" s="42" t="s">
        <v>3892</v>
      </c>
    </row>
    <row r="1383" spans="1:23">
      <c r="A1383" s="40">
        <v>873</v>
      </c>
      <c r="B1383" s="41">
        <v>1751060365</v>
      </c>
      <c r="C1383" s="42" t="s">
        <v>8211</v>
      </c>
      <c r="D1383" s="42" t="s">
        <v>760</v>
      </c>
      <c r="E1383" s="43" t="s">
        <v>8747</v>
      </c>
      <c r="F1383" s="42"/>
      <c r="G1383" s="42"/>
      <c r="H1383" s="43"/>
      <c r="I1383" s="42"/>
      <c r="J1383" s="42"/>
      <c r="K1383" s="42"/>
      <c r="L1383" s="42"/>
      <c r="M1383" s="42"/>
      <c r="N1383" s="42"/>
      <c r="O1383" s="42"/>
      <c r="P1383" s="42"/>
      <c r="Q1383" s="42"/>
      <c r="R1383" s="42" t="s">
        <v>8170</v>
      </c>
      <c r="S1383" s="42" t="s">
        <v>553</v>
      </c>
      <c r="T1383" s="42" t="s">
        <v>4139</v>
      </c>
      <c r="U1383" s="42" t="s">
        <v>7325</v>
      </c>
      <c r="V1383" s="44" t="s">
        <v>3892</v>
      </c>
      <c r="W1383" s="42" t="s">
        <v>3892</v>
      </c>
    </row>
    <row r="1384" spans="1:23" ht="105">
      <c r="A1384" s="40">
        <v>874</v>
      </c>
      <c r="B1384" s="41">
        <v>1851062973</v>
      </c>
      <c r="C1384" s="42" t="s">
        <v>8212</v>
      </c>
      <c r="D1384" s="42" t="s">
        <v>760</v>
      </c>
      <c r="E1384" s="43" t="s">
        <v>8314</v>
      </c>
      <c r="F1384" s="42"/>
      <c r="G1384" s="42"/>
      <c r="H1384" s="43"/>
      <c r="I1384" s="42"/>
      <c r="J1384" s="42"/>
      <c r="K1384" s="42"/>
      <c r="L1384" s="42"/>
      <c r="M1384" s="42"/>
      <c r="N1384" s="42"/>
      <c r="O1384" s="42"/>
      <c r="P1384" s="42"/>
      <c r="Q1384" s="42"/>
      <c r="R1384" s="42" t="s">
        <v>8170</v>
      </c>
      <c r="S1384" s="42" t="s">
        <v>553</v>
      </c>
      <c r="T1384" s="42" t="s">
        <v>4139</v>
      </c>
      <c r="U1384" s="42" t="s">
        <v>7325</v>
      </c>
      <c r="V1384" s="44" t="s">
        <v>8213</v>
      </c>
      <c r="W1384" s="42" t="s">
        <v>3905</v>
      </c>
    </row>
    <row r="1385" spans="1:23">
      <c r="A1385" s="40">
        <v>875</v>
      </c>
      <c r="B1385" s="41">
        <v>1851062701</v>
      </c>
      <c r="C1385" s="42" t="s">
        <v>8214</v>
      </c>
      <c r="D1385" s="42" t="s">
        <v>765</v>
      </c>
      <c r="E1385" s="43" t="s">
        <v>8722</v>
      </c>
      <c r="F1385" s="42"/>
      <c r="G1385" s="42"/>
      <c r="H1385" s="43"/>
      <c r="I1385" s="42"/>
      <c r="J1385" s="42"/>
      <c r="K1385" s="42"/>
      <c r="L1385" s="42"/>
      <c r="M1385" s="42"/>
      <c r="N1385" s="42"/>
      <c r="O1385" s="42"/>
      <c r="P1385" s="42"/>
      <c r="Q1385" s="42"/>
      <c r="R1385" s="42" t="s">
        <v>8170</v>
      </c>
      <c r="S1385" s="42" t="s">
        <v>553</v>
      </c>
      <c r="T1385" s="42" t="s">
        <v>4139</v>
      </c>
      <c r="U1385" s="42" t="s">
        <v>7325</v>
      </c>
      <c r="V1385" s="44" t="s">
        <v>3892</v>
      </c>
      <c r="W1385" s="42" t="s">
        <v>3892</v>
      </c>
    </row>
    <row r="1386" spans="1:23">
      <c r="A1386" s="40">
        <v>876</v>
      </c>
      <c r="B1386" s="41">
        <v>1851062795</v>
      </c>
      <c r="C1386" s="42" t="s">
        <v>8215</v>
      </c>
      <c r="D1386" s="42" t="s">
        <v>760</v>
      </c>
      <c r="E1386" s="43" t="s">
        <v>7283</v>
      </c>
      <c r="F1386" s="42"/>
      <c r="G1386" s="42"/>
      <c r="H1386" s="43"/>
      <c r="I1386" s="42"/>
      <c r="J1386" s="42"/>
      <c r="K1386" s="42"/>
      <c r="L1386" s="42"/>
      <c r="M1386" s="42"/>
      <c r="N1386" s="42"/>
      <c r="O1386" s="42"/>
      <c r="P1386" s="42"/>
      <c r="Q1386" s="42"/>
      <c r="R1386" s="42" t="s">
        <v>8170</v>
      </c>
      <c r="S1386" s="42" t="s">
        <v>553</v>
      </c>
      <c r="T1386" s="42" t="s">
        <v>4139</v>
      </c>
      <c r="U1386" s="42" t="s">
        <v>7325</v>
      </c>
      <c r="V1386" s="44" t="s">
        <v>3892</v>
      </c>
      <c r="W1386" s="42" t="s">
        <v>3892</v>
      </c>
    </row>
    <row r="1387" spans="1:23">
      <c r="A1387" s="40">
        <v>877</v>
      </c>
      <c r="B1387" s="41">
        <v>1751060431</v>
      </c>
      <c r="C1387" s="42" t="s">
        <v>8216</v>
      </c>
      <c r="D1387" s="42" t="s">
        <v>3892</v>
      </c>
      <c r="E1387" s="43" t="s">
        <v>7273</v>
      </c>
      <c r="F1387" s="42"/>
      <c r="G1387" s="42"/>
      <c r="H1387" s="43"/>
      <c r="I1387" s="42"/>
      <c r="J1387" s="42"/>
      <c r="K1387" s="42"/>
      <c r="L1387" s="42"/>
      <c r="M1387" s="42"/>
      <c r="N1387" s="42"/>
      <c r="O1387" s="42"/>
      <c r="P1387" s="42"/>
      <c r="Q1387" s="42"/>
      <c r="R1387" s="42" t="s">
        <v>8170</v>
      </c>
      <c r="S1387" s="42" t="s">
        <v>553</v>
      </c>
      <c r="T1387" s="42" t="s">
        <v>4139</v>
      </c>
      <c r="U1387" s="42" t="s">
        <v>7325</v>
      </c>
      <c r="V1387" s="44" t="s">
        <v>3892</v>
      </c>
      <c r="W1387" s="42" t="s">
        <v>7345</v>
      </c>
    </row>
    <row r="1388" spans="1:23">
      <c r="A1388" s="40">
        <v>878</v>
      </c>
      <c r="B1388" s="41">
        <v>1751060541</v>
      </c>
      <c r="C1388" s="42" t="s">
        <v>8217</v>
      </c>
      <c r="D1388" s="42" t="s">
        <v>760</v>
      </c>
      <c r="E1388" s="43" t="s">
        <v>8858</v>
      </c>
      <c r="F1388" s="42"/>
      <c r="G1388" s="42"/>
      <c r="H1388" s="43"/>
      <c r="I1388" s="42"/>
      <c r="J1388" s="42"/>
      <c r="K1388" s="42"/>
      <c r="L1388" s="42"/>
      <c r="M1388" s="42"/>
      <c r="N1388" s="42"/>
      <c r="O1388" s="42"/>
      <c r="P1388" s="42"/>
      <c r="Q1388" s="42"/>
      <c r="R1388" s="42" t="s">
        <v>8170</v>
      </c>
      <c r="S1388" s="42" t="s">
        <v>553</v>
      </c>
      <c r="T1388" s="42" t="s">
        <v>4139</v>
      </c>
      <c r="U1388" s="42" t="s">
        <v>7325</v>
      </c>
      <c r="V1388" s="44" t="s">
        <v>3892</v>
      </c>
      <c r="W1388" s="42" t="s">
        <v>3892</v>
      </c>
    </row>
    <row r="1389" spans="1:23">
      <c r="A1389" s="40">
        <v>879</v>
      </c>
      <c r="B1389" s="41">
        <v>1851062758</v>
      </c>
      <c r="C1389" s="42" t="s">
        <v>8048</v>
      </c>
      <c r="D1389" s="42" t="s">
        <v>765</v>
      </c>
      <c r="E1389" s="43" t="s">
        <v>8821</v>
      </c>
      <c r="F1389" s="42"/>
      <c r="G1389" s="42"/>
      <c r="H1389" s="43"/>
      <c r="I1389" s="42"/>
      <c r="J1389" s="42"/>
      <c r="K1389" s="42"/>
      <c r="L1389" s="42"/>
      <c r="M1389" s="42"/>
      <c r="N1389" s="42"/>
      <c r="O1389" s="42"/>
      <c r="P1389" s="42"/>
      <c r="Q1389" s="42"/>
      <c r="R1389" s="42" t="s">
        <v>8170</v>
      </c>
      <c r="S1389" s="42" t="s">
        <v>553</v>
      </c>
      <c r="T1389" s="42" t="s">
        <v>4139</v>
      </c>
      <c r="U1389" s="42" t="s">
        <v>7325</v>
      </c>
      <c r="V1389" s="44" t="s">
        <v>3892</v>
      </c>
      <c r="W1389" s="42" t="s">
        <v>3892</v>
      </c>
    </row>
    <row r="1390" spans="1:23">
      <c r="A1390" s="40">
        <v>880</v>
      </c>
      <c r="B1390" s="41">
        <v>1751060311</v>
      </c>
      <c r="C1390" s="42" t="s">
        <v>8218</v>
      </c>
      <c r="D1390" s="42" t="s">
        <v>760</v>
      </c>
      <c r="E1390" s="43" t="s">
        <v>8859</v>
      </c>
      <c r="F1390" s="42"/>
      <c r="G1390" s="42"/>
      <c r="H1390" s="43"/>
      <c r="I1390" s="42"/>
      <c r="J1390" s="42"/>
      <c r="K1390" s="42"/>
      <c r="L1390" s="42"/>
      <c r="M1390" s="42"/>
      <c r="N1390" s="42"/>
      <c r="O1390" s="42"/>
      <c r="P1390" s="42"/>
      <c r="Q1390" s="42"/>
      <c r="R1390" s="42" t="s">
        <v>8170</v>
      </c>
      <c r="S1390" s="42" t="s">
        <v>553</v>
      </c>
      <c r="T1390" s="42" t="s">
        <v>4139</v>
      </c>
      <c r="U1390" s="42" t="s">
        <v>7325</v>
      </c>
      <c r="V1390" s="44" t="s">
        <v>3892</v>
      </c>
      <c r="W1390" s="42" t="s">
        <v>3892</v>
      </c>
    </row>
    <row r="1391" spans="1:23">
      <c r="A1391" s="40">
        <v>881</v>
      </c>
      <c r="B1391" s="41">
        <v>1751060801</v>
      </c>
      <c r="C1391" s="42" t="s">
        <v>8219</v>
      </c>
      <c r="D1391" s="42" t="s">
        <v>760</v>
      </c>
      <c r="E1391" s="43" t="s">
        <v>8860</v>
      </c>
      <c r="F1391" s="42"/>
      <c r="G1391" s="42"/>
      <c r="H1391" s="43"/>
      <c r="I1391" s="42"/>
      <c r="J1391" s="42"/>
      <c r="K1391" s="42"/>
      <c r="L1391" s="42"/>
      <c r="M1391" s="42"/>
      <c r="N1391" s="42"/>
      <c r="O1391" s="42"/>
      <c r="P1391" s="42"/>
      <c r="Q1391" s="42"/>
      <c r="R1391" s="42" t="s">
        <v>8170</v>
      </c>
      <c r="S1391" s="42" t="s">
        <v>553</v>
      </c>
      <c r="T1391" s="42" t="s">
        <v>4139</v>
      </c>
      <c r="U1391" s="42" t="s">
        <v>7325</v>
      </c>
      <c r="V1391" s="44" t="s">
        <v>3892</v>
      </c>
      <c r="W1391" s="42" t="s">
        <v>3892</v>
      </c>
    </row>
    <row r="1392" spans="1:23">
      <c r="A1392" s="40">
        <v>882</v>
      </c>
      <c r="B1392" s="41">
        <v>1751061605</v>
      </c>
      <c r="C1392" s="42" t="s">
        <v>8220</v>
      </c>
      <c r="D1392" s="42" t="s">
        <v>760</v>
      </c>
      <c r="E1392" s="43" t="s">
        <v>8861</v>
      </c>
      <c r="F1392" s="42"/>
      <c r="G1392" s="42"/>
      <c r="H1392" s="43"/>
      <c r="I1392" s="42"/>
      <c r="J1392" s="42"/>
      <c r="K1392" s="42"/>
      <c r="L1392" s="42"/>
      <c r="M1392" s="42"/>
      <c r="N1392" s="42"/>
      <c r="O1392" s="42"/>
      <c r="P1392" s="42"/>
      <c r="Q1392" s="42"/>
      <c r="R1392" s="42" t="s">
        <v>8170</v>
      </c>
      <c r="S1392" s="42" t="s">
        <v>553</v>
      </c>
      <c r="T1392" s="42" t="s">
        <v>4139</v>
      </c>
      <c r="U1392" s="42" t="s">
        <v>7325</v>
      </c>
      <c r="V1392" s="44" t="s">
        <v>3892</v>
      </c>
      <c r="W1392" s="42" t="s">
        <v>3892</v>
      </c>
    </row>
    <row r="1393" spans="1:23">
      <c r="A1393" s="40">
        <v>883</v>
      </c>
      <c r="B1393" s="41">
        <v>1751060703</v>
      </c>
      <c r="C1393" s="42" t="s">
        <v>8221</v>
      </c>
      <c r="D1393" s="42" t="s">
        <v>760</v>
      </c>
      <c r="E1393" s="43" t="s">
        <v>8862</v>
      </c>
      <c r="F1393" s="42"/>
      <c r="G1393" s="42"/>
      <c r="H1393" s="43"/>
      <c r="I1393" s="42"/>
      <c r="J1393" s="42"/>
      <c r="K1393" s="42"/>
      <c r="L1393" s="42"/>
      <c r="M1393" s="42"/>
      <c r="N1393" s="42"/>
      <c r="O1393" s="42"/>
      <c r="P1393" s="42"/>
      <c r="Q1393" s="42"/>
      <c r="R1393" s="42" t="s">
        <v>8170</v>
      </c>
      <c r="S1393" s="42" t="s">
        <v>553</v>
      </c>
      <c r="T1393" s="42" t="s">
        <v>4139</v>
      </c>
      <c r="U1393" s="42" t="s">
        <v>7325</v>
      </c>
      <c r="V1393" s="44" t="s">
        <v>3892</v>
      </c>
      <c r="W1393" s="42" t="s">
        <v>3892</v>
      </c>
    </row>
    <row r="1394" spans="1:23">
      <c r="A1394" s="40">
        <v>884</v>
      </c>
      <c r="B1394" s="41">
        <v>1751062278</v>
      </c>
      <c r="C1394" s="42" t="s">
        <v>8222</v>
      </c>
      <c r="D1394" s="42" t="s">
        <v>760</v>
      </c>
      <c r="E1394" s="43" t="s">
        <v>8863</v>
      </c>
      <c r="F1394" s="42"/>
      <c r="G1394" s="42"/>
      <c r="H1394" s="43"/>
      <c r="I1394" s="42"/>
      <c r="J1394" s="42"/>
      <c r="K1394" s="42"/>
      <c r="L1394" s="42"/>
      <c r="M1394" s="42"/>
      <c r="N1394" s="42"/>
      <c r="O1394" s="42"/>
      <c r="P1394" s="42"/>
      <c r="Q1394" s="42"/>
      <c r="R1394" s="42" t="s">
        <v>8170</v>
      </c>
      <c r="S1394" s="42" t="s">
        <v>553</v>
      </c>
      <c r="T1394" s="42" t="s">
        <v>4139</v>
      </c>
      <c r="U1394" s="42" t="s">
        <v>7325</v>
      </c>
      <c r="V1394" s="44" t="s">
        <v>3892</v>
      </c>
      <c r="W1394" s="42" t="s">
        <v>3892</v>
      </c>
    </row>
    <row r="1395" spans="1:23">
      <c r="A1395" s="40">
        <v>885</v>
      </c>
      <c r="B1395" s="41">
        <v>1751060699</v>
      </c>
      <c r="C1395" s="42" t="s">
        <v>8223</v>
      </c>
      <c r="D1395" s="42" t="s">
        <v>760</v>
      </c>
      <c r="E1395" s="43" t="s">
        <v>8618</v>
      </c>
      <c r="F1395" s="42"/>
      <c r="G1395" s="42"/>
      <c r="H1395" s="43"/>
      <c r="I1395" s="42"/>
      <c r="J1395" s="42"/>
      <c r="K1395" s="42"/>
      <c r="L1395" s="42"/>
      <c r="M1395" s="42"/>
      <c r="N1395" s="42"/>
      <c r="O1395" s="42"/>
      <c r="P1395" s="42"/>
      <c r="Q1395" s="42"/>
      <c r="R1395" s="42" t="s">
        <v>8170</v>
      </c>
      <c r="S1395" s="42" t="s">
        <v>553</v>
      </c>
      <c r="T1395" s="42" t="s">
        <v>4139</v>
      </c>
      <c r="U1395" s="42" t="s">
        <v>7325</v>
      </c>
      <c r="V1395" s="44" t="s">
        <v>3892</v>
      </c>
      <c r="W1395" s="42" t="s">
        <v>3892</v>
      </c>
    </row>
    <row r="1396" spans="1:23">
      <c r="A1396" s="40">
        <v>886</v>
      </c>
      <c r="B1396" s="41">
        <v>1751060696</v>
      </c>
      <c r="C1396" s="42" t="s">
        <v>8224</v>
      </c>
      <c r="D1396" s="42" t="s">
        <v>3892</v>
      </c>
      <c r="E1396" s="43"/>
      <c r="F1396" s="42"/>
      <c r="G1396" s="42"/>
      <c r="H1396" s="43"/>
      <c r="I1396" s="42"/>
      <c r="J1396" s="42"/>
      <c r="K1396" s="42"/>
      <c r="L1396" s="42"/>
      <c r="M1396" s="42"/>
      <c r="N1396" s="42"/>
      <c r="O1396" s="42"/>
      <c r="P1396" s="42"/>
      <c r="Q1396" s="42"/>
      <c r="R1396" s="42" t="s">
        <v>8170</v>
      </c>
      <c r="S1396" s="42" t="s">
        <v>553</v>
      </c>
      <c r="T1396" s="42" t="s">
        <v>4139</v>
      </c>
      <c r="U1396" s="42" t="s">
        <v>7325</v>
      </c>
      <c r="V1396" s="44" t="s">
        <v>3892</v>
      </c>
      <c r="W1396" s="42" t="s">
        <v>7345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C1" sqref="C1:D1"/>
    </sheetView>
  </sheetViews>
  <sheetFormatPr defaultRowHeight="15"/>
  <cols>
    <col min="1" max="1" width="49" customWidth="1"/>
    <col min="4" max="4" width="15.7109375" bestFit="1" customWidth="1"/>
  </cols>
  <sheetData>
    <row r="1" spans="1:4" ht="15" customHeight="1">
      <c r="A1" s="47" t="s">
        <v>14</v>
      </c>
      <c r="C1" s="47" t="s">
        <v>8864</v>
      </c>
      <c r="D1" s="47" t="s">
        <v>8865</v>
      </c>
    </row>
    <row r="2" spans="1:4" ht="15" customHeight="1">
      <c r="A2" s="3" t="s">
        <v>727</v>
      </c>
    </row>
    <row r="3" spans="1:4" ht="15.75">
      <c r="A3" s="3" t="s">
        <v>196</v>
      </c>
    </row>
    <row r="4" spans="1:4" ht="15.75">
      <c r="A4" s="3" t="s">
        <v>261</v>
      </c>
    </row>
    <row r="5" spans="1:4" ht="15.75">
      <c r="A5" s="3" t="s">
        <v>317</v>
      </c>
    </row>
    <row r="6" spans="1:4">
      <c r="A6" s="48"/>
    </row>
    <row r="16" spans="1:4">
      <c r="A16" s="4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activeCell="G11" sqref="G11"/>
    </sheetView>
  </sheetViews>
  <sheetFormatPr defaultRowHeight="15"/>
  <cols>
    <col min="1" max="1" width="54.42578125" bestFit="1" customWidth="1"/>
    <col min="2" max="2" width="45.5703125" bestFit="1" customWidth="1"/>
    <col min="4" max="4" width="19.28515625" bestFit="1" customWidth="1"/>
    <col min="5" max="5" width="12.42578125" bestFit="1" customWidth="1"/>
  </cols>
  <sheetData>
    <row r="1" spans="1:5" ht="18.75">
      <c r="A1" s="76" t="s">
        <v>14</v>
      </c>
      <c r="B1" s="78" t="s">
        <v>7</v>
      </c>
      <c r="C1" s="76" t="s">
        <v>8864</v>
      </c>
      <c r="D1" s="80" t="s">
        <v>8865</v>
      </c>
      <c r="E1" s="81"/>
    </row>
    <row r="2" spans="1:5" ht="18.75">
      <c r="A2" s="77"/>
      <c r="B2" s="79"/>
      <c r="C2" s="77"/>
      <c r="D2" s="56" t="s">
        <v>8867</v>
      </c>
      <c r="E2" s="49" t="s">
        <v>8868</v>
      </c>
    </row>
    <row r="3" spans="1:5" ht="18.75">
      <c r="A3" s="89" t="s">
        <v>727</v>
      </c>
      <c r="B3" s="50" t="s">
        <v>22</v>
      </c>
      <c r="C3" s="82">
        <v>2</v>
      </c>
      <c r="D3" s="53">
        <f>COUNTIF(TH!$R$4:$R$201,B3)</f>
        <v>2</v>
      </c>
      <c r="E3" s="82">
        <f>COUNTIF(TH!$Y$4:$Y$201,A3)</f>
        <v>73</v>
      </c>
    </row>
    <row r="4" spans="1:5" ht="18.75">
      <c r="A4" s="89"/>
      <c r="B4" s="50" t="s">
        <v>29</v>
      </c>
      <c r="C4" s="83"/>
      <c r="D4" s="53">
        <f>COUNTIF(TH!$R$4:$R$201,B4)</f>
        <v>25</v>
      </c>
      <c r="E4" s="83"/>
    </row>
    <row r="5" spans="1:5" ht="18.75">
      <c r="A5" s="89"/>
      <c r="B5" s="50" t="s">
        <v>55</v>
      </c>
      <c r="C5" s="84"/>
      <c r="D5" s="53">
        <f>COUNTIF(TH!$R$4:$R$201,B5)</f>
        <v>8</v>
      </c>
      <c r="E5" s="83"/>
    </row>
    <row r="6" spans="1:5" ht="18.75">
      <c r="A6" s="89"/>
      <c r="B6" s="50" t="s">
        <v>665</v>
      </c>
      <c r="C6" s="54">
        <v>1</v>
      </c>
      <c r="D6" s="53">
        <f>COUNTIF(TH!$R$4:$R$201,B6)</f>
        <v>17</v>
      </c>
      <c r="E6" s="83"/>
    </row>
    <row r="7" spans="1:5" ht="18.75">
      <c r="A7" s="89"/>
      <c r="B7" s="50" t="s">
        <v>494</v>
      </c>
      <c r="C7" s="54">
        <v>1</v>
      </c>
      <c r="D7" s="53">
        <f>COUNTIF(TH!$R$4:$R$201,B7)</f>
        <v>21</v>
      </c>
      <c r="E7" s="84"/>
    </row>
    <row r="8" spans="1:5" ht="18.75">
      <c r="A8" s="51" t="s">
        <v>196</v>
      </c>
      <c r="B8" s="50" t="s">
        <v>553</v>
      </c>
      <c r="C8" s="54">
        <v>2</v>
      </c>
      <c r="D8" s="53">
        <f>COUNTIF(TH!$R$4:$R$201,B8)</f>
        <v>26</v>
      </c>
      <c r="E8" s="25">
        <f>COUNTIF(TH!$Y$4:$Y$201,A8)</f>
        <v>26</v>
      </c>
    </row>
    <row r="9" spans="1:5" ht="18.75">
      <c r="A9" s="89" t="s">
        <v>261</v>
      </c>
      <c r="B9" s="50" t="s">
        <v>258</v>
      </c>
      <c r="C9" s="54">
        <v>2</v>
      </c>
      <c r="D9" s="53">
        <f>COUNTIF(TH!$R$4:$R$201,B9)</f>
        <v>14</v>
      </c>
      <c r="E9" s="86">
        <f>COUNTIF(TH!$Y$4:$Y$201,A9)</f>
        <v>21</v>
      </c>
    </row>
    <row r="10" spans="1:5" ht="18.75">
      <c r="A10" s="89"/>
      <c r="B10" s="50" t="s">
        <v>294</v>
      </c>
      <c r="C10" s="54">
        <v>1</v>
      </c>
      <c r="D10" s="53">
        <f>COUNTIF(TH!$R$4:$R$201,B10)</f>
        <v>7</v>
      </c>
      <c r="E10" s="88"/>
    </row>
    <row r="11" spans="1:5" ht="18.75">
      <c r="A11" s="89" t="s">
        <v>317</v>
      </c>
      <c r="B11" s="50" t="s">
        <v>314</v>
      </c>
      <c r="C11" s="54">
        <v>2</v>
      </c>
      <c r="D11" s="53">
        <f>COUNTIF(TH!$R$4:$R$201,B11)</f>
        <v>31</v>
      </c>
      <c r="E11" s="86">
        <f>COUNTIF(TH!$Y$4:$Y$201,A11)</f>
        <v>78</v>
      </c>
    </row>
    <row r="12" spans="1:5" ht="18.75">
      <c r="A12" s="89"/>
      <c r="B12" s="50" t="s">
        <v>359</v>
      </c>
      <c r="C12" s="54">
        <v>1</v>
      </c>
      <c r="D12" s="53">
        <f>COUNTIF(TH!$R$4:$R$201,B12)</f>
        <v>41</v>
      </c>
      <c r="E12" s="87"/>
    </row>
    <row r="13" spans="1:5" ht="18.75">
      <c r="A13" s="89"/>
      <c r="B13" s="50" t="s">
        <v>518</v>
      </c>
      <c r="C13" s="54">
        <v>1</v>
      </c>
      <c r="D13" s="53">
        <f>COUNTIF(TH!$R$4:$R$201,B13)</f>
        <v>3</v>
      </c>
      <c r="E13" s="87"/>
    </row>
    <row r="14" spans="1:5" ht="18.75">
      <c r="A14" s="90"/>
      <c r="B14" s="52" t="s">
        <v>540</v>
      </c>
      <c r="C14" s="53">
        <v>1</v>
      </c>
      <c r="D14" s="53">
        <f>COUNTIF(TH!$R$4:$R$201,B14)</f>
        <v>3</v>
      </c>
      <c r="E14" s="88"/>
    </row>
    <row r="15" spans="1:5" ht="18.75">
      <c r="A15" s="85" t="s">
        <v>8866</v>
      </c>
      <c r="B15" s="85"/>
      <c r="C15" s="55">
        <f>SUM(C3:C14)</f>
        <v>14</v>
      </c>
      <c r="D15" s="55">
        <f>SUM(D3:D14)</f>
        <v>198</v>
      </c>
      <c r="E15" s="57">
        <f>SUM(E3:E14)</f>
        <v>198</v>
      </c>
    </row>
  </sheetData>
  <mergeCells count="12">
    <mergeCell ref="A15:B15"/>
    <mergeCell ref="E11:E14"/>
    <mergeCell ref="E9:E10"/>
    <mergeCell ref="A3:A7"/>
    <mergeCell ref="A9:A10"/>
    <mergeCell ref="A11:A14"/>
    <mergeCell ref="C3:C5"/>
    <mergeCell ref="A1:A2"/>
    <mergeCell ref="B1:B2"/>
    <mergeCell ref="C1:C2"/>
    <mergeCell ref="D1:E1"/>
    <mergeCell ref="E3:E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TH</vt:lpstr>
      <vt:lpstr>Sheet7</vt:lpstr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2026-08-10T02:55:08Z</dcterms:modified>
</cp:coreProperties>
</file>